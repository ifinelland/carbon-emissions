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Iloilo Branch/"/>
    </mc:Choice>
  </mc:AlternateContent>
  <xr:revisionPtr revIDLastSave="0" documentId="13_ncr:1_{122BEA3B-5372-CB40-AFF1-9DC37B2F3879}"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37" r:id="rId19"/>
    <pivotCache cacheId="638" r:id="rId20"/>
    <pivotCache cacheId="639" r:id="rId21"/>
    <pivotCache cacheId="640" r:id="rId22"/>
    <pivotCache cacheId="641" r:id="rId23"/>
    <pivotCache cacheId="649"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N12"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3" i="40"/>
  <c r="I54" i="40" s="1"/>
  <c r="I55" i="40" s="1"/>
  <c r="I52" i="40"/>
  <c r="I51" i="40"/>
  <c r="I50" i="40"/>
  <c r="I49" i="40"/>
  <c r="I48" i="40"/>
  <c r="I47" i="40"/>
  <c r="I46" i="40"/>
  <c r="I45" i="40"/>
  <c r="I44" i="40"/>
  <c r="I43" i="40"/>
  <c r="I42" i="40"/>
  <c r="I41" i="40"/>
  <c r="I40" i="40"/>
  <c r="I39" i="40"/>
  <c r="I38" i="40"/>
  <c r="I37" i="40"/>
  <c r="I36" i="40"/>
  <c r="I35" i="40"/>
  <c r="I34" i="40"/>
  <c r="I33" i="40"/>
  <c r="I32"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7" i="34"/>
  <c r="I18" i="39"/>
  <c r="I19" i="39" s="1"/>
  <c r="I20" i="39"/>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13" i="37" l="1"/>
  <c r="F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D11" i="44" l="1"/>
  <c r="G11" i="44"/>
  <c r="F11" i="44"/>
  <c r="E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E14" i="34"/>
  <c r="F14" i="34"/>
  <c r="F12" i="34"/>
  <c r="D12" i="34"/>
  <c r="I12" i="34" s="1"/>
  <c r="G12" i="34"/>
  <c r="E12" i="34"/>
  <c r="F13" i="34"/>
  <c r="D13" i="34"/>
  <c r="G13" i="34"/>
  <c r="E13" i="34"/>
  <c r="G11" i="34"/>
  <c r="E11" i="34"/>
  <c r="F11" i="34"/>
  <c r="D11" i="34"/>
  <c r="I11" i="34" s="1"/>
  <c r="F15" i="34"/>
  <c r="D15" i="34"/>
  <c r="G15" i="34"/>
  <c r="E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I13" i="34" l="1"/>
  <c r="I14" i="34"/>
  <c r="I15" i="34" s="1"/>
  <c r="I16" i="34" s="1"/>
  <c r="I17" i="34" s="1"/>
  <c r="I18" i="34" s="1"/>
  <c r="D8" i="37"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<sst xmlns="http://schemas.openxmlformats.org/spreadsheetml/2006/main" count="6417" uniqueCount="1470">
  <si>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</si>
  <si>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</si>
  <si>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</si>
  <si>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</si>
  <si>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</si>
  <si>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</si>
  <si>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</si>
  <si>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</si>
  <si>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</si>
  <si>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</si>
  <si>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</si>
  <si>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</si>
  <si>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</si>
  <si>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</si>
  <si>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</si>
  <si>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</si>
  <si>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</si>
  <si>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</si>
  <si>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</si>
  <si>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</si>
  <si>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</si>
  <si>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</si>
  <si>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</si>
  <si>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</si>
  <si>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</si>
  <si>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</si>
  <si>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</si>
  <si>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</si>
  <si>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</si>
  <si>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</si>
  <si>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</si>
  <si>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</si>
  <si>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</si>
  <si>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</si>
  <si>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</si>
  <si>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</si>
  <si>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</si>
  <si>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</si>
  <si>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</si>
  <si>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</si>
  <si>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</si>
  <si>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</si>
  <si>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</si>
  <si>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</si>
  <si>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</si>
  <si>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</si>
  <si>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</si>
  <si>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</si>
  <si>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</si>
  <si>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</si>
  <si>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</si>
  <si>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</si>
  <si>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</si>
  <si>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</si>
  <si>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</si>
  <si>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</si>
  <si>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</si>
  <si>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</si>
  <si>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</si>
  <si>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</si>
  <si>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</si>
  <si>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</si>
  <si>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</si>
  <si>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</si>
  <si>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</si>
  <si>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</si>
  <si>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</si>
  <si>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</si>
  <si>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</si>
  <si>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</si>
  <si>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</si>
  <si>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</si>
  <si>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</si>
  <si>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</si>
  <si>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</si>
  <si>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</si>
  <si>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</si>
  <si>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</si>
  <si>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</si>
  <si>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</si>
  <si>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</si>
  <si>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</si>
  <si>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</si>
  <si>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</si>
  <si>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</si>
  <si>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</si>
  <si>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</si>
  <si>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</si>
  <si>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</si>
  <si>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</si>
  <si>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</si>
  <si>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</si>
  <si>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</si>
  <si>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</si>
  <si>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</si>
  <si>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</si>
  <si>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</si>
  <si>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</si>
  <si>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</si>
  <si>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</si>
  <si>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</si>
  <si>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</si>
  <si>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</si>
  <si>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</si>
  <si>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</si>
  <si>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</si>
  <si>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</si>
  <si>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</si>
  <si>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</si>
  <si>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</si>
  <si>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</si>
  <si>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</si>
  <si>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</si>
  <si>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</si>
  <si>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</si>
  <si>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</si>
  <si>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</si>
  <si>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</si>
  <si>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</si>
  <si>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</si>
  <si>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</si>
  <si>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</si>
  <si>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</si>
  <si>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</si>
  <si>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</si>
  <si>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</si>
  <si>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</si>
  <si>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</si>
  <si>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</si>
  <si>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</si>
  <si>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</si>
  <si>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</si>
  <si>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</si>
  <si>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</si>
  <si>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</si>
  <si>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</si>
  <si>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</si>
  <si>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</si>
  <si>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</si>
  <si>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</si>
  <si>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</si>
  <si>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</si>
  <si>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</si>
  <si>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</si>
  <si>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</si>
  <si>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</si>
  <si>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</si>
  <si>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</si>
  <si>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</si>
  <si>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</si>
  <si>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</si>
  <si>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</si>
  <si>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</si>
  <si>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</si>
  <si>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</si>
  <si>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</si>
  <si>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</si>
  <si>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</si>
  <si>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</si>
  <si>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</si>
  <si>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</si>
  <si>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</si>
  <si>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</si>
  <si>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</si>
  <si>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</si>
  <si>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</si>
  <si>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</si>
  <si>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</si>
  <si>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</si>
  <si>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</si>
  <si>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</si>
  <si>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</si>
  <si>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</si>
  <si>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</si>
  <si>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</si>
  <si>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</si>
  <si>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</si>
  <si>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</si>
  <si>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</si>
  <si>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</si>
  <si>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</si>
  <si>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</si>
  <si>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</si>
  <si>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</si>
  <si>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</si>
  <si>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</si>
  <si>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</si>
  <si>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</si>
  <si>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</si>
  <si>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</si>
  <si>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</si>
  <si>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</si>
  <si>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</si>
  <si>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</si>
  <si>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</si>
  <si>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</si>
  <si>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</si>
  <si>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</si>
  <si>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</si>
  <si>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</si>
  <si>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</si>
  <si>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</si>
  <si>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</si>
  <si>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</si>
  <si>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</si>
  <si>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</si>
  <si>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</si>
  <si>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</si>
  <si>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</si>
  <si>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</si>
  <si>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</si>
  <si>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</si>
  <si>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</si>
  <si>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</si>
  <si>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</si>
  <si>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</si>
  <si>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</si>
  <si>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</si>
  <si>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</si>
  <si>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</si>
  <si>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</si>
  <si>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</si>
  <si>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</si>
  <si>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</si>
  <si>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</si>
  <si>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</si>
  <si>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</si>
  <si>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</si>
  <si>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</si>
  <si>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</si>
  <si>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</si>
  <si>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</si>
  <si>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</si>
  <si>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</si>
  <si>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</si>
  <si>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</si>
  <si>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</si>
  <si>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</si>
  <si>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</si>
  <si>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</si>
  <si>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</si>
  <si>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</si>
  <si>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</si>
  <si>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</si>
  <si>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</si>
  <si>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</si>
  <si>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</si>
  <si>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</si>
  <si>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</si>
  <si>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</si>
  <si>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</si>
  <si>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</si>
  <si>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</si>
  <si>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</si>
  <si>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</si>
  <si>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</si>
  <si>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</si>
  <si>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</si>
  <si>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</si>
  <si>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</si>
  <si>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</si>
  <si>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</si>
  <si>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</si>
  <si>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</si>
  <si>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</si>
  <si>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</si>
  <si>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</si>
  <si>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</si>
  <si>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</si>
  <si>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</si>
  <si>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</si>
  <si>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</si>
  <si>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</si>
  <si>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</si>
  <si>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</si>
  <si>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</si>
  <si>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</si>
  <si>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</si>
  <si>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</si>
  <si>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</si>
  <si>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</si>
  <si>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</si>
  <si>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</si>
  <si>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</si>
  <si>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</si>
  <si>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</si>
  <si>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</si>
  <si>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</si>
  <si>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</si>
  <si>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</si>
  <si>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</si>
  <si>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</si>
  <si>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</si>
  <si>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</si>
  <si>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</si>
  <si>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</si>
  <si>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</si>
  <si>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</si>
  <si>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</si>
  <si>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</si>
  <si>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</si>
  <si>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</si>
  <si>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</si>
  <si>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</si>
  <si>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</si>
  <si>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</si>
  <si>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</si>
  <si>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</si>
  <si>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</si>
  <si>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</si>
  <si>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</si>
  <si>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</si>
  <si>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</si>
  <si>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</si>
  <si>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</si>
  <si>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</si>
  <si>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</si>
  <si>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</si>
  <si>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</si>
  <si>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</si>
  <si>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</si>
  <si>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</si>
  <si>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</si>
  <si>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</si>
  <si>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</si>
  <si>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</si>
  <si>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</si>
  <si>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</si>
  <si>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</si>
  <si>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</si>
  <si>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</si>
  <si>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</si>
  <si>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</si>
  <si>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</si>
  <si>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</si>
  <si>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</si>
  <si>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</si>
  <si>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</si>
  <si>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</si>
  <si>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</si>
  <si>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</si>
  <si>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</si>
  <si>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</si>
  <si>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</si>
  <si>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</si>
  <si>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</si>
  <si>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</si>
  <si>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</si>
  <si>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</si>
  <si>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</si>
  <si>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</si>
  <si>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</si>
  <si>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</si>
  <si>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</si>
  <si>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</si>
  <si>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</si>
  <si>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</si>
  <si>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</si>
  <si>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</si>
  <si>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</si>
  <si>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</si>
  <si>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</si>
  <si>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</si>
  <si>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</si>
  <si>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</si>
  <si>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</si>
  <si>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</si>
  <si>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</si>
  <si>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</si>
  <si>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</si>
  <si>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</si>
  <si>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</si>
  <si>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</si>
  <si>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</si>
  <si>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</si>
  <si>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</si>
  <si>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</si>
  <si>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</si>
  <si>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</si>
  <si>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</si>
  <si>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</si>
  <si>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</si>
  <si>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</si>
  <si>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</si>
  <si>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</si>
  <si>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</si>
  <si>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</si>
  <si>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</si>
  <si>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</si>
  <si>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</si>
  <si>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</si>
  <si>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</si>
  <si>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</si>
  <si>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</si>
  <si>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</si>
  <si>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</si>
  <si>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</si>
  <si>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</si>
  <si>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</si>
  <si>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</si>
  <si>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</si>
  <si>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</si>
  <si>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</si>
  <si>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</si>
  <si>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</si>
  <si>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</si>
  <si>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</si>
  <si>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</si>
  <si>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</si>
  <si>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</si>
  <si>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</si>
  <si>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</si>
  <si>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</si>
  <si>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</si>
  <si>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</si>
  <si>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</si>
  <si>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</si>
  <si>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</si>
  <si>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</si>
  <si>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</si>
  <si>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</si>
  <si>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</si>
  <si>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</si>
  <si>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</si>
  <si>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</si>
  <si>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</si>
  <si>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</si>
  <si>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</si>
  <si>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</si>
  <si>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</si>
  <si>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</si>
  <si>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</si>
  <si>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</si>
  <si>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</si>
  <si>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</si>
  <si>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</si>
  <si>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</si>
  <si>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</si>
  <si>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</si>
  <si>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</si>
  <si>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</si>
  <si>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</si>
  <si>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</si>
  <si>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</si>
  <si>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</si>
  <si>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</si>
  <si>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</si>
  <si>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</si>
  <si>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</si>
  <si>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</si>
  <si>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</si>
  <si>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</si>
  <si>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</si>
  <si>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</si>
  <si>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</si>
  <si>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</si>
  <si>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</si>
  <si>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</si>
  <si>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</si>
  <si>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</si>
  <si>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</si>
  <si>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</si>
  <si>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</si>
  <si>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</si>
  <si>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</si>
  <si>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</si>
  <si>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</si>
  <si>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</si>
  <si>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</si>
  <si>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</si>
  <si>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</si>
  <si>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</si>
  <si>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</si>
  <si>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</si>
  <si>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</si>
  <si>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</si>
  <si>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</si>
  <si>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</si>
  <si>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</si>
  <si>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</si>
  <si>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</si>
  <si>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</si>
  <si>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</si>
  <si>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</si>
  <si>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</si>
  <si>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</si>
  <si>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</si>
  <si>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</si>
  <si>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</si>
  <si>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</si>
  <si>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</si>
  <si>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</si>
  <si>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</si>
  <si>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</si>
  <si>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</si>
  <si>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</si>
  <si>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</si>
  <si>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</si>
  <si>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</si>
  <si>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</si>
  <si>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</si>
  <si>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</si>
  <si>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</si>
  <si>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</si>
  <si>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</si>
  <si>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</si>
  <si>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</si>
  <si>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</si>
  <si>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</si>
  <si>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</si>
  <si>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</si>
  <si>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</si>
  <si>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</si>
  <si>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</si>
  <si>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</si>
  <si>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</si>
  <si>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</si>
  <si>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</si>
  <si>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</si>
  <si>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</si>
  <si>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</si>
  <si>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</si>
  <si>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</si>
  <si>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</si>
  <si>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</si>
  <si>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</si>
  <si>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</si>
  <si>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</si>
  <si>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</si>
  <si>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</si>
  <si>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</si>
  <si>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</si>
  <si>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</si>
  <si>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</si>
  <si>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</si>
  <si>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</si>
  <si>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</si>
  <si>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</si>
  <si>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</si>
  <si>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</si>
  <si>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</si>
  <si>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</si>
  <si>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</si>
  <si>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</si>
  <si>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</si>
  <si>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</si>
  <si>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</si>
  <si>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</si>
  <si>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</si>
  <si>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</si>
  <si>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</si>
  <si>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</si>
  <si>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</si>
  <si>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</si>
  <si>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</si>
  <si>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</si>
  <si>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</si>
  <si>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</si>
  <si>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</si>
  <si>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</si>
  <si>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</si>
  <si>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</si>
  <si>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</si>
  <si>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</si>
  <si>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</si>
  <si>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</si>
  <si>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</si>
  <si>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</si>
  <si>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</si>
  <si>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</si>
  <si>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</si>
  <si>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</si>
  <si>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</si>
  <si>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</si>
  <si>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</si>
  <si>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</si>
  <si>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</si>
  <si>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</si>
  <si>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</si>
  <si>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</si>
  <si>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</si>
  <si>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</si>
  <si>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</si>
  <si>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</si>
  <si>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</si>
  <si>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</si>
  <si>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</si>
  <si>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</si>
  <si>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</si>
  <si>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</si>
  <si>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</si>
  <si>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</si>
  <si>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</si>
  <si>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</si>
  <si>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</si>
  <si>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</si>
  <si>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</si>
  <si>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</si>
  <si>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</si>
  <si>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</si>
  <si>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</si>
  <si>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</si>
  <si>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</si>
  <si>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</si>
  <si>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</si>
  <si>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</si>
  <si>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</si>
  <si>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</si>
  <si>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</si>
  <si>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</si>
  <si>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</si>
  <si>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</si>
  <si>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</si>
  <si>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</si>
  <si>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</si>
  <si>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</si>
  <si>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</si>
  <si>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</si>
  <si>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</si>
  <si>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</si>
  <si>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</si>
  <si>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</si>
  <si>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</si>
  <si>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</si>
  <si>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</si>
  <si>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</si>
  <si>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</si>
  <si>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</si>
  <si>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</si>
  <si>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</si>
  <si>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</si>
  <si>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</si>
  <si>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</si>
  <si>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</si>
  <si>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</si>
  <si>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</si>
  <si>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</si>
  <si>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</si>
  <si>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</si>
  <si>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</si>
  <si>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</si>
  <si>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</si>
  <si>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</si>
  <si>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</si>
  <si>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</si>
  <si>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</si>
  <si>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</si>
  <si>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</si>
  <si>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</si>
  <si>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</si>
  <si>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</si>
  <si>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</si>
  <si>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</si>
  <si>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</si>
  <si>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</si>
  <si>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</si>
  <si>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</si>
  <si>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</si>
  <si>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</si>
  <si>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</si>
  <si>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</si>
  <si>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</si>
  <si>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</si>
  <si>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</si>
  <si>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</si>
  <si>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</si>
  <si>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</si>
  <si>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</si>
  <si>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</si>
  <si>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</si>
  <si>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</si>
  <si>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</si>
  <si>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</si>
  <si>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</si>
  <si>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</si>
  <si>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</si>
  <si>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</si>
  <si>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</si>
  <si>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</si>
  <si>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</si>
  <si>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</si>
  <si>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</si>
  <si>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</si>
  <si>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</si>
  <si>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</si>
  <si>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</si>
  <si>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</si>
  <si>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</si>
  <si>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</si>
  <si>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</si>
  <si>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</si>
  <si>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</si>
  <si>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</si>
  <si>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</si>
  <si>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</si>
  <si>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</si>
  <si>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</si>
  <si>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</si>
  <si>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</si>
  <si>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</si>
  <si>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</si>
  <si>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</si>
  <si>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</si>
  <si>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</si>
  <si>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</si>
  <si>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</si>
  <si>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</si>
  <si>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</si>
  <si>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</si>
  <si>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</si>
  <si>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</si>
  <si>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</si>
  <si>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</si>
  <si>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</si>
  <si>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</si>
  <si>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</si>
  <si>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</si>
  <si>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</si>
  <si>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</si>
  <si>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</si>
  <si>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</si>
  <si>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</si>
  <si>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</si>
  <si>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</si>
  <si>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</si>
  <si>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</si>
  <si>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</si>
  <si>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</si>
  <si>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</si>
  <si>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</si>
  <si>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</si>
  <si>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</si>
  <si>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</si>
  <si>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</si>
  <si>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</si>
  <si>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</si>
  <si>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</si>
  <si>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</si>
  <si>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</si>
  <si>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</si>
  <si>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</si>
  <si>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</si>
  <si>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</si>
  <si>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</si>
  <si>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</si>
  <si>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</si>
  <si>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</si>
  <si>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</si>
  <si>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</si>
  <si>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</si>
  <si>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</si>
  <si>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</si>
  <si>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</si>
  <si>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</si>
  <si>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</si>
  <si>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</si>
  <si>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</si>
  <si>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</si>
  <si>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</si>
  <si>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</si>
  <si>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</si>
  <si>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</si>
  <si>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</si>
  <si>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</si>
  <si>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</si>
  <si>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</si>
  <si>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</si>
  <si>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</si>
  <si>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</si>
  <si>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</si>
  <si>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</si>
  <si>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</si>
  <si>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</si>
  <si>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</si>
  <si>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</si>
  <si>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</si>
  <si>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</si>
  <si>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</si>
  <si>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</si>
  <si>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</si>
  <si>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</si>
  <si>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</si>
  <si>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</si>
  <si>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</si>
  <si>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</si>
  <si>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</si>
  <si>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</si>
  <si>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</si>
  <si>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</si>
  <si>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</si>
  <si>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</si>
  <si>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</si>
  <si>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</si>
  <si>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</si>
  <si>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</si>
  <si>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</si>
  <si>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</si>
  <si>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</si>
  <si>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</si>
  <si>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</si>
  <si>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</si>
  <si>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</si>
  <si>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</si>
  <si>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</si>
  <si>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</si>
  <si>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</si>
  <si>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</si>
  <si>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</si>
  <si>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</si>
  <si>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</si>
  <si>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</si>
  <si>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</si>
  <si>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</si>
  <si>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</si>
  <si>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</si>
  <si>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</si>
  <si>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</si>
  <si>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</si>
  <si>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</si>
  <si>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</si>
  <si>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</si>
  <si>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</si>
  <si>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</si>
  <si>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</si>
  <si>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</si>
  <si>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</si>
  <si>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</si>
  <si>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</si>
  <si>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</si>
  <si>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</si>
  <si>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</si>
  <si>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</si>
  <si>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</si>
  <si>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</si>
  <si>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</si>
  <si>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</si>
  <si>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</si>
  <si>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</si>
  <si>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</si>
  <si>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</si>
  <si>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</si>
  <si>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</si>
  <si>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</si>
  <si>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</si>
  <si>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</si>
  <si>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</si>
  <si>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</si>
  <si>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</si>
  <si>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</si>
  <si>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</si>
  <si>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</si>
  <si>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</si>
  <si>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</si>
  <si>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</si>
  <si>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</si>
  <si>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</si>
  <si>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</si>
  <si>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</si>
  <si>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</si>
  <si>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</si>
  <si>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</si>
  <si>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</si>
  <si>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</si>
  <si>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</si>
  <si>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</si>
  <si>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</si>
  <si>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</si>
  <si>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</si>
  <si>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</si>
  <si>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</si>
  <si>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</si>
  <si>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</si>
  <si>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</si>
  <si>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</si>
  <si>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</si>
  <si>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</si>
  <si>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</si>
  <si>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</si>
  <si>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</si>
  <si>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</si>
  <si>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</si>
  <si>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</si>
  <si>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</si>
  <si>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</si>
  <si>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</si>
  <si>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</si>
  <si>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</si>
  <si>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</si>
  <si>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</si>
  <si>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</si>
  <si>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</si>
  <si>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</si>
  <si>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</si>
  <si>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</si>
  <si>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</si>
  <si>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</si>
  <si>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</si>
  <si>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</si>
  <si>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</si>
  <si>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</si>
  <si>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</si>
  <si>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</si>
  <si>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</si>
  <si>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</si>
  <si>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</si>
  <si>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</si>
  <si>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</si>
  <si>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</si>
  <si>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</si>
  <si>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</si>
  <si>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</si>
  <si>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</si>
  <si>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</si>
  <si>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</si>
  <si>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</si>
  <si>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</si>
  <si>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</si>
  <si>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</si>
  <si>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</si>
  <si>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</si>
  <si>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</si>
  <si>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</si>
  <si>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</si>
  <si>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</si>
  <si>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</si>
  <si>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</si>
  <si>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</si>
  <si>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</si>
  <si>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</si>
  <si>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</si>
  <si>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</si>
  <si>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</si>
  <si>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</si>
  <si>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</si>
  <si>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</si>
  <si>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</si>
  <si>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</si>
  <si>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</si>
  <si>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</si>
  <si>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</si>
  <si>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</si>
  <si>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</si>
  <si>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</si>
  <si>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</si>
  <si>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</si>
  <si>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</si>
  <si>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</si>
  <si>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</si>
  <si>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</si>
  <si>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</si>
  <si>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</si>
  <si>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</si>
  <si>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</si>
  <si>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</si>
  <si>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</si>
  <si>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</si>
  <si>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</si>
  <si>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</si>
  <si>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</si>
  <si>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</si>
  <si>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</si>
  <si>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</si>
  <si>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</si>
  <si>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</si>
  <si>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</si>
  <si>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</si>
  <si>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</si>
  <si>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</si>
  <si>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</si>
  <si>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</si>
  <si>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</si>
  <si>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</si>
  <si>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</si>
  <si>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</si>
  <si>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</si>
  <si>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</si>
  <si>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</si>
  <si>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</si>
  <si>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</si>
  <si>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</si>
  <si>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</si>
  <si>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</si>
  <si>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</si>
  <si>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</si>
  <si>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</si>
  <si>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</si>
  <si>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</si>
  <si>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</si>
  <si>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</si>
  <si>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</si>
  <si>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</si>
  <si>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</si>
  <si>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</si>
  <si>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</si>
  <si>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</si>
  <si>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</si>
  <si>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</si>
  <si>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</si>
  <si>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</si>
  <si>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</si>
  <si>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</si>
  <si>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</si>
  <si>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</si>
  <si>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</si>
  <si>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</si>
  <si>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</si>
  <si>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</si>
  <si>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</si>
  <si>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</si>
  <si>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</si>
  <si>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</si>
  <si>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</si>
  <si>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</si>
  <si>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</si>
  <si>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</si>
  <si>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</si>
  <si>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</si>
  <si>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</si>
  <si>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</si>
  <si>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</si>
  <si>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</si>
  <si>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</si>
  <si>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</si>
  <si>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</si>
  <si>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</si>
  <si>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</si>
  <si>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</si>
  <si>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</si>
  <si>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</si>
  <si>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</si>
  <si>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</si>
  <si>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</si>
  <si>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</si>
  <si>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</si>
  <si>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</si>
  <si>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</si>
  <si>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</si>
  <si>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</si>
  <si>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</si>
  <si>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</si>
  <si>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</si>
  <si>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</si>
  <si>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</si>
  <si>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</si>
  <si>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</si>
  <si>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</si>
  <si>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</si>
  <si>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</si>
  <si>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</si>
  <si>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</si>
  <si>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</si>
  <si>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</si>
  <si>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</si>
  <si>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</si>
  <si>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</si>
  <si>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</si>
  <si>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</si>
  <si>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</si>
  <si>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</si>
  <si>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</si>
  <si>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</si>
  <si>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</si>
  <si>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</si>
  <si>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</si>
  <si>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</si>
  <si>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</si>
  <si>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</si>
  <si>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</si>
  <si>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</si>
  <si>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</si>
  <si>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</si>
  <si>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</si>
  <si>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</si>
  <si>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</si>
  <si>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</si>
  <si>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</si>
  <si>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</si>
  <si>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</si>
  <si>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</si>
  <si>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</si>
  <si>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</si>
  <si>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</si>
  <si>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</si>
  <si>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</si>
  <si>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</si>
  <si>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</si>
  <si>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</si>
  <si>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</si>
  <si>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</si>
  <si>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</si>
  <si>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</si>
  <si>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</si>
  <si>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</si>
  <si>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</si>
  <si>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</si>
  <si>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</si>
  <si>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</si>
  <si>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</si>
  <si>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</si>
  <si>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</si>
  <si>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</si>
  <si>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</si>
  <si>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</si>
  <si>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</si>
  <si>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</si>
  <si>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</si>
  <si>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</si>
  <si>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</si>
  <si>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</si>
  <si>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</si>
  <si>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</si>
  <si>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</si>
  <si>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</si>
  <si>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</si>
  <si>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</si>
  <si>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</si>
  <si>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</si>
  <si>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</si>
  <si>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</si>
  <si>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</si>
  <si>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</si>
  <si>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</si>
  <si>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</si>
  <si>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</si>
  <si>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</si>
  <si>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</si>
  <si>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</si>
  <si>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</si>
  <si>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</si>
  <si>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</si>
  <si>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</si>
  <si>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</si>
  <si>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</si>
  <si>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</si>
  <si>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</si>
  <si>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</si>
  <si>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</si>
  <si>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</si>
  <si>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</si>
  <si>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</si>
  <si>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</si>
  <si>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</si>
  <si>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</si>
  <si>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</si>
  <si>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</si>
  <si>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</si>
  <si>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</si>
  <si>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</si>
  <si>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</si>
  <si>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</si>
  <si>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</si>
  <si>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</si>
  <si>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</si>
  <si>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</si>
  <si>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</si>
  <si>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</si>
  <si>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</si>
  <si>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</si>
  <si>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</si>
  <si>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</si>
  <si>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</si>
  <si>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</si>
  <si>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</si>
  <si>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</si>
  <si>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</si>
  <si>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</si>
  <si>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</si>
  <si>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</si>
  <si>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</si>
  <si>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</si>
  <si>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</si>
  <si>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</si>
  <si>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</si>
  <si>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</si>
  <si>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</si>
  <si>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</si>
  <si>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</si>
  <si>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</si>
  <si>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</si>
  <si>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</si>
  <si>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</si>
  <si>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</si>
  <si>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</si>
  <si>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</si>
  <si>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</si>
  <si>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</si>
  <si>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</si>
  <si>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</si>
  <si>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</si>
  <si>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</si>
  <si>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</si>
  <si>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</si>
  <si>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</si>
  <si>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</si>
  <si>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</si>
  <si>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</si>
  <si>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</si>
  <si>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</si>
  <si>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</si>
  <si>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</si>
  <si>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</si>
  <si>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</si>
  <si>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</si>
  <si>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</si>
  <si>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</si>
  <si>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</si>
  <si>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</si>
  <si>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</si>
  <si>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</si>
  <si>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</si>
  <si>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</si>
  <si>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</si>
  <si>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</si>
  <si>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</si>
  <si>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</si>
  <si>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</si>
  <si>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</si>
  <si>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</si>
  <si>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</si>
  <si>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</si>
  <si>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</si>
  <si>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</si>
  <si>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</si>
  <si>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</si>
  <si>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</si>
  <si>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</si>
  <si>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</si>
  <si>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</si>
  <si>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</si>
  <si>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</si>
  <si>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</si>
  <si>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</si>
  <si>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</si>
  <si>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</si>
  <si>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</si>
  <si>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</si>
  <si>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</si>
  <si>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</si>
  <si>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</si>
  <si>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</si>
  <si>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</si>
  <si>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</si>
  <si>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</si>
  <si>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</si>
  <si>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</si>
  <si>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</si>
  <si>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</si>
  <si>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</si>
  <si>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</si>
  <si>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</si>
  <si>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</si>
  <si>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</si>
  <si>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</si>
  <si>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</si>
  <si>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</si>
  <si>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</si>
  <si>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</si>
  <si>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</si>
  <si>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</si>
  <si>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</si>
  <si>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</si>
  <si>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</si>
  <si>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</si>
  <si>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</si>
  <si>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</si>
  <si>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</si>
  <si>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</si>
  <si>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</si>
  <si>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</si>
  <si>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</si>
  <si>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</si>
  <si>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</si>
  <si>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</si>
  <si>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</si>
  <si>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</si>
  <si>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</si>
  <si>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</si>
  <si>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</si>
  <si>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</si>
  <si>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</si>
  <si>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</si>
  <si>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</si>
  <si>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</si>
  <si>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</si>
  <si>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</si>
  <si>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</si>
  <si>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</si>
  <si>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</si>
  <si>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</si>
  <si>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</si>
  <si>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</si>
  <si>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</si>
  <si>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</si>
  <si>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</si>
  <si>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</si>
  <si>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</si>
  <si>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</si>
  <si>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</si>
  <si>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</si>
  <si>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</si>
  <si>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</si>
  <si>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</si>
  <si>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</si>
  <si>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</si>
  <si>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</si>
  <si>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</si>
  <si>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</si>
  <si>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</si>
  <si>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</si>
  <si>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</si>
  <si>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</si>
  <si>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</si>
  <si>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</si>
  <si>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</si>
  <si>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</si>
  <si>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</si>
  <si>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</si>
  <si>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</si>
  <si>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</si>
  <si>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</si>
  <si>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</si>
  <si>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</si>
  <si>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</si>
  <si>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</si>
  <si>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</si>
  <si>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</si>
  <si>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</si>
  <si>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</si>
  <si>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</si>
  <si>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</si>
  <si>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</si>
  <si>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</si>
  <si>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</si>
  <si>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</si>
  <si>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</si>
  <si>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</si>
  <si>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</si>
  <si>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</si>
  <si>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</si>
  <si>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</si>
  <si>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</si>
  <si>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</si>
  <si>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</si>
  <si>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</si>
  <si>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</si>
  <si>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</si>
  <si>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</si>
  <si>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</si>
  <si>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</si>
  <si>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</si>
  <si>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</si>
  <si>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</si>
  <si>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</si>
  <si>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</si>
  <si>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</si>
  <si>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</si>
  <si>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</si>
  <si>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</si>
  <si>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</si>
  <si>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</si>
  <si>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</si>
  <si>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</si>
  <si>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</si>
  <si>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</si>
  <si>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</si>
  <si>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</si>
  <si>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</si>
  <si>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</si>
  <si>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</si>
  <si>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</si>
  <si>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</si>
  <si>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</si>
  <si>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</si>
  <si>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</si>
  <si>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</si>
  <si>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</si>
  <si>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</si>
  <si>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</si>
  <si>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</si>
  <si>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</si>
  <si>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</si>
  <si>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</si>
  <si>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</si>
  <si>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</si>
  <si>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</si>
  <si>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</si>
  <si>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</si>
  <si>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</si>
  <si>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</si>
  <si>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</si>
  <si>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</si>
  <si>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</si>
  <si>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</si>
  <si>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</si>
  <si>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</si>
  <si>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</si>
  <si>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</si>
  <si>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</si>
  <si>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</si>
  <si>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</si>
  <si>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</si>
  <si>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</si>
  <si>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</si>
  <si>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</si>
  <si>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</si>
  <si>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</si>
  <si>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</si>
  <si>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</si>
  <si>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</si>
  <si>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</si>
  <si>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</si>
  <si>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</si>
  <si>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</si>
  <si>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</si>
  <si>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</si>
  <si>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</si>
  <si>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</si>
  <si>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</si>
  <si>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</si>
  <si>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</si>
  <si>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</si>
  <si>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</si>
  <si>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</si>
  <si>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</si>
  <si>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</si>
  <si>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</si>
  <si>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</si>
  <si>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</si>
  <si>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</si>
  <si>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</si>
  <si>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</si>
  <si>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Estimated water discharge</t>
  </si>
  <si>
    <t>Female locker rm</t>
  </si>
  <si>
    <t>OD lobby unit 1</t>
  </si>
  <si>
    <t>OD lobby unit 2</t>
  </si>
  <si>
    <t>Cash lobby unit 1</t>
  </si>
  <si>
    <t>Cash lobby unit 2</t>
  </si>
  <si>
    <t>Cash deposit</t>
  </si>
  <si>
    <t>Cash w/drawal</t>
  </si>
  <si>
    <t>Cash hallway</t>
  </si>
  <si>
    <t>Cash manager</t>
  </si>
  <si>
    <t>Money ctr unit -1</t>
  </si>
  <si>
    <t>Money ctr unit -2</t>
  </si>
  <si>
    <t>Mezzanine lobby</t>
  </si>
  <si>
    <t>Coa</t>
  </si>
  <si>
    <t>Seminar rm unit-1</t>
  </si>
  <si>
    <t>Seminar rm unit-2</t>
  </si>
  <si>
    <t>Seminar rm unit-3</t>
  </si>
  <si>
    <t>Security locker</t>
  </si>
  <si>
    <t>Admin unit-1</t>
  </si>
  <si>
    <t>Admin unit-2</t>
  </si>
  <si>
    <t>Admin unit-3</t>
  </si>
  <si>
    <t>Data cab unit-1</t>
  </si>
  <si>
    <t>Data cab unit-2</t>
  </si>
  <si>
    <t>Security office</t>
  </si>
  <si>
    <t>Security lobby</t>
  </si>
  <si>
    <t>Money ctr unit-1</t>
  </si>
  <si>
    <t>Money ctr unit-2</t>
  </si>
  <si>
    <t>ESS unit-1</t>
  </si>
  <si>
    <t>ESS unit-2</t>
  </si>
  <si>
    <t>ESS unit-3</t>
  </si>
  <si>
    <t>ESS unit-4</t>
  </si>
  <si>
    <t>Branch head unit -1</t>
  </si>
  <si>
    <t>Branch head unit -2</t>
  </si>
  <si>
    <t>Estimated weight</t>
  </si>
  <si>
    <t>Jessie Jun D. Sebidos</t>
  </si>
  <si>
    <t>$M$55</t>
  </si>
  <si>
    <t>$A$27:$G$39</t>
  </si>
  <si>
    <t>$N$7:$N$12</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</si>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</sst>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6065046298"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72"/>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53.13"/>
    </cacheField>
    <cacheField name="Unit" numFmtId="0">
      <sharedItems containsBlank="1"/>
    </cacheField>
    <cacheField name="Total kilometers travelled (all vehicles)" numFmtId="4">
      <sharedItems containsString="0" containsBlank="1" containsNumber="1" minValue="0" maxValue="1112"/>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21.7"/>
    <s v="Liters"/>
    <n v="43.4"/>
    <s v="Kilometers"/>
    <m/>
  </r>
  <r>
    <n v="2"/>
    <x v="0"/>
    <x v="0"/>
    <x v="0"/>
    <x v="0"/>
    <n v="16.3"/>
    <m/>
    <n v="48.9"/>
    <s v="Kilometers"/>
    <m/>
  </r>
  <r>
    <n v="3"/>
    <x v="0"/>
    <x v="0"/>
    <x v="0"/>
    <x v="0"/>
    <n v="15.5"/>
    <s v="Liters"/>
    <n v="46.5"/>
    <s v="Kilometers"/>
    <m/>
  </r>
  <r>
    <n v="4"/>
    <x v="1"/>
    <x v="0"/>
    <x v="0"/>
    <x v="0"/>
    <n v="23.3"/>
    <s v="Liters"/>
    <n v="233"/>
    <s v="Kilometers"/>
    <m/>
  </r>
  <r>
    <n v="5"/>
    <x v="2"/>
    <x v="0"/>
    <x v="0"/>
    <x v="0"/>
    <n v="2.1"/>
    <s v="Liters"/>
    <n v="21"/>
    <s v="Kilometers"/>
    <m/>
  </r>
  <r>
    <n v="6"/>
    <x v="1"/>
    <x v="0"/>
    <x v="0"/>
    <x v="0"/>
    <n v="30.25"/>
    <s v="Liters"/>
    <n v="242"/>
    <s v="Kilometers"/>
    <m/>
  </r>
  <r>
    <n v="7"/>
    <x v="0"/>
    <x v="0"/>
    <x v="1"/>
    <x v="0"/>
    <n v="24.9"/>
    <s v="Liters"/>
    <n v="49.8"/>
    <s v="Kilometers"/>
    <m/>
  </r>
  <r>
    <n v="8"/>
    <x v="0"/>
    <x v="0"/>
    <x v="1"/>
    <x v="0"/>
    <n v="16.829999999999998"/>
    <s v="Liters"/>
    <n v="50.51"/>
    <s v="Kilometers"/>
    <m/>
  </r>
  <r>
    <n v="9"/>
    <x v="0"/>
    <x v="0"/>
    <x v="1"/>
    <x v="0"/>
    <n v="16.59"/>
    <s v="Liters"/>
    <n v="49.8"/>
    <s v="Kilometers"/>
    <m/>
  </r>
  <r>
    <n v="10"/>
    <x v="1"/>
    <x v="0"/>
    <x v="1"/>
    <x v="0"/>
    <n v="38.6"/>
    <s v="Liters"/>
    <n v="386"/>
    <s v="Kilometers"/>
    <m/>
  </r>
  <r>
    <n v="11"/>
    <x v="2"/>
    <x v="0"/>
    <x v="1"/>
    <x v="0"/>
    <n v="17.600000000000001"/>
    <s v="Liters"/>
    <n v="176"/>
    <s v="Kilometers"/>
    <m/>
  </r>
  <r>
    <n v="12"/>
    <x v="1"/>
    <x v="0"/>
    <x v="1"/>
    <x v="0"/>
    <n v="66"/>
    <s v="Liters"/>
    <n v="660"/>
    <s v="Kilometers"/>
    <m/>
  </r>
  <r>
    <n v="13"/>
    <x v="0"/>
    <x v="0"/>
    <x v="2"/>
    <x v="0"/>
    <n v="126.4"/>
    <s v="Liters"/>
    <n v="252.8"/>
    <s v="Kilometers"/>
    <m/>
  </r>
  <r>
    <n v="14"/>
    <x v="0"/>
    <x v="0"/>
    <x v="2"/>
    <x v="0"/>
    <n v="65.36"/>
    <s v="Liters"/>
    <n v="196.12"/>
    <s v="Kilometers"/>
    <m/>
  </r>
  <r>
    <n v="15"/>
    <x v="0"/>
    <x v="0"/>
    <x v="2"/>
    <x v="0"/>
    <n v="85.24"/>
    <s v="Liters"/>
    <n v="255.8"/>
    <s v="Kilometers"/>
    <m/>
  </r>
  <r>
    <n v="16"/>
    <x v="1"/>
    <x v="0"/>
    <x v="2"/>
    <x v="0"/>
    <n v="13.7"/>
    <s v="Liters"/>
    <n v="137"/>
    <s v="Kilometers"/>
    <m/>
  </r>
  <r>
    <n v="17"/>
    <x v="2"/>
    <x v="0"/>
    <x v="2"/>
    <x v="0"/>
    <n v="24.3"/>
    <s v="Liters"/>
    <n v="243"/>
    <s v="Kilometers"/>
    <m/>
  </r>
  <r>
    <n v="18"/>
    <x v="1"/>
    <x v="0"/>
    <x v="2"/>
    <x v="0"/>
    <n v="7.8"/>
    <s v="Liters"/>
    <n v="78"/>
    <s v="Kilometers"/>
    <m/>
  </r>
  <r>
    <n v="19"/>
    <x v="0"/>
    <x v="0"/>
    <x v="3"/>
    <x v="1"/>
    <n v="30.84"/>
    <s v="Liters"/>
    <n v="92.5"/>
    <s v="Kilometers"/>
    <m/>
  </r>
  <r>
    <n v="20"/>
    <x v="0"/>
    <x v="0"/>
    <x v="3"/>
    <x v="1"/>
    <n v="31.16"/>
    <s v="Liters"/>
    <n v="93.48"/>
    <s v="Kilometers"/>
    <m/>
  </r>
  <r>
    <n v="21"/>
    <x v="0"/>
    <x v="0"/>
    <x v="3"/>
    <x v="1"/>
    <n v="30.9"/>
    <s v="Liters"/>
    <n v="92.7"/>
    <s v="Kilometers"/>
    <m/>
  </r>
  <r>
    <n v="22"/>
    <x v="1"/>
    <x v="0"/>
    <x v="3"/>
    <x v="1"/>
    <n v="135.9"/>
    <s v="Liters"/>
    <n v="1087"/>
    <s v="Kilometers"/>
    <m/>
  </r>
  <r>
    <n v="23"/>
    <x v="2"/>
    <x v="0"/>
    <x v="3"/>
    <x v="1"/>
    <n v="111.2"/>
    <s v="Liters"/>
    <n v="1112"/>
    <s v="Kilometers"/>
    <m/>
  </r>
  <r>
    <n v="24"/>
    <x v="1"/>
    <x v="0"/>
    <x v="3"/>
    <x v="1"/>
    <n v="30"/>
    <s v="Liters"/>
    <n v="210"/>
    <s v="Kilometers"/>
    <m/>
  </r>
  <r>
    <n v="25"/>
    <x v="0"/>
    <x v="0"/>
    <x v="4"/>
    <x v="1"/>
    <n v="5.7"/>
    <s v="Liters"/>
    <n v="17.100000000000001"/>
    <s v="Kilometers"/>
    <m/>
  </r>
  <r>
    <n v="26"/>
    <x v="0"/>
    <x v="0"/>
    <x v="4"/>
    <x v="1"/>
    <n v="4.92"/>
    <s v="Liters"/>
    <n v="14.8"/>
    <s v="Kilometers"/>
    <m/>
  </r>
  <r>
    <n v="27"/>
    <x v="0"/>
    <x v="0"/>
    <x v="4"/>
    <x v="1"/>
    <n v="4.8"/>
    <s v="Liters"/>
    <n v="14.4"/>
    <s v="Kilometers"/>
    <m/>
  </r>
  <r>
    <n v="28"/>
    <x v="1"/>
    <x v="0"/>
    <x v="4"/>
    <x v="1"/>
    <n v="125.85"/>
    <s v="Liters"/>
    <n v="1007"/>
    <s v="Kilometers"/>
    <m/>
  </r>
  <r>
    <n v="29"/>
    <x v="2"/>
    <x v="0"/>
    <x v="4"/>
    <x v="1"/>
    <n v="9.6999999999999993"/>
    <s v="Liters"/>
    <n v="97"/>
    <s v="Kilometers"/>
    <m/>
  </r>
  <r>
    <n v="30"/>
    <x v="1"/>
    <x v="0"/>
    <x v="4"/>
    <x v="1"/>
    <n v="87.61"/>
    <s v="Liters"/>
    <n v="701"/>
    <s v="Kilometers"/>
    <m/>
  </r>
  <r>
    <n v="31"/>
    <x v="0"/>
    <x v="0"/>
    <x v="5"/>
    <x v="1"/>
    <n v="2.23"/>
    <s v="Liters"/>
    <n v="6.7"/>
    <s v="Kilometers"/>
    <m/>
  </r>
  <r>
    <n v="32"/>
    <x v="0"/>
    <x v="0"/>
    <x v="5"/>
    <x v="1"/>
    <n v="0"/>
    <s v="Liters"/>
    <n v="0"/>
    <s v="Kilometers"/>
    <m/>
  </r>
  <r>
    <n v="33"/>
    <x v="0"/>
    <x v="0"/>
    <x v="5"/>
    <x v="1"/>
    <n v="0"/>
    <s v="Liters"/>
    <n v="0"/>
    <s v="Kilometers"/>
    <m/>
  </r>
  <r>
    <n v="34"/>
    <x v="1"/>
    <x v="0"/>
    <x v="5"/>
    <x v="1"/>
    <n v="38.11"/>
    <s v="Liters"/>
    <n v="531"/>
    <s v="Kilometers"/>
    <m/>
  </r>
  <r>
    <n v="35"/>
    <x v="2"/>
    <x v="0"/>
    <x v="5"/>
    <x v="1"/>
    <n v="35.1"/>
    <s v="Liters"/>
    <n v="351"/>
    <s v="Kilometers"/>
    <m/>
  </r>
  <r>
    <n v="36"/>
    <x v="1"/>
    <x v="0"/>
    <x v="5"/>
    <x v="1"/>
    <n v="71.95"/>
    <s v="Liters"/>
    <n v="944"/>
    <s v="Kilometers"/>
    <m/>
  </r>
  <r>
    <n v="37"/>
    <x v="0"/>
    <x v="0"/>
    <x v="6"/>
    <x v="2"/>
    <n v="16.7"/>
    <s v="Liters"/>
    <n v="50.1"/>
    <s v="Kilometers"/>
    <m/>
  </r>
  <r>
    <n v="38"/>
    <x v="0"/>
    <x v="0"/>
    <x v="6"/>
    <x v="2"/>
    <n v="16.989999999999998"/>
    <s v="Liters"/>
    <n v="50.99"/>
    <s v="Kilometers"/>
    <m/>
  </r>
  <r>
    <n v="39"/>
    <x v="0"/>
    <x v="0"/>
    <x v="6"/>
    <x v="2"/>
    <n v="16.760000000000002"/>
    <s v="Liters"/>
    <n v="50.3"/>
    <s v="Kilometers"/>
    <m/>
  </r>
  <r>
    <n v="40"/>
    <x v="1"/>
    <x v="0"/>
    <x v="6"/>
    <x v="2"/>
    <n v="60.9"/>
    <s v="Liters"/>
    <n v="487"/>
    <s v="Kilometers"/>
    <m/>
  </r>
  <r>
    <n v="41"/>
    <x v="2"/>
    <x v="0"/>
    <x v="6"/>
    <x v="2"/>
    <n v="13.8"/>
    <s v="Liters"/>
    <n v="138"/>
    <s v="Kilometers"/>
    <m/>
  </r>
  <r>
    <n v="42"/>
    <x v="1"/>
    <x v="0"/>
    <x v="6"/>
    <x v="2"/>
    <n v="15.7"/>
    <s v="Liters"/>
    <n v="157"/>
    <s v="Kilometers"/>
    <m/>
  </r>
  <r>
    <n v="43"/>
    <x v="0"/>
    <x v="0"/>
    <x v="7"/>
    <x v="2"/>
    <n v="1.25"/>
    <s v="Liters"/>
    <n v="2.5"/>
    <s v="Kilometers"/>
    <m/>
  </r>
  <r>
    <n v="44"/>
    <x v="0"/>
    <x v="0"/>
    <x v="7"/>
    <x v="2"/>
    <n v="0"/>
    <s v="Liters"/>
    <n v="0"/>
    <s v="Kilometers"/>
    <m/>
  </r>
  <r>
    <n v="45"/>
    <x v="0"/>
    <x v="0"/>
    <x v="7"/>
    <x v="2"/>
    <n v="0"/>
    <s v="Liters"/>
    <n v="0"/>
    <s v="Kilometers"/>
    <m/>
  </r>
  <r>
    <n v="46"/>
    <x v="1"/>
    <x v="0"/>
    <x v="7"/>
    <x v="2"/>
    <n v="153.13"/>
    <s v="Liters"/>
    <n v="919"/>
    <s v="Kilometers"/>
    <m/>
  </r>
  <r>
    <n v="47"/>
    <x v="2"/>
    <x v="0"/>
    <x v="7"/>
    <x v="2"/>
    <n v="84.8"/>
    <s v="Liters"/>
    <n v="848"/>
    <s v="Kilometers"/>
    <m/>
  </r>
  <r>
    <n v="48"/>
    <x v="1"/>
    <x v="0"/>
    <x v="7"/>
    <x v="2"/>
    <n v="115.76"/>
    <s v="Liters"/>
    <n v="695"/>
    <s v="Kilometers"/>
    <m/>
  </r>
  <r>
    <n v="49"/>
    <x v="0"/>
    <x v="0"/>
    <x v="8"/>
    <x v="2"/>
    <n v="28.1"/>
    <s v="Liters"/>
    <n v="56.2"/>
    <s v="Kilometers"/>
    <m/>
  </r>
  <r>
    <n v="50"/>
    <x v="0"/>
    <x v="0"/>
    <x v="8"/>
    <x v="2"/>
    <n v="16.89"/>
    <s v="Liters"/>
    <n v="50.68"/>
    <s v="Kilometers"/>
    <m/>
  </r>
  <r>
    <n v="51"/>
    <x v="0"/>
    <x v="0"/>
    <x v="8"/>
    <x v="2"/>
    <n v="16.760000000000002"/>
    <s v="Liters"/>
    <n v="50.3"/>
    <s v="Kilometers"/>
    <m/>
  </r>
  <r>
    <n v="52"/>
    <x v="1"/>
    <x v="0"/>
    <x v="8"/>
    <x v="2"/>
    <n v="89.1"/>
    <s v="Liters"/>
    <n v="891"/>
    <s v="Kilometers"/>
    <m/>
  </r>
  <r>
    <n v="53"/>
    <x v="2"/>
    <x v="0"/>
    <x v="8"/>
    <x v="2"/>
    <n v="61.25"/>
    <s v="Liters"/>
    <n v="674"/>
    <s v="Kilometers"/>
    <m/>
  </r>
  <r>
    <n v="54"/>
    <x v="1"/>
    <x v="0"/>
    <x v="8"/>
    <x v="2"/>
    <n v="110.64"/>
    <s v="Liters"/>
    <n v="667"/>
    <s v="Kilometers"/>
    <m/>
  </r>
  <r>
    <n v="55"/>
    <x v="0"/>
    <x v="0"/>
    <x v="9"/>
    <x v="3"/>
    <n v="96.25"/>
    <s v="Liters"/>
    <n v="288.8"/>
    <s v="Kilometers"/>
    <m/>
  </r>
  <r>
    <n v="56"/>
    <x v="0"/>
    <x v="0"/>
    <x v="9"/>
    <x v="3"/>
    <n v="60.97"/>
    <s v="Liters"/>
    <n v="305.02"/>
    <s v="Kilometers"/>
    <m/>
  </r>
  <r>
    <n v="57"/>
    <x v="0"/>
    <x v="0"/>
    <x v="9"/>
    <x v="3"/>
    <n v="92.98"/>
    <s v="Liters"/>
    <n v="279"/>
    <s v="Kilometers"/>
    <m/>
  </r>
  <r>
    <n v="58"/>
    <x v="1"/>
    <x v="0"/>
    <x v="9"/>
    <x v="3"/>
    <n v="60.4"/>
    <s v="Liters"/>
    <n v="604"/>
    <s v="Kilometers"/>
    <m/>
  </r>
  <r>
    <n v="59"/>
    <x v="2"/>
    <x v="0"/>
    <x v="9"/>
    <x v="3"/>
    <n v="18"/>
    <s v="Liters"/>
    <n v="180"/>
    <s v="Kilometers"/>
    <m/>
  </r>
  <r>
    <n v="60"/>
    <x v="1"/>
    <x v="0"/>
    <x v="9"/>
    <x v="3"/>
    <n v="90.11"/>
    <s v="Liters"/>
    <n v="721"/>
    <s v="Kilometers"/>
    <m/>
  </r>
  <r>
    <n v="61"/>
    <x v="0"/>
    <x v="0"/>
    <x v="10"/>
    <x v="3"/>
    <n v="16.600000000000001"/>
    <s v="Liters"/>
    <n v="49.8"/>
    <s v="Kilometers"/>
    <m/>
  </r>
  <r>
    <n v="62"/>
    <x v="0"/>
    <x v="0"/>
    <x v="10"/>
    <x v="3"/>
    <n v="16.829999999999998"/>
    <s v="Liters"/>
    <n v="50.51"/>
    <s v="Kilometers"/>
    <m/>
  </r>
  <r>
    <n v="63"/>
    <x v="0"/>
    <x v="0"/>
    <x v="10"/>
    <x v="3"/>
    <n v="23.07"/>
    <s v="Liters"/>
    <n v="92.3"/>
    <s v="Kilometers"/>
    <m/>
  </r>
  <r>
    <n v="64"/>
    <x v="1"/>
    <x v="0"/>
    <x v="10"/>
    <x v="3"/>
    <n v="71.47"/>
    <s v="Liters"/>
    <n v="572"/>
    <s v="Kilometers"/>
    <m/>
  </r>
  <r>
    <n v="65"/>
    <x v="2"/>
    <x v="0"/>
    <x v="10"/>
    <x v="3"/>
    <n v="3.4"/>
    <s v="Liters"/>
    <n v="34"/>
    <s v="Kilometers"/>
    <m/>
  </r>
  <r>
    <n v="66"/>
    <x v="1"/>
    <x v="0"/>
    <x v="10"/>
    <x v="3"/>
    <n v="23.81"/>
    <s v="Liters"/>
    <n v="192"/>
    <s v="Kilometers"/>
    <m/>
  </r>
  <r>
    <n v="67"/>
    <x v="0"/>
    <x v="0"/>
    <x v="11"/>
    <x v="3"/>
    <n v="18.2"/>
    <s v="Liters"/>
    <n v="54.6"/>
    <s v="Kilometers"/>
    <m/>
  </r>
  <r>
    <n v="68"/>
    <x v="0"/>
    <x v="0"/>
    <x v="11"/>
    <x v="3"/>
    <n v="18.809999999999999"/>
    <s v="Liters"/>
    <n v="56.46"/>
    <s v="Kilometers"/>
    <m/>
  </r>
  <r>
    <n v="69"/>
    <x v="0"/>
    <x v="0"/>
    <x v="11"/>
    <x v="3"/>
    <n v="94.76"/>
    <s v="Liters"/>
    <n v="284.3"/>
    <s v="Kilometers"/>
    <m/>
  </r>
  <r>
    <n v="70"/>
    <x v="1"/>
    <x v="0"/>
    <x v="11"/>
    <x v="3"/>
    <n v="47.7"/>
    <s v="Liters"/>
    <n v="477"/>
    <s v="Kilometers"/>
    <m/>
  </r>
  <r>
    <n v="71"/>
    <x v="2"/>
    <x v="0"/>
    <x v="11"/>
    <x v="3"/>
    <n v="7.1"/>
    <s v="Liters"/>
    <n v="71"/>
    <s v="Kilometers"/>
    <m/>
  </r>
  <r>
    <n v="72"/>
    <x v="1"/>
    <x v="0"/>
    <x v="11"/>
    <x v="3"/>
    <n v="4"/>
    <s v="Liters"/>
    <n v="32"/>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30" totalsRowShown="0" headerRowDxfId="8">
  <autoFilter ref="A1:E930"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7" zoomScale="88" zoomScaleNormal="60" workbookViewId="0">
      <selection activeCell="G43" sqref="G4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c r="E2" s="444"/>
      <c r="F2" s="444"/>
      <c r="G2" s="445"/>
    </row>
    <row r="3" spans="3:7" x14ac:dyDescent="0.2">
      <c r="C3" s="117" t="s">
        <v>12</v>
      </c>
      <c r="D3" s="443"/>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643.91999999999996</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2951.4300000000003</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216008</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896</v>
      </c>
    </row>
    <row r="40" spans="3:5" x14ac:dyDescent="0.2">
      <c r="C40" s="189" t="str">
        <f>'2.4 Water'!B12</f>
        <v>Water Discharge</v>
      </c>
      <c r="D40" s="189" t="str">
        <f>'2.4 Water'!C12</f>
        <v>Cubic meters</v>
      </c>
      <c r="E40" s="190">
        <f>SUM('2.4 Water'!$D$12:$G$12)</f>
        <v>708.4</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19200</v>
      </c>
    </row>
    <row r="45" spans="3:5" x14ac:dyDescent="0.2">
      <c r="C45" s="189" t="str">
        <f>'2.5 Waste'!B12</f>
        <v>Recyclable</v>
      </c>
      <c r="D45" s="189" t="str">
        <f>'2.5 Waste'!C12</f>
        <v>Kilograms</v>
      </c>
      <c r="E45" s="191">
        <f>SUM('2.5 Waste'!$D$12:$G$12)</f>
        <v>24</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239.04</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19.2</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35.520000000000003</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64.08</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293.76</v>
      </c>
      <c r="E11" s="41">
        <f>SUMIFS(Fuel_Blg[Consumption],Fuel_Blg[Quarter],E$10,Fuel_Blg[Fuel Type],$B$11)</f>
        <v>170.72</v>
      </c>
      <c r="F11" s="41">
        <f>SUMIFS(Fuel_Blg[Consumption],Fuel_Blg[Quarter],F$10,Fuel_Blg[Fuel Type],$B$11)</f>
        <v>58.4</v>
      </c>
      <c r="G11" s="41">
        <f>SUMIFS(Fuel_Blg[Consumption],Fuel_Blg[Quarter],G$10,Fuel_Blg[Fuel Type],$B$11)</f>
        <v>121.04</v>
      </c>
      <c r="I11" s="194">
        <f t="shared" si="0"/>
        <v>2</v>
      </c>
      <c r="J11" s="57" t="s">
        <v>37</v>
      </c>
      <c r="K11" s="58" t="s">
        <v>379</v>
      </c>
      <c r="L11" s="18" t="str">
        <f>IF(Fuel_Blg[[#This Row],[Month]]&lt;&gt;"",VLOOKUP(Fuel_Blg[[#This Row],[Month]], dropdown!$S$4:$T$15, 2, FALSE),"")</f>
        <v>Q2</v>
      </c>
      <c r="M11" s="29">
        <v>85.12</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21.52</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18.399999999999999</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12</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28</v>
      </c>
      <c r="N15" s="17" t="str">
        <f>IF($J15="","",VLOOKUP($J15,dropdown!$P$3:$Q$8,2,FALSE))</f>
        <v>Liters</v>
      </c>
      <c r="O15" s="195"/>
      <c r="P15" s="20"/>
    </row>
    <row r="16" spans="2:16" x14ac:dyDescent="0.2">
      <c r="I16" s="194">
        <f t="shared" si="0"/>
        <v>7</v>
      </c>
      <c r="J16" s="57" t="s">
        <v>37</v>
      </c>
      <c r="K16" s="58" t="s">
        <v>400</v>
      </c>
      <c r="L16" s="18" t="str">
        <f>IF(Fuel_Blg[[#This Row],[Month]]&lt;&gt;"",VLOOKUP(Fuel_Blg[[#This Row],[Month]], dropdown!$S$4:$T$15, 2, FALSE),"")</f>
        <v>Q4</v>
      </c>
      <c r="M16" s="29">
        <v>47.44</v>
      </c>
      <c r="N16" s="17" t="str">
        <f>IF($J16="","",VLOOKUP($J16,dropdown!$P$3:$Q$8,2,FALSE))</f>
        <v>Liters</v>
      </c>
      <c r="O16" s="195"/>
      <c r="P16" s="20"/>
    </row>
    <row r="17" spans="2:16" x14ac:dyDescent="0.2">
      <c r="B17" s="267" t="s">
        <v>38</v>
      </c>
      <c r="I17" s="194">
        <f t="shared" si="0"/>
        <v>8</v>
      </c>
      <c r="J17" s="57" t="s">
        <v>37</v>
      </c>
      <c r="K17" s="58" t="s">
        <v>404</v>
      </c>
      <c r="L17" s="18" t="str">
        <f>IF(Fuel_Blg[[#This Row],[Month]]&lt;&gt;"",VLOOKUP(Fuel_Blg[[#This Row],[Month]], dropdown!$S$4:$T$15, 2, FALSE),"")</f>
        <v>Q4</v>
      </c>
      <c r="M17" s="29">
        <v>34.4</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39.200000000000003</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56" zoomScaleNormal="100" workbookViewId="0">
      <selection activeCell="P72" sqref="P7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343</v>
      </c>
      <c r="K7" s="57" t="s">
        <v>63</v>
      </c>
      <c r="L7" s="58" t="s">
        <v>338</v>
      </c>
      <c r="M7" s="18" t="str">
        <f>IF(Fuel_Veh[[#This Row],[Month]]&lt;&gt;"",VLOOKUP(Fuel_Veh[[#This Row],[Month]], dropdown!$S$4:$T$15, 2, FALSE),"")</f>
        <v>Q1</v>
      </c>
      <c r="N7" s="29">
        <v>21.7</v>
      </c>
      <c r="O7" s="17" t="str">
        <f>IF($K7="","",VLOOKUP($K7,dropdown!$P$14:$Q$18,2,FALSE))</f>
        <v>Liters</v>
      </c>
      <c r="P7" s="29">
        <v>43.4</v>
      </c>
      <c r="Q7" s="17" t="str">
        <f t="shared" ref="Q7:Q70" si="0">IF($P7="","","Kilometers")</f>
        <v>Kilometers</v>
      </c>
      <c r="R7" s="195"/>
    </row>
    <row r="8" spans="2:18" x14ac:dyDescent="0.2">
      <c r="I8" s="194">
        <f>IF($J8="","",$I7+1)</f>
        <v>2</v>
      </c>
      <c r="J8" s="57" t="s">
        <v>343</v>
      </c>
      <c r="K8" s="57" t="s">
        <v>63</v>
      </c>
      <c r="L8" s="58" t="s">
        <v>338</v>
      </c>
      <c r="M8" s="18" t="str">
        <f>IF(Fuel_Veh[[#This Row],[Month]]&lt;&gt;"",VLOOKUP(Fuel_Veh[[#This Row],[Month]], dropdown!$S$4:$T$15, 2, FALSE),"")</f>
        <v>Q1</v>
      </c>
      <c r="N8" s="29">
        <v>16.3</v>
      </c>
      <c r="O8" s="17"/>
      <c r="P8" s="29">
        <v>48.9</v>
      </c>
      <c r="Q8" s="17" t="str">
        <f t="shared" si="0"/>
        <v>Kilometers</v>
      </c>
      <c r="R8" s="195"/>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15.5</v>
      </c>
      <c r="O9" s="17" t="str">
        <f>IF($K9="","",VLOOKUP($K9,dropdown!$P$14:$Q$18,2,FALSE))</f>
        <v>Liters</v>
      </c>
      <c r="P9" s="29">
        <v>46.5</v>
      </c>
      <c r="Q9" s="17" t="str">
        <f t="shared" si="0"/>
        <v>Kilometers</v>
      </c>
      <c r="R9" s="195"/>
    </row>
    <row r="10" spans="2:18" x14ac:dyDescent="0.2">
      <c r="B10" s="13" t="s">
        <v>35</v>
      </c>
      <c r="C10" s="13" t="s">
        <v>51</v>
      </c>
      <c r="D10" s="40" t="s">
        <v>45</v>
      </c>
      <c r="E10" s="40" t="s">
        <v>149</v>
      </c>
      <c r="F10" s="40" t="s">
        <v>150</v>
      </c>
      <c r="G10" s="40" t="s">
        <v>151</v>
      </c>
      <c r="I10" s="194">
        <f>IF($J10="","",$I9+1)</f>
        <v>4</v>
      </c>
      <c r="J10" s="57" t="s">
        <v>381</v>
      </c>
      <c r="K10" s="57" t="s">
        <v>63</v>
      </c>
      <c r="L10" s="58" t="s">
        <v>338</v>
      </c>
      <c r="M10" s="18" t="str">
        <f>IF(Fuel_Veh[[#This Row],[Month]]&lt;&gt;"",VLOOKUP(Fuel_Veh[[#This Row],[Month]], dropdown!$S$4:$T$15, 2, FALSE),"")</f>
        <v>Q1</v>
      </c>
      <c r="N10" s="29">
        <v>23.3</v>
      </c>
      <c r="O10" s="17" t="str">
        <f>IF($K10="","",VLOOKUP($K10,dropdown!$P$14:$Q$18,2,FALSE))</f>
        <v>Liters</v>
      </c>
      <c r="P10" s="29">
        <v>233</v>
      </c>
      <c r="Q10" s="17" t="str">
        <f t="shared" si="0"/>
        <v>Kilometers</v>
      </c>
      <c r="R10" s="195"/>
    </row>
    <row r="11" spans="2:18" x14ac:dyDescent="0.2">
      <c r="B11" s="17" t="str">
        <f>dropdown!$P15</f>
        <v>Diesel - Transport vehicles</v>
      </c>
      <c r="C11" s="17" t="str">
        <f>dropdown!$Q15</f>
        <v>Liters</v>
      </c>
      <c r="D11" s="41">
        <f>SUMIFS(Fuel_Veh[Consumption],Fuel_Veh[Quarter],D$10,Fuel_Veh[Fuel Type],$B$11)</f>
        <v>612.46999999999991</v>
      </c>
      <c r="E11" s="41">
        <f>SUMIFS(Fuel_Veh[Consumption],Fuel_Veh[Quarter],E$10,Fuel_Veh[Fuel Type],$B$11)</f>
        <v>755.97000000000014</v>
      </c>
      <c r="F11" s="41">
        <f>SUMIFS(Fuel_Veh[Consumption],Fuel_Veh[Quarter],F$10,Fuel_Veh[Fuel Type],$B$11)</f>
        <v>818.53</v>
      </c>
      <c r="G11" s="41">
        <f>SUMIFS(Fuel_Veh[Consumption],Fuel_Veh[Quarter],G$10,Fuel_Veh[Fuel Type],$B$11)</f>
        <v>764.45999999999992</v>
      </c>
      <c r="I11" s="194">
        <f>IF($J11="","",$I10+1)</f>
        <v>5</v>
      </c>
      <c r="J11" s="57" t="s">
        <v>365</v>
      </c>
      <c r="K11" s="57" t="s">
        <v>63</v>
      </c>
      <c r="L11" s="58" t="s">
        <v>338</v>
      </c>
      <c r="M11" s="18" t="str">
        <f>IF(Fuel_Veh[[#This Row],[Month]]&lt;&gt;"",VLOOKUP(Fuel_Veh[[#This Row],[Month]], dropdown!$S$4:$T$15, 2, FALSE),"")</f>
        <v>Q1</v>
      </c>
      <c r="N11" s="29">
        <v>2.1</v>
      </c>
      <c r="O11" s="17" t="str">
        <f>IF($K11="","",VLOOKUP($K11,dropdown!$P$14:$Q$18,2,FALSE))</f>
        <v>Liters</v>
      </c>
      <c r="P11" s="29">
        <v>21</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338</v>
      </c>
      <c r="M12" s="18" t="str">
        <f>IF(Fuel_Veh[[#This Row],[Month]]&lt;&gt;"",VLOOKUP(Fuel_Veh[[#This Row],[Month]], dropdown!$S$4:$T$15, 2, FALSE),"")</f>
        <v>Q1</v>
      </c>
      <c r="N12" s="29">
        <v>30.25</v>
      </c>
      <c r="O12" s="17" t="str">
        <f>IF($K12="","",VLOOKUP($K12,dropdown!$P$14:$Q$18,2,FALSE))</f>
        <v>Liters</v>
      </c>
      <c r="P12" s="29">
        <v>242</v>
      </c>
      <c r="Q12" s="17" t="str">
        <f t="shared" si="0"/>
        <v>Kilometers</v>
      </c>
      <c r="R12" s="195"/>
    </row>
    <row r="13" spans="2:18" ht="14" customHeight="1" x14ac:dyDescent="0.2">
      <c r="I13" s="194">
        <f t="shared" si="1"/>
        <v>7</v>
      </c>
      <c r="J13" s="57" t="s">
        <v>343</v>
      </c>
      <c r="K13" s="57" t="s">
        <v>63</v>
      </c>
      <c r="L13" s="58" t="s">
        <v>89</v>
      </c>
      <c r="M13" s="18" t="str">
        <f>IF(Fuel_Veh[[#This Row],[Month]]&lt;&gt;"",VLOOKUP(Fuel_Veh[[#This Row],[Month]], dropdown!$S$4:$T$15, 2, FALSE),"")</f>
        <v>Q1</v>
      </c>
      <c r="N13" s="29">
        <v>24.9</v>
      </c>
      <c r="O13" s="17" t="str">
        <f>IF($K13="","",VLOOKUP($K13,dropdown!$P$14:$Q$18,2,FALSE))</f>
        <v>Liters</v>
      </c>
      <c r="P13" s="29">
        <v>49.8</v>
      </c>
      <c r="Q13" s="17" t="str">
        <f t="shared" si="0"/>
        <v>Kilometers</v>
      </c>
      <c r="R13" s="195"/>
    </row>
    <row r="14" spans="2:18" x14ac:dyDescent="0.2">
      <c r="B14" s="267" t="s">
        <v>38</v>
      </c>
      <c r="I14" s="194">
        <f t="shared" si="1"/>
        <v>8</v>
      </c>
      <c r="J14" s="57" t="s">
        <v>343</v>
      </c>
      <c r="K14" s="57" t="s">
        <v>63</v>
      </c>
      <c r="L14" s="58" t="s">
        <v>89</v>
      </c>
      <c r="M14" s="18" t="str">
        <f>IF(Fuel_Veh[[#This Row],[Month]]&lt;&gt;"",VLOOKUP(Fuel_Veh[[#This Row],[Month]], dropdown!$S$4:$T$15, 2, FALSE),"")</f>
        <v>Q1</v>
      </c>
      <c r="N14" s="29">
        <v>16.829999999999998</v>
      </c>
      <c r="O14" s="17" t="str">
        <f>IF($K14="","",VLOOKUP($K14,dropdown!$P$14:$Q$18,2,FALSE))</f>
        <v>Liters</v>
      </c>
      <c r="P14" s="29">
        <v>50.51</v>
      </c>
      <c r="Q14" s="17" t="str">
        <f t="shared" si="0"/>
        <v>Kilometers</v>
      </c>
      <c r="R14" s="195"/>
    </row>
    <row r="15" spans="2:18" x14ac:dyDescent="0.2">
      <c r="B15" s="268" t="s">
        <v>175</v>
      </c>
      <c r="I15" s="194">
        <f t="shared" si="1"/>
        <v>9</v>
      </c>
      <c r="J15" s="57" t="s">
        <v>343</v>
      </c>
      <c r="K15" s="57" t="s">
        <v>63</v>
      </c>
      <c r="L15" s="58" t="s">
        <v>89</v>
      </c>
      <c r="M15" s="18" t="str">
        <f>IF(Fuel_Veh[[#This Row],[Month]]&lt;&gt;"",VLOOKUP(Fuel_Veh[[#This Row],[Month]], dropdown!$S$4:$T$15, 2, FALSE),"")</f>
        <v>Q1</v>
      </c>
      <c r="N15" s="29">
        <v>16.59</v>
      </c>
      <c r="O15" s="17" t="str">
        <f>IF($K15="","",VLOOKUP($K15,dropdown!$P$14:$Q$18,2,FALSE))</f>
        <v>Liters</v>
      </c>
      <c r="P15" s="29">
        <v>49.8</v>
      </c>
      <c r="Q15" s="17" t="str">
        <f t="shared" si="0"/>
        <v>Kilometers</v>
      </c>
      <c r="R15" s="195"/>
    </row>
    <row r="16" spans="2:18" x14ac:dyDescent="0.2">
      <c r="B16" s="266" t="s">
        <v>176</v>
      </c>
      <c r="I16" s="194">
        <f t="shared" si="1"/>
        <v>10</v>
      </c>
      <c r="J16" s="57" t="s">
        <v>381</v>
      </c>
      <c r="K16" s="57" t="s">
        <v>63</v>
      </c>
      <c r="L16" s="58" t="s">
        <v>89</v>
      </c>
      <c r="M16" s="18" t="str">
        <f>IF(Fuel_Veh[[#This Row],[Month]]&lt;&gt;"",VLOOKUP(Fuel_Veh[[#This Row],[Month]], dropdown!$S$4:$T$15, 2, FALSE),"")</f>
        <v>Q1</v>
      </c>
      <c r="N16" s="29">
        <v>38.6</v>
      </c>
      <c r="O16" s="17" t="str">
        <f>IF($K16="","",VLOOKUP($K16,dropdown!$P$14:$Q$18,2,FALSE))</f>
        <v>Liters</v>
      </c>
      <c r="P16" s="29">
        <v>386</v>
      </c>
      <c r="Q16" s="17" t="str">
        <f t="shared" si="0"/>
        <v>Kilometers</v>
      </c>
      <c r="R16" s="195"/>
    </row>
    <row r="17" spans="2:18" x14ac:dyDescent="0.2">
      <c r="B17" s="17" t="s">
        <v>177</v>
      </c>
      <c r="I17" s="194">
        <f t="shared" si="1"/>
        <v>11</v>
      </c>
      <c r="J17" s="57" t="s">
        <v>365</v>
      </c>
      <c r="K17" s="57" t="s">
        <v>63</v>
      </c>
      <c r="L17" s="58" t="s">
        <v>89</v>
      </c>
      <c r="M17" s="18" t="str">
        <f>IF(Fuel_Veh[[#This Row],[Month]]&lt;&gt;"",VLOOKUP(Fuel_Veh[[#This Row],[Month]], dropdown!$S$4:$T$15, 2, FALSE),"")</f>
        <v>Q1</v>
      </c>
      <c r="N17" s="29">
        <v>17.600000000000001</v>
      </c>
      <c r="O17" s="17" t="str">
        <f>IF($K17="","",VLOOKUP($K17,dropdown!$P$14:$Q$18,2,FALSE))</f>
        <v>Liters</v>
      </c>
      <c r="P17" s="29">
        <v>176</v>
      </c>
      <c r="Q17" s="17" t="str">
        <f t="shared" si="0"/>
        <v>Kilometers</v>
      </c>
      <c r="R17" s="195"/>
    </row>
    <row r="18" spans="2:18" x14ac:dyDescent="0.2">
      <c r="I18" s="194">
        <f t="shared" si="1"/>
        <v>12</v>
      </c>
      <c r="J18" s="57" t="s">
        <v>381</v>
      </c>
      <c r="K18" s="57" t="s">
        <v>63</v>
      </c>
      <c r="L18" s="58" t="s">
        <v>89</v>
      </c>
      <c r="M18" s="18" t="str">
        <f>IF(Fuel_Veh[[#This Row],[Month]]&lt;&gt;"",VLOOKUP(Fuel_Veh[[#This Row],[Month]], dropdown!$S$4:$T$15, 2, FALSE),"")</f>
        <v>Q1</v>
      </c>
      <c r="N18" s="29">
        <v>66</v>
      </c>
      <c r="O18" s="17" t="str">
        <f>IF($K18="","",VLOOKUP($K18,dropdown!$P$14:$Q$18,2,FALSE))</f>
        <v>Liters</v>
      </c>
      <c r="P18" s="29">
        <v>660</v>
      </c>
      <c r="Q18" s="17" t="str">
        <f t="shared" si="0"/>
        <v>Kilometers</v>
      </c>
      <c r="R18" s="195"/>
    </row>
    <row r="19" spans="2:18" x14ac:dyDescent="0.2">
      <c r="I19" s="194">
        <f t="shared" si="1"/>
        <v>13</v>
      </c>
      <c r="J19" s="57" t="s">
        <v>343</v>
      </c>
      <c r="K19" s="57" t="s">
        <v>63</v>
      </c>
      <c r="L19" s="58" t="s">
        <v>362</v>
      </c>
      <c r="M19" s="18" t="str">
        <f>IF(Fuel_Veh[[#This Row],[Month]]&lt;&gt;"",VLOOKUP(Fuel_Veh[[#This Row],[Month]], dropdown!$S$4:$T$15, 2, FALSE),"")</f>
        <v>Q1</v>
      </c>
      <c r="N19" s="29">
        <v>126.4</v>
      </c>
      <c r="O19" s="17" t="str">
        <f>IF($K19="","",VLOOKUP($K19,dropdown!$P$14:$Q$18,2,FALSE))</f>
        <v>Liters</v>
      </c>
      <c r="P19" s="29">
        <v>252.8</v>
      </c>
      <c r="Q19" s="17" t="str">
        <f t="shared" si="0"/>
        <v>Kilometers</v>
      </c>
      <c r="R19" s="195"/>
    </row>
    <row r="20" spans="2:18" x14ac:dyDescent="0.2">
      <c r="I20" s="194">
        <f t="shared" si="1"/>
        <v>14</v>
      </c>
      <c r="J20" s="57" t="s">
        <v>343</v>
      </c>
      <c r="K20" s="57" t="s">
        <v>63</v>
      </c>
      <c r="L20" s="58" t="s">
        <v>362</v>
      </c>
      <c r="M20" s="18" t="str">
        <f>IF(Fuel_Veh[[#This Row],[Month]]&lt;&gt;"",VLOOKUP(Fuel_Veh[[#This Row],[Month]], dropdown!$S$4:$T$15, 2, FALSE),"")</f>
        <v>Q1</v>
      </c>
      <c r="N20" s="29">
        <v>65.36</v>
      </c>
      <c r="O20" s="17" t="str">
        <f>IF($K20="","",VLOOKUP($K20,dropdown!$P$14:$Q$18,2,FALSE))</f>
        <v>Liters</v>
      </c>
      <c r="P20" s="29">
        <v>196.12</v>
      </c>
      <c r="Q20" s="17" t="str">
        <f t="shared" si="0"/>
        <v>Kilometers</v>
      </c>
      <c r="R20" s="195"/>
    </row>
    <row r="21" spans="2:18" x14ac:dyDescent="0.2">
      <c r="I21" s="194">
        <f t="shared" si="1"/>
        <v>15</v>
      </c>
      <c r="J21" s="57" t="s">
        <v>343</v>
      </c>
      <c r="K21" s="57" t="s">
        <v>63</v>
      </c>
      <c r="L21" s="58" t="s">
        <v>362</v>
      </c>
      <c r="M21" s="18" t="str">
        <f>IF(Fuel_Veh[[#This Row],[Month]]&lt;&gt;"",VLOOKUP(Fuel_Veh[[#This Row],[Month]], dropdown!$S$4:$T$15, 2, FALSE),"")</f>
        <v>Q1</v>
      </c>
      <c r="N21" s="29">
        <v>85.24</v>
      </c>
      <c r="O21" s="17" t="str">
        <f>IF($K21="","",VLOOKUP($K21,dropdown!$P$14:$Q$18,2,FALSE))</f>
        <v>Liters</v>
      </c>
      <c r="P21" s="29">
        <v>255.8</v>
      </c>
      <c r="Q21" s="17" t="str">
        <f t="shared" si="0"/>
        <v>Kilometers</v>
      </c>
      <c r="R21" s="195"/>
    </row>
    <row r="22" spans="2:18" x14ac:dyDescent="0.2">
      <c r="I22" s="194">
        <f t="shared" si="1"/>
        <v>16</v>
      </c>
      <c r="J22" s="57" t="s">
        <v>381</v>
      </c>
      <c r="K22" s="57" t="s">
        <v>63</v>
      </c>
      <c r="L22" s="58" t="s">
        <v>362</v>
      </c>
      <c r="M22" s="18" t="str">
        <f>IF(Fuel_Veh[[#This Row],[Month]]&lt;&gt;"",VLOOKUP(Fuel_Veh[[#This Row],[Month]], dropdown!$S$4:$T$15, 2, FALSE),"")</f>
        <v>Q1</v>
      </c>
      <c r="N22" s="29">
        <v>13.7</v>
      </c>
      <c r="O22" s="17" t="str">
        <f>IF($K22="","",VLOOKUP($K22,dropdown!$P$14:$Q$18,2,FALSE))</f>
        <v>Liters</v>
      </c>
      <c r="P22" s="29">
        <v>137</v>
      </c>
      <c r="Q22" s="17" t="str">
        <f t="shared" si="0"/>
        <v>Kilometers</v>
      </c>
      <c r="R22" s="195"/>
    </row>
    <row r="23" spans="2:18" x14ac:dyDescent="0.2">
      <c r="I23" s="194">
        <f t="shared" si="1"/>
        <v>17</v>
      </c>
      <c r="J23" s="57" t="s">
        <v>365</v>
      </c>
      <c r="K23" s="57" t="s">
        <v>63</v>
      </c>
      <c r="L23" s="58" t="s">
        <v>362</v>
      </c>
      <c r="M23" s="18" t="str">
        <f>IF(Fuel_Veh[[#This Row],[Month]]&lt;&gt;"",VLOOKUP(Fuel_Veh[[#This Row],[Month]], dropdown!$S$4:$T$15, 2, FALSE),"")</f>
        <v>Q1</v>
      </c>
      <c r="N23" s="29">
        <v>24.3</v>
      </c>
      <c r="O23" s="17" t="str">
        <f>IF($K23="","",VLOOKUP($K23,dropdown!$P$14:$Q$18,2,FALSE))</f>
        <v>Liters</v>
      </c>
      <c r="P23" s="29">
        <v>243</v>
      </c>
      <c r="Q23" s="17" t="str">
        <f t="shared" si="0"/>
        <v>Kilometers</v>
      </c>
      <c r="R23" s="195"/>
    </row>
    <row r="24" spans="2:18" x14ac:dyDescent="0.2">
      <c r="I24" s="194">
        <f t="shared" si="1"/>
        <v>18</v>
      </c>
      <c r="J24" s="57" t="s">
        <v>381</v>
      </c>
      <c r="K24" s="57" t="s">
        <v>63</v>
      </c>
      <c r="L24" s="58" t="s">
        <v>362</v>
      </c>
      <c r="M24" s="18" t="str">
        <f>IF(Fuel_Veh[[#This Row],[Month]]&lt;&gt;"",VLOOKUP(Fuel_Veh[[#This Row],[Month]], dropdown!$S$4:$T$15, 2, FALSE),"")</f>
        <v>Q1</v>
      </c>
      <c r="N24" s="29">
        <v>7.8</v>
      </c>
      <c r="O24" s="17" t="str">
        <f>IF($K24="","",VLOOKUP($K24,dropdown!$P$14:$Q$18,2,FALSE))</f>
        <v>Liters</v>
      </c>
      <c r="P24" s="29">
        <v>78</v>
      </c>
      <c r="Q24" s="17" t="str">
        <f t="shared" si="0"/>
        <v>Kilometers</v>
      </c>
      <c r="R24" s="195"/>
    </row>
    <row r="25" spans="2:18" x14ac:dyDescent="0.2">
      <c r="I25" s="194">
        <f t="shared" si="1"/>
        <v>19</v>
      </c>
      <c r="J25" s="57" t="s">
        <v>343</v>
      </c>
      <c r="K25" s="57" t="s">
        <v>63</v>
      </c>
      <c r="L25" s="58" t="s">
        <v>371</v>
      </c>
      <c r="M25" s="18" t="str">
        <f>IF(Fuel_Veh[[#This Row],[Month]]&lt;&gt;"",VLOOKUP(Fuel_Veh[[#This Row],[Month]], dropdown!$S$4:$T$15, 2, FALSE),"")</f>
        <v>Q2</v>
      </c>
      <c r="N25" s="29">
        <v>30.84</v>
      </c>
      <c r="O25" s="17" t="str">
        <f>IF($K25="","",VLOOKUP($K25,dropdown!$P$14:$Q$18,2,FALSE))</f>
        <v>Liters</v>
      </c>
      <c r="P25" s="29">
        <v>92.5</v>
      </c>
      <c r="Q25" s="17" t="str">
        <f t="shared" si="0"/>
        <v>Kilometers</v>
      </c>
      <c r="R25" s="195"/>
    </row>
    <row r="26" spans="2:18" x14ac:dyDescent="0.2">
      <c r="I26" s="194">
        <f t="shared" si="1"/>
        <v>20</v>
      </c>
      <c r="J26" s="57" t="s">
        <v>343</v>
      </c>
      <c r="K26" s="57" t="s">
        <v>63</v>
      </c>
      <c r="L26" s="196" t="s">
        <v>371</v>
      </c>
      <c r="M26" s="18" t="str">
        <f>IF(Fuel_Veh[[#This Row],[Month]]&lt;&gt;"",VLOOKUP(Fuel_Veh[[#This Row],[Month]], dropdown!$S$4:$T$15, 2, FALSE),"")</f>
        <v>Q2</v>
      </c>
      <c r="N26" s="197">
        <v>31.16</v>
      </c>
      <c r="O26" s="198" t="str">
        <f>IF($K26="","",VLOOKUP($K26,dropdown!$P$14:$Q$18,2,FALSE))</f>
        <v>Liters</v>
      </c>
      <c r="P26" s="197">
        <v>93.48</v>
      </c>
      <c r="Q26" s="17" t="str">
        <f t="shared" si="0"/>
        <v>Kilometers</v>
      </c>
      <c r="R26" s="199"/>
    </row>
    <row r="27" spans="2:18" x14ac:dyDescent="0.2">
      <c r="I27" s="194">
        <f t="shared" si="1"/>
        <v>21</v>
      </c>
      <c r="J27" s="57" t="s">
        <v>343</v>
      </c>
      <c r="K27" s="57" t="s">
        <v>63</v>
      </c>
      <c r="L27" s="58" t="s">
        <v>371</v>
      </c>
      <c r="M27" s="18" t="str">
        <f>IF(Fuel_Veh[[#This Row],[Month]]&lt;&gt;"",VLOOKUP(Fuel_Veh[[#This Row],[Month]], dropdown!$S$4:$T$15, 2, FALSE),"")</f>
        <v>Q2</v>
      </c>
      <c r="N27" s="29">
        <v>30.9</v>
      </c>
      <c r="O27" s="17" t="str">
        <f>IF($K27="","",VLOOKUP($K27,dropdown!$P$14:$Q$18,2,FALSE))</f>
        <v>Liters</v>
      </c>
      <c r="P27" s="29">
        <v>92.7</v>
      </c>
      <c r="Q27" s="17" t="str">
        <f t="shared" si="0"/>
        <v>Kilometers</v>
      </c>
      <c r="R27" s="195"/>
    </row>
    <row r="28" spans="2:18" x14ac:dyDescent="0.2">
      <c r="I28" s="194">
        <f t="shared" si="1"/>
        <v>22</v>
      </c>
      <c r="J28" s="57" t="s">
        <v>381</v>
      </c>
      <c r="K28" s="57" t="s">
        <v>63</v>
      </c>
      <c r="L28" s="58" t="s">
        <v>371</v>
      </c>
      <c r="M28" s="18" t="str">
        <f>IF(Fuel_Veh[[#This Row],[Month]]&lt;&gt;"",VLOOKUP(Fuel_Veh[[#This Row],[Month]], dropdown!$S$4:$T$15, 2, FALSE),"")</f>
        <v>Q2</v>
      </c>
      <c r="N28" s="29">
        <v>135.9</v>
      </c>
      <c r="O28" s="17" t="str">
        <f>IF($K28="","",VLOOKUP($K28,dropdown!$P$14:$Q$18,2,FALSE))</f>
        <v>Liters</v>
      </c>
      <c r="P28" s="29">
        <v>1087</v>
      </c>
      <c r="Q28" s="17" t="str">
        <f t="shared" si="0"/>
        <v>Kilometers</v>
      </c>
      <c r="R28" s="195"/>
    </row>
    <row r="29" spans="2:18" x14ac:dyDescent="0.2">
      <c r="I29" s="194">
        <f t="shared" si="1"/>
        <v>23</v>
      </c>
      <c r="J29" s="57" t="s">
        <v>365</v>
      </c>
      <c r="K29" s="57" t="s">
        <v>63</v>
      </c>
      <c r="L29" s="58" t="s">
        <v>371</v>
      </c>
      <c r="M29" s="18" t="str">
        <f>IF(Fuel_Veh[[#This Row],[Month]]&lt;&gt;"",VLOOKUP(Fuel_Veh[[#This Row],[Month]], dropdown!$S$4:$T$15, 2, FALSE),"")</f>
        <v>Q2</v>
      </c>
      <c r="N29" s="29">
        <v>111.2</v>
      </c>
      <c r="O29" s="17" t="str">
        <f>IF($K29="","",VLOOKUP($K29,dropdown!$P$14:$Q$18,2,FALSE))</f>
        <v>Liters</v>
      </c>
      <c r="P29" s="29">
        <v>1112</v>
      </c>
      <c r="Q29" s="17" t="str">
        <f t="shared" si="0"/>
        <v>Kilometers</v>
      </c>
      <c r="R29" s="195"/>
    </row>
    <row r="30" spans="2:18" x14ac:dyDescent="0.2">
      <c r="I30" s="194">
        <f t="shared" si="1"/>
        <v>24</v>
      </c>
      <c r="J30" s="57" t="s">
        <v>381</v>
      </c>
      <c r="K30" s="345" t="s">
        <v>63</v>
      </c>
      <c r="L30" s="196" t="s">
        <v>371</v>
      </c>
      <c r="M30" s="18" t="str">
        <f>IF(Fuel_Veh[[#This Row],[Month]]&lt;&gt;"",VLOOKUP(Fuel_Veh[[#This Row],[Month]], dropdown!$S$4:$T$15, 2, FALSE),"")</f>
        <v>Q2</v>
      </c>
      <c r="N30" s="197">
        <v>30</v>
      </c>
      <c r="O30" s="198" t="str">
        <f>IF($K30="","",VLOOKUP($K30,dropdown!$P$14:$Q$18,2,FALSE))</f>
        <v>Liters</v>
      </c>
      <c r="P30" s="197">
        <v>210</v>
      </c>
      <c r="Q30" s="17" t="str">
        <f t="shared" si="0"/>
        <v>Kilometers</v>
      </c>
      <c r="R30" s="199"/>
    </row>
    <row r="31" spans="2:18" x14ac:dyDescent="0.2">
      <c r="I31" s="194">
        <f t="shared" si="1"/>
        <v>25</v>
      </c>
      <c r="J31" s="57" t="s">
        <v>343</v>
      </c>
      <c r="K31" s="57" t="s">
        <v>63</v>
      </c>
      <c r="L31" s="58" t="s">
        <v>379</v>
      </c>
      <c r="M31" s="18" t="str">
        <f>IF(Fuel_Veh[[#This Row],[Month]]&lt;&gt;"",VLOOKUP(Fuel_Veh[[#This Row],[Month]], dropdown!$S$4:$T$15, 2, FALSE),"")</f>
        <v>Q2</v>
      </c>
      <c r="N31" s="29">
        <v>5.7</v>
      </c>
      <c r="O31" s="17" t="str">
        <f>IF($K31="","",VLOOKUP($K31,dropdown!$P$14:$Q$18,2,FALSE))</f>
        <v>Liters</v>
      </c>
      <c r="P31" s="29">
        <v>17.100000000000001</v>
      </c>
      <c r="Q31" s="17" t="str">
        <f t="shared" si="0"/>
        <v>Kilometers</v>
      </c>
      <c r="R31" s="199"/>
    </row>
    <row r="32" spans="2:18" x14ac:dyDescent="0.2">
      <c r="I32" s="194">
        <f t="shared" si="1"/>
        <v>26</v>
      </c>
      <c r="J32" s="57" t="s">
        <v>343</v>
      </c>
      <c r="K32" s="57" t="s">
        <v>63</v>
      </c>
      <c r="L32" s="58" t="s">
        <v>379</v>
      </c>
      <c r="M32" s="18" t="str">
        <f>IF(Fuel_Veh[[#This Row],[Month]]&lt;&gt;"",VLOOKUP(Fuel_Veh[[#This Row],[Month]], dropdown!$S$4:$T$15, 2, FALSE),"")</f>
        <v>Q2</v>
      </c>
      <c r="N32" s="29">
        <v>4.92</v>
      </c>
      <c r="O32" s="17" t="str">
        <f>IF($K32="","",VLOOKUP($K32,dropdown!$P$14:$Q$18,2,FALSE))</f>
        <v>Liters</v>
      </c>
      <c r="P32" s="29">
        <v>14.8</v>
      </c>
      <c r="Q32" s="17" t="str">
        <f t="shared" si="0"/>
        <v>Kilometers</v>
      </c>
      <c r="R32" s="199"/>
    </row>
    <row r="33" spans="9:18" x14ac:dyDescent="0.2">
      <c r="I33" s="194">
        <f t="shared" si="1"/>
        <v>27</v>
      </c>
      <c r="J33" s="57" t="s">
        <v>343</v>
      </c>
      <c r="K33" s="57" t="s">
        <v>63</v>
      </c>
      <c r="L33" s="58" t="s">
        <v>379</v>
      </c>
      <c r="M33" s="18" t="str">
        <f>IF(Fuel_Veh[[#This Row],[Month]]&lt;&gt;"",VLOOKUP(Fuel_Veh[[#This Row],[Month]], dropdown!$S$4:$T$15, 2, FALSE),"")</f>
        <v>Q2</v>
      </c>
      <c r="N33" s="29">
        <v>4.8</v>
      </c>
      <c r="O33" s="17" t="str">
        <f>IF($K33="","",VLOOKUP($K33,dropdown!$P$14:$Q$18,2,FALSE))</f>
        <v>Liters</v>
      </c>
      <c r="P33" s="29">
        <v>14.4</v>
      </c>
      <c r="Q33" s="17" t="str">
        <f t="shared" si="0"/>
        <v>Kilometers</v>
      </c>
      <c r="R33" s="199"/>
    </row>
    <row r="34" spans="9:18" x14ac:dyDescent="0.2">
      <c r="I34" s="194">
        <f t="shared" si="1"/>
        <v>28</v>
      </c>
      <c r="J34" s="57" t="s">
        <v>381</v>
      </c>
      <c r="K34" s="57" t="s">
        <v>63</v>
      </c>
      <c r="L34" s="58" t="s">
        <v>379</v>
      </c>
      <c r="M34" s="18" t="str">
        <f>IF(Fuel_Veh[[#This Row],[Month]]&lt;&gt;"",VLOOKUP(Fuel_Veh[[#This Row],[Month]], dropdown!$S$4:$T$15, 2, FALSE),"")</f>
        <v>Q2</v>
      </c>
      <c r="N34" s="29">
        <v>125.85</v>
      </c>
      <c r="O34" s="17" t="str">
        <f>IF($K34="","",VLOOKUP($K34,dropdown!$P$14:$Q$18,2,FALSE))</f>
        <v>Liters</v>
      </c>
      <c r="P34" s="29">
        <v>1007</v>
      </c>
      <c r="Q34" s="17" t="str">
        <f t="shared" si="0"/>
        <v>Kilometers</v>
      </c>
      <c r="R34" s="199"/>
    </row>
    <row r="35" spans="9:18" x14ac:dyDescent="0.2">
      <c r="I35" s="194">
        <f t="shared" si="1"/>
        <v>29</v>
      </c>
      <c r="J35" s="57" t="s">
        <v>365</v>
      </c>
      <c r="K35" s="57" t="s">
        <v>63</v>
      </c>
      <c r="L35" s="58" t="s">
        <v>379</v>
      </c>
      <c r="M35" s="18" t="str">
        <f>IF(Fuel_Veh[[#This Row],[Month]]&lt;&gt;"",VLOOKUP(Fuel_Veh[[#This Row],[Month]], dropdown!$S$4:$T$15, 2, FALSE),"")</f>
        <v>Q2</v>
      </c>
      <c r="N35" s="29">
        <v>9.6999999999999993</v>
      </c>
      <c r="O35" s="17" t="str">
        <f>IF($K35="","",VLOOKUP($K35,dropdown!$P$14:$Q$18,2,FALSE))</f>
        <v>Liters</v>
      </c>
      <c r="P35" s="29">
        <v>97</v>
      </c>
      <c r="Q35" s="17" t="str">
        <f t="shared" si="0"/>
        <v>Kilometers</v>
      </c>
      <c r="R35" s="199"/>
    </row>
    <row r="36" spans="9:18" x14ac:dyDescent="0.2">
      <c r="I36" s="194">
        <f t="shared" si="1"/>
        <v>30</v>
      </c>
      <c r="J36" s="57" t="s">
        <v>381</v>
      </c>
      <c r="K36" s="57" t="s">
        <v>63</v>
      </c>
      <c r="L36" s="58" t="s">
        <v>379</v>
      </c>
      <c r="M36" s="18" t="str">
        <f>IF(Fuel_Veh[[#This Row],[Month]]&lt;&gt;"",VLOOKUP(Fuel_Veh[[#This Row],[Month]], dropdown!$S$4:$T$15, 2, FALSE),"")</f>
        <v>Q2</v>
      </c>
      <c r="N36" s="29">
        <v>87.61</v>
      </c>
      <c r="O36" s="17" t="str">
        <f>IF($K36="","",VLOOKUP($K36,dropdown!$P$14:$Q$18,2,FALSE))</f>
        <v>Liters</v>
      </c>
      <c r="P36" s="29">
        <v>701</v>
      </c>
      <c r="Q36" s="17" t="str">
        <f t="shared" si="0"/>
        <v>Kilometers</v>
      </c>
      <c r="R36" s="199"/>
    </row>
    <row r="37" spans="9:18" x14ac:dyDescent="0.2">
      <c r="I37" s="194">
        <f t="shared" si="1"/>
        <v>31</v>
      </c>
      <c r="J37" s="57" t="s">
        <v>343</v>
      </c>
      <c r="K37" s="57" t="s">
        <v>63</v>
      </c>
      <c r="L37" s="58" t="s">
        <v>386</v>
      </c>
      <c r="M37" s="18" t="str">
        <f>IF(Fuel_Veh[[#This Row],[Month]]&lt;&gt;"",VLOOKUP(Fuel_Veh[[#This Row],[Month]], dropdown!$S$4:$T$15, 2, FALSE),"")</f>
        <v>Q2</v>
      </c>
      <c r="N37" s="29">
        <v>2.23</v>
      </c>
      <c r="O37" s="17" t="str">
        <f>IF($K37="","",VLOOKUP($K37,dropdown!$P$14:$Q$18,2,FALSE))</f>
        <v>Liters</v>
      </c>
      <c r="P37" s="29">
        <v>6.7</v>
      </c>
      <c r="Q37" s="17" t="str">
        <f t="shared" si="0"/>
        <v>Kilometers</v>
      </c>
      <c r="R37" s="199"/>
    </row>
    <row r="38" spans="9:18" x14ac:dyDescent="0.2">
      <c r="I38" s="194">
        <f t="shared" si="1"/>
        <v>32</v>
      </c>
      <c r="J38" s="57" t="s">
        <v>343</v>
      </c>
      <c r="K38" s="57" t="s">
        <v>63</v>
      </c>
      <c r="L38" s="58" t="s">
        <v>386</v>
      </c>
      <c r="M38" s="18" t="str">
        <f>IF(Fuel_Veh[[#This Row],[Month]]&lt;&gt;"",VLOOKUP(Fuel_Veh[[#This Row],[Month]], dropdown!$S$4:$T$15, 2, FALSE),"")</f>
        <v>Q2</v>
      </c>
      <c r="N38" s="29">
        <v>0</v>
      </c>
      <c r="O38" s="17" t="str">
        <f>IF($K38="","",VLOOKUP($K38,dropdown!$P$14:$Q$18,2,FALSE))</f>
        <v>Liters</v>
      </c>
      <c r="P38" s="29">
        <v>0</v>
      </c>
      <c r="Q38" s="17" t="str">
        <f t="shared" si="0"/>
        <v>Kilometers</v>
      </c>
      <c r="R38" s="199"/>
    </row>
    <row r="39" spans="9:18" x14ac:dyDescent="0.2">
      <c r="I39" s="194">
        <f t="shared" si="1"/>
        <v>33</v>
      </c>
      <c r="J39" s="57" t="s">
        <v>343</v>
      </c>
      <c r="K39" s="57" t="s">
        <v>63</v>
      </c>
      <c r="L39" s="58" t="s">
        <v>386</v>
      </c>
      <c r="M39" s="18" t="str">
        <f>IF(Fuel_Veh[[#This Row],[Month]]&lt;&gt;"",VLOOKUP(Fuel_Veh[[#This Row],[Month]], dropdown!$S$4:$T$15, 2, FALSE),"")</f>
        <v>Q2</v>
      </c>
      <c r="N39" s="29">
        <v>0</v>
      </c>
      <c r="O39" s="17" t="str">
        <f>IF($K39="","",VLOOKUP($K39,dropdown!$P$14:$Q$18,2,FALSE))</f>
        <v>Liters</v>
      </c>
      <c r="P39" s="29">
        <v>0</v>
      </c>
      <c r="Q39" s="17" t="str">
        <f t="shared" si="0"/>
        <v>Kilometers</v>
      </c>
      <c r="R39" s="199"/>
    </row>
    <row r="40" spans="9:18" x14ac:dyDescent="0.2">
      <c r="I40" s="194">
        <f t="shared" si="1"/>
        <v>34</v>
      </c>
      <c r="J40" s="57" t="s">
        <v>381</v>
      </c>
      <c r="K40" s="57" t="s">
        <v>63</v>
      </c>
      <c r="L40" s="58" t="s">
        <v>386</v>
      </c>
      <c r="M40" s="18" t="str">
        <f>IF(Fuel_Veh[[#This Row],[Month]]&lt;&gt;"",VLOOKUP(Fuel_Veh[[#This Row],[Month]], dropdown!$S$4:$T$15, 2, FALSE),"")</f>
        <v>Q2</v>
      </c>
      <c r="N40" s="29">
        <v>38.11</v>
      </c>
      <c r="O40" s="17" t="str">
        <f>IF($K40="","",VLOOKUP($K40,dropdown!$P$14:$Q$18,2,FALSE))</f>
        <v>Liters</v>
      </c>
      <c r="P40" s="29">
        <v>531</v>
      </c>
      <c r="Q40" s="17" t="str">
        <f t="shared" si="0"/>
        <v>Kilometers</v>
      </c>
      <c r="R40" s="199"/>
    </row>
    <row r="41" spans="9:18" x14ac:dyDescent="0.2">
      <c r="I41" s="194">
        <f t="shared" si="1"/>
        <v>35</v>
      </c>
      <c r="J41" s="57" t="s">
        <v>365</v>
      </c>
      <c r="K41" s="57" t="s">
        <v>63</v>
      </c>
      <c r="L41" s="58" t="s">
        <v>386</v>
      </c>
      <c r="M41" s="18" t="str">
        <f>IF(Fuel_Veh[[#This Row],[Month]]&lt;&gt;"",VLOOKUP(Fuel_Veh[[#This Row],[Month]], dropdown!$S$4:$T$15, 2, FALSE),"")</f>
        <v>Q2</v>
      </c>
      <c r="N41" s="29">
        <v>35.1</v>
      </c>
      <c r="O41" s="17" t="str">
        <f>IF($K41="","",VLOOKUP($K41,dropdown!$P$14:$Q$18,2,FALSE))</f>
        <v>Liters</v>
      </c>
      <c r="P41" s="29">
        <v>351</v>
      </c>
      <c r="Q41" s="17" t="str">
        <f t="shared" si="0"/>
        <v>Kilometers</v>
      </c>
      <c r="R41" s="199"/>
    </row>
    <row r="42" spans="9:18" x14ac:dyDescent="0.2">
      <c r="I42" s="194">
        <f t="shared" si="1"/>
        <v>36</v>
      </c>
      <c r="J42" s="57" t="s">
        <v>381</v>
      </c>
      <c r="K42" s="57" t="s">
        <v>63</v>
      </c>
      <c r="L42" s="58" t="s">
        <v>386</v>
      </c>
      <c r="M42" s="18" t="str">
        <f>IF(Fuel_Veh[[#This Row],[Month]]&lt;&gt;"",VLOOKUP(Fuel_Veh[[#This Row],[Month]], dropdown!$S$4:$T$15, 2, FALSE),"")</f>
        <v>Q2</v>
      </c>
      <c r="N42" s="29">
        <v>71.95</v>
      </c>
      <c r="O42" s="17" t="str">
        <f>IF($K42="","",VLOOKUP($K42,dropdown!$P$14:$Q$18,2,FALSE))</f>
        <v>Liters</v>
      </c>
      <c r="P42" s="29">
        <v>944</v>
      </c>
      <c r="Q42" s="17" t="str">
        <f t="shared" si="0"/>
        <v>Kilometers</v>
      </c>
      <c r="R42" s="199"/>
    </row>
    <row r="43" spans="9:18" x14ac:dyDescent="0.2">
      <c r="I43" s="194">
        <f t="shared" si="1"/>
        <v>37</v>
      </c>
      <c r="J43" s="57" t="s">
        <v>343</v>
      </c>
      <c r="K43" s="57" t="s">
        <v>63</v>
      </c>
      <c r="L43" s="58" t="s">
        <v>390</v>
      </c>
      <c r="M43" s="18" t="str">
        <f>IF(Fuel_Veh[[#This Row],[Month]]&lt;&gt;"",VLOOKUP(Fuel_Veh[[#This Row],[Month]], dropdown!$S$4:$T$15, 2, FALSE),"")</f>
        <v>Q3</v>
      </c>
      <c r="N43" s="29">
        <v>16.7</v>
      </c>
      <c r="O43" s="17" t="str">
        <f>IF($K43="","",VLOOKUP($K43,dropdown!$P$14:$Q$18,2,FALSE))</f>
        <v>Liters</v>
      </c>
      <c r="P43" s="29">
        <v>50.1</v>
      </c>
      <c r="Q43" s="17" t="str">
        <f t="shared" si="0"/>
        <v>Kilometers</v>
      </c>
      <c r="R43" s="199"/>
    </row>
    <row r="44" spans="9:18" x14ac:dyDescent="0.2">
      <c r="I44" s="194">
        <f t="shared" si="1"/>
        <v>38</v>
      </c>
      <c r="J44" s="57" t="s">
        <v>343</v>
      </c>
      <c r="K44" s="57" t="s">
        <v>63</v>
      </c>
      <c r="L44" s="58" t="s">
        <v>390</v>
      </c>
      <c r="M44" s="18" t="str">
        <f>IF(Fuel_Veh[[#This Row],[Month]]&lt;&gt;"",VLOOKUP(Fuel_Veh[[#This Row],[Month]], dropdown!$S$4:$T$15, 2, FALSE),"")</f>
        <v>Q3</v>
      </c>
      <c r="N44" s="29">
        <v>16.989999999999998</v>
      </c>
      <c r="O44" s="17" t="str">
        <f>IF($K44="","",VLOOKUP($K44,dropdown!$P$14:$Q$18,2,FALSE))</f>
        <v>Liters</v>
      </c>
      <c r="P44" s="29">
        <v>50.99</v>
      </c>
      <c r="Q44" s="17" t="str">
        <f t="shared" si="0"/>
        <v>Kilometers</v>
      </c>
      <c r="R44" s="199"/>
    </row>
    <row r="45" spans="9:18" x14ac:dyDescent="0.2">
      <c r="I45" s="194">
        <f t="shared" si="1"/>
        <v>39</v>
      </c>
      <c r="J45" s="57" t="s">
        <v>343</v>
      </c>
      <c r="K45" s="57" t="s">
        <v>63</v>
      </c>
      <c r="L45" s="58" t="s">
        <v>390</v>
      </c>
      <c r="M45" s="18" t="str">
        <f>IF(Fuel_Veh[[#This Row],[Month]]&lt;&gt;"",VLOOKUP(Fuel_Veh[[#This Row],[Month]], dropdown!$S$4:$T$15, 2, FALSE),"")</f>
        <v>Q3</v>
      </c>
      <c r="N45" s="29">
        <v>16.760000000000002</v>
      </c>
      <c r="O45" s="17" t="str">
        <f>IF($K45="","",VLOOKUP($K45,dropdown!$P$14:$Q$18,2,FALSE))</f>
        <v>Liters</v>
      </c>
      <c r="P45" s="29">
        <v>50.3</v>
      </c>
      <c r="Q45" s="17" t="str">
        <f t="shared" si="0"/>
        <v>Kilometers</v>
      </c>
      <c r="R45" s="199"/>
    </row>
    <row r="46" spans="9:18" x14ac:dyDescent="0.2">
      <c r="I46" s="194">
        <f t="shared" si="1"/>
        <v>40</v>
      </c>
      <c r="J46" s="57" t="s">
        <v>381</v>
      </c>
      <c r="K46" s="57" t="s">
        <v>63</v>
      </c>
      <c r="L46" s="58" t="s">
        <v>390</v>
      </c>
      <c r="M46" s="18" t="str">
        <f>IF(Fuel_Veh[[#This Row],[Month]]&lt;&gt;"",VLOOKUP(Fuel_Veh[[#This Row],[Month]], dropdown!$S$4:$T$15, 2, FALSE),"")</f>
        <v>Q3</v>
      </c>
      <c r="N46" s="29">
        <v>60.9</v>
      </c>
      <c r="O46" s="17" t="str">
        <f>IF($K46="","",VLOOKUP($K46,dropdown!$P$14:$Q$18,2,FALSE))</f>
        <v>Liters</v>
      </c>
      <c r="P46" s="29">
        <v>487</v>
      </c>
      <c r="Q46" s="17" t="str">
        <f t="shared" si="0"/>
        <v>Kilometers</v>
      </c>
      <c r="R46" s="199"/>
    </row>
    <row r="47" spans="9:18" x14ac:dyDescent="0.2">
      <c r="I47" s="194">
        <f t="shared" si="1"/>
        <v>41</v>
      </c>
      <c r="J47" s="57" t="s">
        <v>365</v>
      </c>
      <c r="K47" s="57" t="s">
        <v>63</v>
      </c>
      <c r="L47" s="58" t="s">
        <v>390</v>
      </c>
      <c r="M47" s="18" t="str">
        <f>IF(Fuel_Veh[[#This Row],[Month]]&lt;&gt;"",VLOOKUP(Fuel_Veh[[#This Row],[Month]], dropdown!$S$4:$T$15, 2, FALSE),"")</f>
        <v>Q3</v>
      </c>
      <c r="N47" s="29">
        <v>13.8</v>
      </c>
      <c r="O47" s="17" t="str">
        <f>IF($K47="","",VLOOKUP($K47,dropdown!$P$14:$Q$18,2,FALSE))</f>
        <v>Liters</v>
      </c>
      <c r="P47" s="29">
        <v>138</v>
      </c>
      <c r="Q47" s="17" t="str">
        <f t="shared" si="0"/>
        <v>Kilometers</v>
      </c>
      <c r="R47" s="199"/>
    </row>
    <row r="48" spans="9:18" x14ac:dyDescent="0.2">
      <c r="I48" s="194">
        <f t="shared" si="1"/>
        <v>42</v>
      </c>
      <c r="J48" s="57" t="s">
        <v>381</v>
      </c>
      <c r="K48" s="57" t="s">
        <v>63</v>
      </c>
      <c r="L48" s="58" t="s">
        <v>390</v>
      </c>
      <c r="M48" s="18" t="str">
        <f>IF(Fuel_Veh[[#This Row],[Month]]&lt;&gt;"",VLOOKUP(Fuel_Veh[[#This Row],[Month]], dropdown!$S$4:$T$15, 2, FALSE),"")</f>
        <v>Q3</v>
      </c>
      <c r="N48" s="29">
        <v>15.7</v>
      </c>
      <c r="O48" s="17" t="str">
        <f>IF($K48="","",VLOOKUP($K48,dropdown!$P$14:$Q$18,2,FALSE))</f>
        <v>Liters</v>
      </c>
      <c r="P48" s="29">
        <v>157</v>
      </c>
      <c r="Q48" s="17" t="str">
        <f t="shared" si="0"/>
        <v>Kilometers</v>
      </c>
      <c r="R48" s="199"/>
    </row>
    <row r="49" spans="9:18" x14ac:dyDescent="0.2">
      <c r="I49" s="194">
        <f t="shared" si="1"/>
        <v>43</v>
      </c>
      <c r="J49" s="57" t="s">
        <v>343</v>
      </c>
      <c r="K49" s="57" t="s">
        <v>63</v>
      </c>
      <c r="L49" s="58" t="s">
        <v>41</v>
      </c>
      <c r="M49" s="18" t="str">
        <f>IF(Fuel_Veh[[#This Row],[Month]]&lt;&gt;"",VLOOKUP(Fuel_Veh[[#This Row],[Month]], dropdown!$S$4:$T$15, 2, FALSE),"")</f>
        <v>Q3</v>
      </c>
      <c r="N49" s="29">
        <v>1.25</v>
      </c>
      <c r="O49" s="17" t="str">
        <f>IF($K49="","",VLOOKUP($K49,dropdown!$P$14:$Q$18,2,FALSE))</f>
        <v>Liters</v>
      </c>
      <c r="P49" s="29">
        <v>2.5</v>
      </c>
      <c r="Q49" s="17" t="str">
        <f t="shared" si="0"/>
        <v>Kilometers</v>
      </c>
      <c r="R49" s="199"/>
    </row>
    <row r="50" spans="9:18" x14ac:dyDescent="0.2">
      <c r="I50" s="194">
        <f t="shared" si="1"/>
        <v>44</v>
      </c>
      <c r="J50" s="57" t="s">
        <v>343</v>
      </c>
      <c r="K50" s="57" t="s">
        <v>63</v>
      </c>
      <c r="L50" s="58" t="s">
        <v>41</v>
      </c>
      <c r="M50" s="18" t="str">
        <f>IF(Fuel_Veh[[#This Row],[Month]]&lt;&gt;"",VLOOKUP(Fuel_Veh[[#This Row],[Month]], dropdown!$S$4:$T$15, 2, FALSE),"")</f>
        <v>Q3</v>
      </c>
      <c r="N50" s="29">
        <v>0</v>
      </c>
      <c r="O50" s="17" t="str">
        <f>IF($K50="","",VLOOKUP($K50,dropdown!$P$14:$Q$18,2,FALSE))</f>
        <v>Liters</v>
      </c>
      <c r="P50" s="29">
        <v>0</v>
      </c>
      <c r="Q50" s="17" t="str">
        <f t="shared" si="0"/>
        <v>Kilometers</v>
      </c>
      <c r="R50" s="199"/>
    </row>
    <row r="51" spans="9:18" x14ac:dyDescent="0.2">
      <c r="I51" s="194">
        <f t="shared" si="1"/>
        <v>45</v>
      </c>
      <c r="J51" s="57" t="s">
        <v>343</v>
      </c>
      <c r="K51" s="57" t="s">
        <v>63</v>
      </c>
      <c r="L51" s="58" t="s">
        <v>41</v>
      </c>
      <c r="M51" s="18" t="str">
        <f>IF(Fuel_Veh[[#This Row],[Month]]&lt;&gt;"",VLOOKUP(Fuel_Veh[[#This Row],[Month]], dropdown!$S$4:$T$15, 2, FALSE),"")</f>
        <v>Q3</v>
      </c>
      <c r="N51" s="29">
        <v>0</v>
      </c>
      <c r="O51" s="17" t="str">
        <f>IF($K51="","",VLOOKUP($K51,dropdown!$P$14:$Q$18,2,FALSE))</f>
        <v>Liters</v>
      </c>
      <c r="P51" s="29">
        <v>0</v>
      </c>
      <c r="Q51" s="17" t="str">
        <f t="shared" si="0"/>
        <v>Kilometers</v>
      </c>
      <c r="R51" s="199"/>
    </row>
    <row r="52" spans="9:18" x14ac:dyDescent="0.2">
      <c r="I52" s="194">
        <f t="shared" si="1"/>
        <v>46</v>
      </c>
      <c r="J52" s="57" t="s">
        <v>381</v>
      </c>
      <c r="K52" s="57" t="s">
        <v>63</v>
      </c>
      <c r="L52" s="58" t="s">
        <v>41</v>
      </c>
      <c r="M52" s="18" t="str">
        <f>IF(Fuel_Veh[[#This Row],[Month]]&lt;&gt;"",VLOOKUP(Fuel_Veh[[#This Row],[Month]], dropdown!$S$4:$T$15, 2, FALSE),"")</f>
        <v>Q3</v>
      </c>
      <c r="N52" s="29">
        <v>153.13</v>
      </c>
      <c r="O52" s="17" t="str">
        <f>IF($K52="","",VLOOKUP($K52,dropdown!$P$14:$Q$18,2,FALSE))</f>
        <v>Liters</v>
      </c>
      <c r="P52" s="29">
        <v>919</v>
      </c>
      <c r="Q52" s="17" t="str">
        <f t="shared" si="0"/>
        <v>Kilometers</v>
      </c>
      <c r="R52" s="199"/>
    </row>
    <row r="53" spans="9:18" x14ac:dyDescent="0.2">
      <c r="I53" s="194">
        <f t="shared" si="1"/>
        <v>47</v>
      </c>
      <c r="J53" s="57" t="s">
        <v>365</v>
      </c>
      <c r="K53" s="57" t="s">
        <v>63</v>
      </c>
      <c r="L53" s="58" t="s">
        <v>41</v>
      </c>
      <c r="M53" s="18" t="str">
        <f>IF(Fuel_Veh[[#This Row],[Month]]&lt;&gt;"",VLOOKUP(Fuel_Veh[[#This Row],[Month]], dropdown!$S$4:$T$15, 2, FALSE),"")</f>
        <v>Q3</v>
      </c>
      <c r="N53" s="29">
        <v>84.8</v>
      </c>
      <c r="O53" s="17" t="str">
        <f>IF($K53="","",VLOOKUP($K53,dropdown!$P$14:$Q$18,2,FALSE))</f>
        <v>Liters</v>
      </c>
      <c r="P53" s="29">
        <v>848</v>
      </c>
      <c r="Q53" s="17" t="str">
        <f t="shared" si="0"/>
        <v>Kilometers</v>
      </c>
      <c r="R53" s="199"/>
    </row>
    <row r="54" spans="9:18" x14ac:dyDescent="0.2">
      <c r="I54" s="194">
        <f t="shared" si="1"/>
        <v>48</v>
      </c>
      <c r="J54" s="57" t="s">
        <v>381</v>
      </c>
      <c r="K54" s="57" t="s">
        <v>63</v>
      </c>
      <c r="L54" s="58" t="s">
        <v>41</v>
      </c>
      <c r="M54" s="18" t="str">
        <f>IF(Fuel_Veh[[#This Row],[Month]]&lt;&gt;"",VLOOKUP(Fuel_Veh[[#This Row],[Month]], dropdown!$S$4:$T$15, 2, FALSE),"")</f>
        <v>Q3</v>
      </c>
      <c r="N54" s="29">
        <v>115.76</v>
      </c>
      <c r="O54" s="17" t="str">
        <f>IF($K54="","",VLOOKUP($K54,dropdown!$P$14:$Q$18,2,FALSE))</f>
        <v>Liters</v>
      </c>
      <c r="P54" s="29">
        <v>695</v>
      </c>
      <c r="Q54" s="17" t="str">
        <f t="shared" si="0"/>
        <v>Kilometers</v>
      </c>
      <c r="R54" s="199"/>
    </row>
    <row r="55" spans="9:18" x14ac:dyDescent="0.2">
      <c r="I55" s="194">
        <f t="shared" si="1"/>
        <v>49</v>
      </c>
      <c r="J55" s="57" t="s">
        <v>343</v>
      </c>
      <c r="K55" s="57" t="s">
        <v>63</v>
      </c>
      <c r="L55" s="58" t="s">
        <v>397</v>
      </c>
      <c r="M55" s="18" t="str">
        <f>IF(Fuel_Veh[[#This Row],[Month]]&lt;&gt;"",VLOOKUP(Fuel_Veh[[#This Row],[Month]], dropdown!$S$4:$T$15, 2, FALSE),"")</f>
        <v>Q3</v>
      </c>
      <c r="N55" s="29">
        <v>28.1</v>
      </c>
      <c r="O55" s="17" t="str">
        <f>IF($K55="","",VLOOKUP($K55,dropdown!$P$14:$Q$18,2,FALSE))</f>
        <v>Liters</v>
      </c>
      <c r="P55" s="29">
        <v>56.2</v>
      </c>
      <c r="Q55" s="17" t="str">
        <f t="shared" si="0"/>
        <v>Kilometers</v>
      </c>
      <c r="R55" s="199"/>
    </row>
    <row r="56" spans="9:18" x14ac:dyDescent="0.2">
      <c r="I56" s="194">
        <f t="shared" si="1"/>
        <v>50</v>
      </c>
      <c r="J56" s="57" t="s">
        <v>343</v>
      </c>
      <c r="K56" s="57" t="s">
        <v>63</v>
      </c>
      <c r="L56" s="58" t="s">
        <v>397</v>
      </c>
      <c r="M56" s="18" t="str">
        <f>IF(Fuel_Veh[[#This Row],[Month]]&lt;&gt;"",VLOOKUP(Fuel_Veh[[#This Row],[Month]], dropdown!$S$4:$T$15, 2, FALSE),"")</f>
        <v>Q3</v>
      </c>
      <c r="N56" s="29">
        <v>16.89</v>
      </c>
      <c r="O56" s="17" t="str">
        <f>IF($K56="","",VLOOKUP($K56,dropdown!$P$14:$Q$18,2,FALSE))</f>
        <v>Liters</v>
      </c>
      <c r="P56" s="29">
        <v>50.68</v>
      </c>
      <c r="Q56" s="17" t="str">
        <f t="shared" si="0"/>
        <v>Kilometers</v>
      </c>
      <c r="R56" s="199"/>
    </row>
    <row r="57" spans="9:18" x14ac:dyDescent="0.2">
      <c r="I57" s="194">
        <f t="shared" si="1"/>
        <v>51</v>
      </c>
      <c r="J57" s="57" t="s">
        <v>343</v>
      </c>
      <c r="K57" s="57" t="s">
        <v>63</v>
      </c>
      <c r="L57" s="58" t="s">
        <v>397</v>
      </c>
      <c r="M57" s="18" t="str">
        <f>IF(Fuel_Veh[[#This Row],[Month]]&lt;&gt;"",VLOOKUP(Fuel_Veh[[#This Row],[Month]], dropdown!$S$4:$T$15, 2, FALSE),"")</f>
        <v>Q3</v>
      </c>
      <c r="N57" s="29">
        <v>16.760000000000002</v>
      </c>
      <c r="O57" s="17" t="str">
        <f>IF($K57="","",VLOOKUP($K57,dropdown!$P$14:$Q$18,2,FALSE))</f>
        <v>Liters</v>
      </c>
      <c r="P57" s="29">
        <v>50.3</v>
      </c>
      <c r="Q57" s="17" t="str">
        <f t="shared" si="0"/>
        <v>Kilometers</v>
      </c>
      <c r="R57" s="199"/>
    </row>
    <row r="58" spans="9:18" x14ac:dyDescent="0.2">
      <c r="I58" s="194">
        <f t="shared" si="1"/>
        <v>52</v>
      </c>
      <c r="J58" s="57" t="s">
        <v>381</v>
      </c>
      <c r="K58" s="57" t="s">
        <v>63</v>
      </c>
      <c r="L58" s="58" t="s">
        <v>397</v>
      </c>
      <c r="M58" s="18" t="str">
        <f>IF(Fuel_Veh[[#This Row],[Month]]&lt;&gt;"",VLOOKUP(Fuel_Veh[[#This Row],[Month]], dropdown!$S$4:$T$15, 2, FALSE),"")</f>
        <v>Q3</v>
      </c>
      <c r="N58" s="29">
        <v>89.1</v>
      </c>
      <c r="O58" s="17" t="str">
        <f>IF($K58="","",VLOOKUP($K58,dropdown!$P$14:$Q$18,2,FALSE))</f>
        <v>Liters</v>
      </c>
      <c r="P58" s="29">
        <v>891</v>
      </c>
      <c r="Q58" s="17" t="str">
        <f t="shared" si="0"/>
        <v>Kilometers</v>
      </c>
      <c r="R58" s="199"/>
    </row>
    <row r="59" spans="9:18" x14ac:dyDescent="0.2">
      <c r="I59" s="194">
        <f t="shared" si="1"/>
        <v>53</v>
      </c>
      <c r="J59" s="57" t="s">
        <v>365</v>
      </c>
      <c r="K59" s="57" t="s">
        <v>63</v>
      </c>
      <c r="L59" s="58" t="s">
        <v>397</v>
      </c>
      <c r="M59" s="18" t="str">
        <f>IF(Fuel_Veh[[#This Row],[Month]]&lt;&gt;"",VLOOKUP(Fuel_Veh[[#This Row],[Month]], dropdown!$S$4:$T$15, 2, FALSE),"")</f>
        <v>Q3</v>
      </c>
      <c r="N59" s="29">
        <v>61.25</v>
      </c>
      <c r="O59" s="17" t="str">
        <f>IF($K59="","",VLOOKUP($K59,dropdown!$P$14:$Q$18,2,FALSE))</f>
        <v>Liters</v>
      </c>
      <c r="P59" s="29">
        <v>674</v>
      </c>
      <c r="Q59" s="17" t="str">
        <f t="shared" si="0"/>
        <v>Kilometers</v>
      </c>
      <c r="R59" s="199"/>
    </row>
    <row r="60" spans="9:18" x14ac:dyDescent="0.2">
      <c r="I60" s="194">
        <f t="shared" si="1"/>
        <v>54</v>
      </c>
      <c r="J60" s="57" t="s">
        <v>381</v>
      </c>
      <c r="K60" s="57" t="s">
        <v>63</v>
      </c>
      <c r="L60" s="58" t="s">
        <v>397</v>
      </c>
      <c r="M60" s="18" t="str">
        <f>IF(Fuel_Veh[[#This Row],[Month]]&lt;&gt;"",VLOOKUP(Fuel_Veh[[#This Row],[Month]], dropdown!$S$4:$T$15, 2, FALSE),"")</f>
        <v>Q3</v>
      </c>
      <c r="N60" s="29">
        <v>110.64</v>
      </c>
      <c r="O60" s="17" t="str">
        <f>IF($K60="","",VLOOKUP($K60,dropdown!$P$14:$Q$18,2,FALSE))</f>
        <v>Liters</v>
      </c>
      <c r="P60" s="29">
        <v>667</v>
      </c>
      <c r="Q60" s="17" t="str">
        <f t="shared" si="0"/>
        <v>Kilometers</v>
      </c>
      <c r="R60" s="199"/>
    </row>
    <row r="61" spans="9:18" x14ac:dyDescent="0.2">
      <c r="I61" s="194">
        <f t="shared" si="1"/>
        <v>55</v>
      </c>
      <c r="J61" s="57" t="s">
        <v>343</v>
      </c>
      <c r="K61" s="57" t="s">
        <v>63</v>
      </c>
      <c r="L61" s="58" t="s">
        <v>400</v>
      </c>
      <c r="M61" s="18" t="str">
        <f>IF(Fuel_Veh[[#This Row],[Month]]&lt;&gt;"",VLOOKUP(Fuel_Veh[[#This Row],[Month]], dropdown!$S$4:$T$15, 2, FALSE),"")</f>
        <v>Q4</v>
      </c>
      <c r="N61" s="29">
        <v>96.25</v>
      </c>
      <c r="O61" s="17" t="str">
        <f>IF($K61="","",VLOOKUP($K61,dropdown!$P$14:$Q$18,2,FALSE))</f>
        <v>Liters</v>
      </c>
      <c r="P61" s="29">
        <v>288.8</v>
      </c>
      <c r="Q61" s="17" t="str">
        <f t="shared" si="0"/>
        <v>Kilometers</v>
      </c>
      <c r="R61" s="199"/>
    </row>
    <row r="62" spans="9:18" x14ac:dyDescent="0.2">
      <c r="I62" s="194">
        <f t="shared" si="1"/>
        <v>56</v>
      </c>
      <c r="J62" s="57" t="s">
        <v>343</v>
      </c>
      <c r="K62" s="57" t="s">
        <v>63</v>
      </c>
      <c r="L62" s="58" t="s">
        <v>400</v>
      </c>
      <c r="M62" s="18" t="str">
        <f>IF(Fuel_Veh[[#This Row],[Month]]&lt;&gt;"",VLOOKUP(Fuel_Veh[[#This Row],[Month]], dropdown!$S$4:$T$15, 2, FALSE),"")</f>
        <v>Q4</v>
      </c>
      <c r="N62" s="29">
        <v>60.97</v>
      </c>
      <c r="O62" s="17" t="str">
        <f>IF($K62="","",VLOOKUP($K62,dropdown!$P$14:$Q$18,2,FALSE))</f>
        <v>Liters</v>
      </c>
      <c r="P62" s="29">
        <v>305.02</v>
      </c>
      <c r="Q62" s="17" t="str">
        <f t="shared" si="0"/>
        <v>Kilometers</v>
      </c>
      <c r="R62" s="199"/>
    </row>
    <row r="63" spans="9:18" x14ac:dyDescent="0.2">
      <c r="I63" s="194">
        <f t="shared" si="1"/>
        <v>57</v>
      </c>
      <c r="J63" s="57" t="s">
        <v>343</v>
      </c>
      <c r="K63" s="57" t="s">
        <v>63</v>
      </c>
      <c r="L63" s="58" t="s">
        <v>400</v>
      </c>
      <c r="M63" s="18" t="str">
        <f>IF(Fuel_Veh[[#This Row],[Month]]&lt;&gt;"",VLOOKUP(Fuel_Veh[[#This Row],[Month]], dropdown!$S$4:$T$15, 2, FALSE),"")</f>
        <v>Q4</v>
      </c>
      <c r="N63" s="29">
        <v>92.98</v>
      </c>
      <c r="O63" s="17" t="str">
        <f>IF($K63="","",VLOOKUP($K63,dropdown!$P$14:$Q$18,2,FALSE))</f>
        <v>Liters</v>
      </c>
      <c r="P63" s="29">
        <v>279</v>
      </c>
      <c r="Q63" s="17" t="str">
        <f t="shared" si="0"/>
        <v>Kilometers</v>
      </c>
      <c r="R63" s="199"/>
    </row>
    <row r="64" spans="9:18" x14ac:dyDescent="0.2">
      <c r="I64" s="194">
        <f t="shared" si="1"/>
        <v>58</v>
      </c>
      <c r="J64" s="57" t="s">
        <v>381</v>
      </c>
      <c r="K64" s="57" t="s">
        <v>63</v>
      </c>
      <c r="L64" s="58" t="s">
        <v>400</v>
      </c>
      <c r="M64" s="18" t="str">
        <f>IF(Fuel_Veh[[#This Row],[Month]]&lt;&gt;"",VLOOKUP(Fuel_Veh[[#This Row],[Month]], dropdown!$S$4:$T$15, 2, FALSE),"")</f>
        <v>Q4</v>
      </c>
      <c r="N64" s="29">
        <v>60.4</v>
      </c>
      <c r="O64" s="17" t="str">
        <f>IF($K64="","",VLOOKUP($K64,dropdown!$P$14:$Q$18,2,FALSE))</f>
        <v>Liters</v>
      </c>
      <c r="P64" s="29">
        <v>604</v>
      </c>
      <c r="Q64" s="17" t="str">
        <f t="shared" si="0"/>
        <v>Kilometers</v>
      </c>
      <c r="R64" s="199"/>
    </row>
    <row r="65" spans="9:18" x14ac:dyDescent="0.2">
      <c r="I65" s="194">
        <f t="shared" si="1"/>
        <v>59</v>
      </c>
      <c r="J65" s="57" t="s">
        <v>365</v>
      </c>
      <c r="K65" s="57" t="s">
        <v>63</v>
      </c>
      <c r="L65" s="58" t="s">
        <v>400</v>
      </c>
      <c r="M65" s="18" t="str">
        <f>IF(Fuel_Veh[[#This Row],[Month]]&lt;&gt;"",VLOOKUP(Fuel_Veh[[#This Row],[Month]], dropdown!$S$4:$T$15, 2, FALSE),"")</f>
        <v>Q4</v>
      </c>
      <c r="N65" s="29">
        <v>18</v>
      </c>
      <c r="O65" s="17" t="str">
        <f>IF($K65="","",VLOOKUP($K65,dropdown!$P$14:$Q$18,2,FALSE))</f>
        <v>Liters</v>
      </c>
      <c r="P65" s="29">
        <v>180</v>
      </c>
      <c r="Q65" s="17" t="str">
        <f t="shared" si="0"/>
        <v>Kilometers</v>
      </c>
      <c r="R65" s="199"/>
    </row>
    <row r="66" spans="9:18" x14ac:dyDescent="0.2">
      <c r="I66" s="194">
        <f t="shared" si="1"/>
        <v>60</v>
      </c>
      <c r="J66" s="57" t="s">
        <v>381</v>
      </c>
      <c r="K66" s="57" t="s">
        <v>63</v>
      </c>
      <c r="L66" s="58" t="s">
        <v>400</v>
      </c>
      <c r="M66" s="18" t="str">
        <f>IF(Fuel_Veh[[#This Row],[Month]]&lt;&gt;"",VLOOKUP(Fuel_Veh[[#This Row],[Month]], dropdown!$S$4:$T$15, 2, FALSE),"")</f>
        <v>Q4</v>
      </c>
      <c r="N66" s="29">
        <v>90.11</v>
      </c>
      <c r="O66" s="17" t="str">
        <f>IF($K66="","",VLOOKUP($K66,dropdown!$P$14:$Q$18,2,FALSE))</f>
        <v>Liters</v>
      </c>
      <c r="P66" s="29">
        <v>721</v>
      </c>
      <c r="Q66" s="17" t="str">
        <f t="shared" si="0"/>
        <v>Kilometers</v>
      </c>
      <c r="R66" s="199"/>
    </row>
    <row r="67" spans="9:18" x14ac:dyDescent="0.2">
      <c r="I67" s="194">
        <f t="shared" si="1"/>
        <v>61</v>
      </c>
      <c r="J67" s="57" t="s">
        <v>343</v>
      </c>
      <c r="K67" s="57" t="s">
        <v>63</v>
      </c>
      <c r="L67" s="58" t="s">
        <v>404</v>
      </c>
      <c r="M67" s="18" t="str">
        <f>IF(Fuel_Veh[[#This Row],[Month]]&lt;&gt;"",VLOOKUP(Fuel_Veh[[#This Row],[Month]], dropdown!$S$4:$T$15, 2, FALSE),"")</f>
        <v>Q4</v>
      </c>
      <c r="N67" s="29">
        <v>16.600000000000001</v>
      </c>
      <c r="O67" s="17" t="str">
        <f>IF($K67="","",VLOOKUP($K67,dropdown!$P$14:$Q$18,2,FALSE))</f>
        <v>Liters</v>
      </c>
      <c r="P67" s="29">
        <v>49.8</v>
      </c>
      <c r="Q67" s="17" t="str">
        <f t="shared" si="0"/>
        <v>Kilometers</v>
      </c>
      <c r="R67" s="199"/>
    </row>
    <row r="68" spans="9:18" x14ac:dyDescent="0.2">
      <c r="I68" s="194">
        <f t="shared" si="1"/>
        <v>62</v>
      </c>
      <c r="J68" s="57" t="s">
        <v>343</v>
      </c>
      <c r="K68" s="57" t="s">
        <v>63</v>
      </c>
      <c r="L68" s="58" t="s">
        <v>404</v>
      </c>
      <c r="M68" s="18" t="str">
        <f>IF(Fuel_Veh[[#This Row],[Month]]&lt;&gt;"",VLOOKUP(Fuel_Veh[[#This Row],[Month]], dropdown!$S$4:$T$15, 2, FALSE),"")</f>
        <v>Q4</v>
      </c>
      <c r="N68" s="29">
        <v>16.829999999999998</v>
      </c>
      <c r="O68" s="17" t="str">
        <f>IF($K68="","",VLOOKUP($K68,dropdown!$P$14:$Q$18,2,FALSE))</f>
        <v>Liters</v>
      </c>
      <c r="P68" s="29">
        <v>50.51</v>
      </c>
      <c r="Q68" s="17" t="str">
        <f t="shared" si="0"/>
        <v>Kilometers</v>
      </c>
      <c r="R68" s="199"/>
    </row>
    <row r="69" spans="9:18" x14ac:dyDescent="0.2">
      <c r="I69" s="194">
        <f t="shared" si="1"/>
        <v>63</v>
      </c>
      <c r="J69" s="57" t="s">
        <v>343</v>
      </c>
      <c r="K69" s="57" t="s">
        <v>63</v>
      </c>
      <c r="L69" s="58" t="s">
        <v>404</v>
      </c>
      <c r="M69" s="18" t="str">
        <f>IF(Fuel_Veh[[#This Row],[Month]]&lt;&gt;"",VLOOKUP(Fuel_Veh[[#This Row],[Month]], dropdown!$S$4:$T$15, 2, FALSE),"")</f>
        <v>Q4</v>
      </c>
      <c r="N69" s="29">
        <v>23.07</v>
      </c>
      <c r="O69" s="17" t="str">
        <f>IF($K69="","",VLOOKUP($K69,dropdown!$P$14:$Q$18,2,FALSE))</f>
        <v>Liters</v>
      </c>
      <c r="P69" s="29">
        <v>92.3</v>
      </c>
      <c r="Q69" s="17" t="str">
        <f t="shared" si="0"/>
        <v>Kilometers</v>
      </c>
      <c r="R69" s="199"/>
    </row>
    <row r="70" spans="9:18" x14ac:dyDescent="0.2">
      <c r="I70" s="194">
        <f t="shared" si="1"/>
        <v>64</v>
      </c>
      <c r="J70" s="57" t="s">
        <v>381</v>
      </c>
      <c r="K70" s="57" t="s">
        <v>63</v>
      </c>
      <c r="L70" s="58" t="s">
        <v>404</v>
      </c>
      <c r="M70" s="18" t="str">
        <f>IF(Fuel_Veh[[#This Row],[Month]]&lt;&gt;"",VLOOKUP(Fuel_Veh[[#This Row],[Month]], dropdown!$S$4:$T$15, 2, FALSE),"")</f>
        <v>Q4</v>
      </c>
      <c r="N70" s="29">
        <v>71.47</v>
      </c>
      <c r="O70" s="17" t="str">
        <f>IF($K70="","",VLOOKUP($K70,dropdown!$P$14:$Q$18,2,FALSE))</f>
        <v>Liters</v>
      </c>
      <c r="P70" s="29">
        <v>572</v>
      </c>
      <c r="Q70" s="17" t="str">
        <f t="shared" si="0"/>
        <v>Kilometers</v>
      </c>
      <c r="R70" s="199"/>
    </row>
    <row r="71" spans="9:18" x14ac:dyDescent="0.2">
      <c r="I71" s="194">
        <f t="shared" si="1"/>
        <v>65</v>
      </c>
      <c r="J71" s="57" t="s">
        <v>365</v>
      </c>
      <c r="K71" s="57" t="s">
        <v>63</v>
      </c>
      <c r="L71" s="58" t="s">
        <v>404</v>
      </c>
      <c r="M71" s="18" t="str">
        <f>IF(Fuel_Veh[[#This Row],[Month]]&lt;&gt;"",VLOOKUP(Fuel_Veh[[#This Row],[Month]], dropdown!$S$4:$T$15, 2, FALSE),"")</f>
        <v>Q4</v>
      </c>
      <c r="N71" s="29">
        <v>3.4</v>
      </c>
      <c r="O71" s="17" t="str">
        <f>IF($K71="","",VLOOKUP($K71,dropdown!$P$14:$Q$18,2,FALSE))</f>
        <v>Liters</v>
      </c>
      <c r="P71" s="29">
        <v>34</v>
      </c>
      <c r="Q71" s="17" t="str">
        <f t="shared" ref="Q71:Q106" si="2">IF($P71="","","Kilometers")</f>
        <v>Kilometers</v>
      </c>
      <c r="R71" s="199"/>
    </row>
    <row r="72" spans="9:18" x14ac:dyDescent="0.2">
      <c r="I72" s="194">
        <f t="shared" si="1"/>
        <v>66</v>
      </c>
      <c r="J72" s="57" t="s">
        <v>381</v>
      </c>
      <c r="K72" s="57" t="s">
        <v>63</v>
      </c>
      <c r="L72" s="58" t="s">
        <v>404</v>
      </c>
      <c r="M72" s="18" t="str">
        <f>IF(Fuel_Veh[[#This Row],[Month]]&lt;&gt;"",VLOOKUP(Fuel_Veh[[#This Row],[Month]], dropdown!$S$4:$T$15, 2, FALSE),"")</f>
        <v>Q4</v>
      </c>
      <c r="N72" s="29">
        <v>23.81</v>
      </c>
      <c r="O72" s="17" t="str">
        <f>IF($K72="","",VLOOKUP($K72,dropdown!$P$14:$Q$18,2,FALSE))</f>
        <v>Liters</v>
      </c>
      <c r="P72" s="29">
        <v>192</v>
      </c>
      <c r="Q72" s="17" t="str">
        <f t="shared" si="2"/>
        <v>Kilometers</v>
      </c>
      <c r="R72" s="199"/>
    </row>
    <row r="73" spans="9:18" x14ac:dyDescent="0.2">
      <c r="I73" s="194">
        <f t="shared" si="1"/>
        <v>67</v>
      </c>
      <c r="J73" s="57" t="s">
        <v>343</v>
      </c>
      <c r="K73" s="57" t="s">
        <v>63</v>
      </c>
      <c r="L73" s="58" t="s">
        <v>407</v>
      </c>
      <c r="M73" s="18" t="str">
        <f>IF(Fuel_Veh[[#This Row],[Month]]&lt;&gt;"",VLOOKUP(Fuel_Veh[[#This Row],[Month]], dropdown!$S$4:$T$15, 2, FALSE),"")</f>
        <v>Q4</v>
      </c>
      <c r="N73" s="29">
        <v>18.2</v>
      </c>
      <c r="O73" s="17" t="str">
        <f>IF($K73="","",VLOOKUP($K73,dropdown!$P$14:$Q$18,2,FALSE))</f>
        <v>Liters</v>
      </c>
      <c r="P73" s="29">
        <v>54.6</v>
      </c>
      <c r="Q73" s="17" t="str">
        <f t="shared" si="2"/>
        <v>Kilometers</v>
      </c>
      <c r="R73" s="199"/>
    </row>
    <row r="74" spans="9:18" x14ac:dyDescent="0.2">
      <c r="I74" s="194">
        <f t="shared" si="1"/>
        <v>68</v>
      </c>
      <c r="J74" s="57" t="s">
        <v>343</v>
      </c>
      <c r="K74" s="57" t="s">
        <v>63</v>
      </c>
      <c r="L74" s="58" t="s">
        <v>407</v>
      </c>
      <c r="M74" s="18" t="str">
        <f>IF(Fuel_Veh[[#This Row],[Month]]&lt;&gt;"",VLOOKUP(Fuel_Veh[[#This Row],[Month]], dropdown!$S$4:$T$15, 2, FALSE),"")</f>
        <v>Q4</v>
      </c>
      <c r="N74" s="29">
        <v>18.809999999999999</v>
      </c>
      <c r="O74" s="17" t="str">
        <f>IF($K74="","",VLOOKUP($K74,dropdown!$P$14:$Q$18,2,FALSE))</f>
        <v>Liters</v>
      </c>
      <c r="P74" s="29">
        <v>56.46</v>
      </c>
      <c r="Q74" s="17" t="str">
        <f t="shared" si="2"/>
        <v>Kilometers</v>
      </c>
      <c r="R74" s="199"/>
    </row>
    <row r="75" spans="9:18" x14ac:dyDescent="0.2">
      <c r="I75" s="194">
        <f t="shared" si="1"/>
        <v>69</v>
      </c>
      <c r="J75" s="57" t="s">
        <v>343</v>
      </c>
      <c r="K75" s="57" t="s">
        <v>63</v>
      </c>
      <c r="L75" s="58" t="s">
        <v>407</v>
      </c>
      <c r="M75" s="18" t="str">
        <f>IF(Fuel_Veh[[#This Row],[Month]]&lt;&gt;"",VLOOKUP(Fuel_Veh[[#This Row],[Month]], dropdown!$S$4:$T$15, 2, FALSE),"")</f>
        <v>Q4</v>
      </c>
      <c r="N75" s="29">
        <v>94.76</v>
      </c>
      <c r="O75" s="17" t="str">
        <f>IF($K75="","",VLOOKUP($K75,dropdown!$P$14:$Q$18,2,FALSE))</f>
        <v>Liters</v>
      </c>
      <c r="P75" s="29">
        <v>284.3</v>
      </c>
      <c r="Q75" s="17" t="str">
        <f t="shared" si="2"/>
        <v>Kilometers</v>
      </c>
      <c r="R75" s="199"/>
    </row>
    <row r="76" spans="9:18" x14ac:dyDescent="0.2">
      <c r="I76" s="194">
        <f t="shared" ref="I76:I77" si="3">IF($J76="","",$I75+1)</f>
        <v>70</v>
      </c>
      <c r="J76" s="57" t="s">
        <v>381</v>
      </c>
      <c r="K76" s="57" t="s">
        <v>63</v>
      </c>
      <c r="L76" s="58" t="s">
        <v>407</v>
      </c>
      <c r="M76" s="18" t="str">
        <f>IF(Fuel_Veh[[#This Row],[Month]]&lt;&gt;"",VLOOKUP(Fuel_Veh[[#This Row],[Month]], dropdown!$S$4:$T$15, 2, FALSE),"")</f>
        <v>Q4</v>
      </c>
      <c r="N76" s="29">
        <v>47.7</v>
      </c>
      <c r="O76" s="17" t="str">
        <f>IF($K76="","",VLOOKUP($K76,dropdown!$P$14:$Q$18,2,FALSE))</f>
        <v>Liters</v>
      </c>
      <c r="P76" s="29">
        <v>477</v>
      </c>
      <c r="Q76" s="17" t="str">
        <f t="shared" si="2"/>
        <v>Kilometers</v>
      </c>
      <c r="R76" s="199"/>
    </row>
    <row r="77" spans="9:18" x14ac:dyDescent="0.2">
      <c r="I77" s="194">
        <f t="shared" si="3"/>
        <v>71</v>
      </c>
      <c r="J77" s="57" t="s">
        <v>365</v>
      </c>
      <c r="K77" s="57" t="s">
        <v>63</v>
      </c>
      <c r="L77" s="58" t="s">
        <v>407</v>
      </c>
      <c r="M77" s="18" t="str">
        <f>IF(Fuel_Veh[[#This Row],[Month]]&lt;&gt;"",VLOOKUP(Fuel_Veh[[#This Row],[Month]], dropdown!$S$4:$T$15, 2, FALSE),"")</f>
        <v>Q4</v>
      </c>
      <c r="N77" s="29">
        <v>7.1</v>
      </c>
      <c r="O77" s="17" t="str">
        <f>IF($K77="","",VLOOKUP($K77,dropdown!$P$14:$Q$18,2,FALSE))</f>
        <v>Liters</v>
      </c>
      <c r="P77" s="29">
        <v>71</v>
      </c>
      <c r="Q77" s="17" t="str">
        <f t="shared" si="2"/>
        <v>Kilometers</v>
      </c>
      <c r="R77" s="199"/>
    </row>
    <row r="78" spans="9:18" x14ac:dyDescent="0.2">
      <c r="I78" s="194">
        <f t="shared" ref="I78:I85" si="4">IF($J78="","",$I77+1)</f>
        <v>72</v>
      </c>
      <c r="J78" s="57" t="s">
        <v>381</v>
      </c>
      <c r="K78" s="57" t="s">
        <v>63</v>
      </c>
      <c r="L78" s="58" t="s">
        <v>407</v>
      </c>
      <c r="M78" s="18" t="str">
        <f>IF(Fuel_Veh[[#This Row],[Month]]&lt;&gt;"",VLOOKUP(Fuel_Veh[[#This Row],[Month]], dropdown!$S$4:$T$15, 2, FALSE),"")</f>
        <v>Q4</v>
      </c>
      <c r="N78" s="29">
        <v>4</v>
      </c>
      <c r="O78" s="17" t="str">
        <f>IF($K78="","",VLOOKUP($K78,dropdown!$P$14:$Q$18,2,FALSE))</f>
        <v>Liters</v>
      </c>
      <c r="P78" s="29">
        <v>32</v>
      </c>
      <c r="Q78" s="17" t="str">
        <f t="shared" si="2"/>
        <v>Kilometers</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J10" zoomScale="94" zoomScaleNormal="120" workbookViewId="0">
      <selection activeCell="W28" sqref="W28"/>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f>'1. Data Info and Summary'!$D$2</f>
        <v>0</v>
      </c>
      <c r="C4" s="37"/>
      <c r="D4" s="38" t="str">
        <f>IF('1. Data Info and Summary'!$D$3=0,"-",'1. Data Info and Summary'!$D$3)</f>
        <v>-</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1433</v>
      </c>
      <c r="K9" s="391" t="s">
        <v>200</v>
      </c>
      <c r="L9" s="392">
        <v>1</v>
      </c>
      <c r="M9" s="393" t="s">
        <v>380</v>
      </c>
      <c r="N9" s="419" t="s">
        <v>352</v>
      </c>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1434</v>
      </c>
      <c r="K10" s="57" t="s">
        <v>200</v>
      </c>
      <c r="L10" s="28">
        <v>1</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1435</v>
      </c>
      <c r="K11" s="57" t="s">
        <v>200</v>
      </c>
      <c r="L11" s="28">
        <v>1</v>
      </c>
      <c r="M11" s="264" t="s">
        <v>380</v>
      </c>
      <c r="N11" s="401" t="s">
        <v>352</v>
      </c>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5" t="s">
        <v>1436</v>
      </c>
      <c r="K12" s="57" t="s">
        <v>200</v>
      </c>
      <c r="L12" s="28">
        <v>1</v>
      </c>
      <c r="M12" s="264" t="s">
        <v>380</v>
      </c>
      <c r="N12" s="401" t="s">
        <v>352</v>
      </c>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1437</v>
      </c>
      <c r="K13" s="57" t="s">
        <v>200</v>
      </c>
      <c r="L13" s="28">
        <v>1</v>
      </c>
      <c r="M13" s="264" t="s">
        <v>380</v>
      </c>
      <c r="N13" s="401" t="s">
        <v>352</v>
      </c>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5" t="s">
        <v>1438</v>
      </c>
      <c r="K14" s="57" t="s">
        <v>200</v>
      </c>
      <c r="L14" s="28">
        <v>1</v>
      </c>
      <c r="M14" s="264" t="s">
        <v>380</v>
      </c>
      <c r="N14" s="401" t="s">
        <v>352</v>
      </c>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5" t="s">
        <v>1439</v>
      </c>
      <c r="K15" s="57" t="s">
        <v>200</v>
      </c>
      <c r="L15" s="28">
        <v>1</v>
      </c>
      <c r="M15" s="264" t="s">
        <v>380</v>
      </c>
      <c r="N15" s="401" t="s">
        <v>352</v>
      </c>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f t="shared" si="0"/>
        <v>8</v>
      </c>
      <c r="J16" s="435" t="s">
        <v>1440</v>
      </c>
      <c r="K16" s="57" t="s">
        <v>200</v>
      </c>
      <c r="L16" s="28">
        <v>1</v>
      </c>
      <c r="M16" s="264" t="s">
        <v>380</v>
      </c>
      <c r="N16" s="401" t="s">
        <v>352</v>
      </c>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f t="shared" si="0"/>
        <v>9</v>
      </c>
      <c r="J17" s="435" t="s">
        <v>1441</v>
      </c>
      <c r="K17" s="57" t="s">
        <v>200</v>
      </c>
      <c r="L17" s="28">
        <v>1</v>
      </c>
      <c r="M17" s="264" t="s">
        <v>380</v>
      </c>
      <c r="N17" s="401" t="s">
        <v>352</v>
      </c>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f t="shared" si="0"/>
        <v>10</v>
      </c>
      <c r="J18" s="435" t="s">
        <v>1442</v>
      </c>
      <c r="K18" s="57" t="s">
        <v>200</v>
      </c>
      <c r="L18" s="28">
        <v>1</v>
      </c>
      <c r="M18" s="264" t="s">
        <v>380</v>
      </c>
      <c r="N18" s="401" t="s">
        <v>352</v>
      </c>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f t="shared" si="0"/>
        <v>11</v>
      </c>
      <c r="J19" s="435" t="s">
        <v>1443</v>
      </c>
      <c r="K19" s="57" t="s">
        <v>200</v>
      </c>
      <c r="L19" s="28">
        <v>1</v>
      </c>
      <c r="M19" s="264" t="s">
        <v>380</v>
      </c>
      <c r="N19" s="401" t="s">
        <v>352</v>
      </c>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f t="shared" si="0"/>
        <v>12</v>
      </c>
      <c r="J20" s="435" t="s">
        <v>1444</v>
      </c>
      <c r="K20" s="57" t="s">
        <v>200</v>
      </c>
      <c r="L20" s="28">
        <v>1</v>
      </c>
      <c r="M20" s="264" t="s">
        <v>380</v>
      </c>
      <c r="N20" s="401" t="s">
        <v>352</v>
      </c>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f t="shared" si="0"/>
        <v>13</v>
      </c>
      <c r="J21" s="435" t="s">
        <v>1445</v>
      </c>
      <c r="K21" s="57" t="s">
        <v>200</v>
      </c>
      <c r="L21" s="28">
        <v>1</v>
      </c>
      <c r="M21" s="264" t="s">
        <v>380</v>
      </c>
      <c r="N21" s="401" t="s">
        <v>352</v>
      </c>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192</v>
      </c>
      <c r="C22" s="457" t="s">
        <v>5</v>
      </c>
      <c r="D22" s="458"/>
      <c r="E22" s="457" t="s">
        <v>193</v>
      </c>
      <c r="F22" s="459"/>
      <c r="G22" s="459"/>
      <c r="I22" s="18">
        <f t="shared" si="0"/>
        <v>14</v>
      </c>
      <c r="J22" s="435" t="s">
        <v>1446</v>
      </c>
      <c r="K22" s="57" t="s">
        <v>200</v>
      </c>
      <c r="L22" s="28">
        <v>1</v>
      </c>
      <c r="M22" s="264" t="s">
        <v>380</v>
      </c>
      <c r="N22" s="401" t="s">
        <v>352</v>
      </c>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f t="shared" si="0"/>
        <v>15</v>
      </c>
      <c r="J23" s="435" t="s">
        <v>1447</v>
      </c>
      <c r="K23" s="57" t="s">
        <v>200</v>
      </c>
      <c r="L23" s="28">
        <v>1</v>
      </c>
      <c r="M23" s="264" t="s">
        <v>380</v>
      </c>
      <c r="N23" s="401" t="s">
        <v>352</v>
      </c>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f t="shared" si="0"/>
        <v>16</v>
      </c>
      <c r="J24" s="435" t="s">
        <v>1448</v>
      </c>
      <c r="K24" s="57" t="s">
        <v>200</v>
      </c>
      <c r="L24" s="28">
        <v>1</v>
      </c>
      <c r="M24" s="264" t="s">
        <v>380</v>
      </c>
      <c r="N24" s="401" t="s">
        <v>352</v>
      </c>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f t="shared" si="0"/>
        <v>17</v>
      </c>
      <c r="J25" s="435" t="s">
        <v>1458</v>
      </c>
      <c r="K25" s="57" t="s">
        <v>200</v>
      </c>
      <c r="L25" s="28">
        <v>1</v>
      </c>
      <c r="M25" s="264" t="s">
        <v>380</v>
      </c>
      <c r="N25" s="401" t="s">
        <v>352</v>
      </c>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f t="shared" si="0"/>
        <v>18</v>
      </c>
      <c r="J26" s="435" t="s">
        <v>1459</v>
      </c>
      <c r="K26" s="57" t="s">
        <v>200</v>
      </c>
      <c r="L26" s="28">
        <v>1</v>
      </c>
      <c r="M26" s="264" t="s">
        <v>380</v>
      </c>
      <c r="N26" s="401" t="s">
        <v>352</v>
      </c>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f t="shared" si="0"/>
        <v>19</v>
      </c>
      <c r="J27" s="435" t="s">
        <v>1449</v>
      </c>
      <c r="K27" s="57" t="s">
        <v>200</v>
      </c>
      <c r="L27" s="28">
        <v>1</v>
      </c>
      <c r="M27" s="264" t="s">
        <v>380</v>
      </c>
      <c r="N27" s="401" t="s">
        <v>352</v>
      </c>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f t="shared" si="0"/>
        <v>20</v>
      </c>
      <c r="J28" s="435" t="s">
        <v>1450</v>
      </c>
      <c r="K28" s="57" t="s">
        <v>200</v>
      </c>
      <c r="L28" s="28">
        <v>1</v>
      </c>
      <c r="M28" s="264" t="s">
        <v>380</v>
      </c>
      <c r="N28" s="401" t="s">
        <v>352</v>
      </c>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f t="shared" si="0"/>
        <v>21</v>
      </c>
      <c r="J29" s="435" t="s">
        <v>1451</v>
      </c>
      <c r="K29" s="57" t="s">
        <v>200</v>
      </c>
      <c r="L29" s="28">
        <v>1</v>
      </c>
      <c r="M29" s="264" t="s">
        <v>380</v>
      </c>
      <c r="N29" s="401" t="s">
        <v>352</v>
      </c>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f t="shared" si="0"/>
        <v>22</v>
      </c>
      <c r="J30" s="435" t="s">
        <v>1462</v>
      </c>
      <c r="K30" s="57" t="s">
        <v>200</v>
      </c>
      <c r="L30" s="28">
        <v>1</v>
      </c>
      <c r="M30" s="264" t="s">
        <v>380</v>
      </c>
      <c r="N30" s="401" t="s">
        <v>352</v>
      </c>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f t="shared" si="0"/>
        <v>23</v>
      </c>
      <c r="J31" s="435" t="s">
        <v>1463</v>
      </c>
      <c r="K31" s="57" t="s">
        <v>200</v>
      </c>
      <c r="L31" s="28">
        <v>1</v>
      </c>
      <c r="M31" s="264" t="s">
        <v>380</v>
      </c>
      <c r="N31" s="401" t="s">
        <v>352</v>
      </c>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f t="shared" si="0"/>
        <v>24</v>
      </c>
      <c r="J32" s="435" t="s">
        <v>1452</v>
      </c>
      <c r="K32" s="57" t="s">
        <v>200</v>
      </c>
      <c r="L32" s="28">
        <v>1</v>
      </c>
      <c r="M32" s="264" t="s">
        <v>380</v>
      </c>
      <c r="N32" s="401" t="s">
        <v>352</v>
      </c>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f t="shared" si="0"/>
        <v>25</v>
      </c>
      <c r="J33" s="435" t="s">
        <v>1453</v>
      </c>
      <c r="K33" s="57" t="s">
        <v>200</v>
      </c>
      <c r="L33" s="28">
        <v>1</v>
      </c>
      <c r="M33" s="264" t="s">
        <v>380</v>
      </c>
      <c r="N33" s="401" t="s">
        <v>352</v>
      </c>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f t="shared" si="0"/>
        <v>26</v>
      </c>
      <c r="J34" s="435" t="s">
        <v>1454</v>
      </c>
      <c r="K34" s="57" t="s">
        <v>200</v>
      </c>
      <c r="L34" s="28">
        <v>1</v>
      </c>
      <c r="M34" s="264" t="s">
        <v>380</v>
      </c>
      <c r="N34" s="401" t="s">
        <v>352</v>
      </c>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f t="shared" si="0"/>
        <v>27</v>
      </c>
      <c r="J35" s="435" t="s">
        <v>1455</v>
      </c>
      <c r="K35" s="57" t="s">
        <v>200</v>
      </c>
      <c r="L35" s="28">
        <v>1</v>
      </c>
      <c r="M35" s="264" t="s">
        <v>380</v>
      </c>
      <c r="N35" s="401" t="s">
        <v>352</v>
      </c>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f t="shared" si="0"/>
        <v>28</v>
      </c>
      <c r="J36" s="435" t="s">
        <v>1460</v>
      </c>
      <c r="K36" s="57" t="s">
        <v>200</v>
      </c>
      <c r="L36" s="28">
        <v>1</v>
      </c>
      <c r="M36" s="264" t="s">
        <v>380</v>
      </c>
      <c r="N36" s="401" t="s">
        <v>352</v>
      </c>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f t="shared" si="0"/>
        <v>29</v>
      </c>
      <c r="J37" s="435" t="s">
        <v>1461</v>
      </c>
      <c r="K37" s="57" t="s">
        <v>200</v>
      </c>
      <c r="L37" s="28">
        <v>1</v>
      </c>
      <c r="M37" s="264" t="s">
        <v>380</v>
      </c>
      <c r="N37" s="401" t="s">
        <v>352</v>
      </c>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f t="shared" si="0"/>
        <v>30</v>
      </c>
      <c r="J38" s="435" t="s">
        <v>1432</v>
      </c>
      <c r="K38" s="57" t="s">
        <v>200</v>
      </c>
      <c r="L38" s="28">
        <v>1</v>
      </c>
      <c r="M38" s="264" t="s">
        <v>380</v>
      </c>
      <c r="N38" s="401" t="s">
        <v>352</v>
      </c>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f t="shared" si="0"/>
        <v>31</v>
      </c>
      <c r="J39" s="435" t="s">
        <v>1456</v>
      </c>
      <c r="K39" s="57" t="s">
        <v>200</v>
      </c>
      <c r="L39" s="28">
        <v>1</v>
      </c>
      <c r="M39" s="264" t="s">
        <v>363</v>
      </c>
      <c r="N39" s="401" t="s">
        <v>352</v>
      </c>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f t="shared" si="0"/>
        <v>32</v>
      </c>
      <c r="J40" s="435" t="s">
        <v>1457</v>
      </c>
      <c r="K40" s="57" t="s">
        <v>200</v>
      </c>
      <c r="L40" s="28">
        <v>1</v>
      </c>
      <c r="M40" s="264" t="s">
        <v>363</v>
      </c>
      <c r="N40" s="401" t="s">
        <v>352</v>
      </c>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f t="shared" si="0"/>
        <v>33</v>
      </c>
      <c r="J41" s="435" t="s">
        <v>1456</v>
      </c>
      <c r="K41" s="57" t="s">
        <v>200</v>
      </c>
      <c r="L41" s="28">
        <v>1</v>
      </c>
      <c r="M41" s="264" t="s">
        <v>363</v>
      </c>
      <c r="N41" s="401" t="s">
        <v>352</v>
      </c>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6" zoomScaleNormal="100" workbookViewId="0">
      <selection activeCell="L30" sqref="L30"/>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15984</v>
      </c>
      <c r="M8" s="47">
        <v>158922.68</v>
      </c>
      <c r="N8" s="165" t="s">
        <v>499</v>
      </c>
      <c r="O8" s="195"/>
      <c r="P8" s="48"/>
      <c r="Q8" s="20"/>
    </row>
    <row r="9" spans="2:17" x14ac:dyDescent="0.2">
      <c r="I9" s="194"/>
      <c r="J9" s="58" t="s">
        <v>89</v>
      </c>
      <c r="K9" s="426" t="str">
        <f>IF(Electricity[[#This Row],[Month]]&lt;&gt;"",VLOOKUP(Electricity[[#This Row],[Month]], dropdown!$S$4:$T$15, 2, FALSE),"")</f>
        <v>Q1</v>
      </c>
      <c r="L9" s="29">
        <v>16224</v>
      </c>
      <c r="M9" s="47">
        <v>154275.6</v>
      </c>
      <c r="N9" s="165" t="s">
        <v>499</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16480</v>
      </c>
      <c r="M10" s="47">
        <v>158335.06</v>
      </c>
      <c r="N10" s="165" t="s">
        <v>499</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19304</v>
      </c>
      <c r="M11" s="47">
        <v>187173.55</v>
      </c>
      <c r="N11" s="165" t="s">
        <v>499</v>
      </c>
      <c r="O11" s="195"/>
      <c r="P11" s="48"/>
      <c r="Q11" s="20"/>
    </row>
    <row r="12" spans="2:17" x14ac:dyDescent="0.2">
      <c r="B12" s="17" t="s">
        <v>207</v>
      </c>
      <c r="C12" s="17" t="s">
        <v>208</v>
      </c>
      <c r="D12" s="41">
        <f>SUMIFS(Electricity[Consumption (kWh)],Electricity[Quarter],D$11)</f>
        <v>48688</v>
      </c>
      <c r="E12" s="41">
        <f>SUMIFS(Electricity[Consumption (kWh)],Electricity[Quarter],E$11)</f>
        <v>58344</v>
      </c>
      <c r="F12" s="41">
        <f>SUMIFS(Electricity[Consumption (kWh)],Electricity[Quarter],F$11)</f>
        <v>55864</v>
      </c>
      <c r="G12" s="41">
        <f>SUMIFS(Electricity[Consumption (kWh)],Electricity[Quarter],G$11)</f>
        <v>53112</v>
      </c>
      <c r="I12" s="194"/>
      <c r="J12" s="58" t="s">
        <v>379</v>
      </c>
      <c r="K12" s="426" t="str">
        <f>IF(Electricity[[#This Row],[Month]]&lt;&gt;"",VLOOKUP(Electricity[[#This Row],[Month]], dropdown!$S$4:$T$15, 2, FALSE),"")</f>
        <v>Q2</v>
      </c>
      <c r="L12" s="29">
        <v>20472</v>
      </c>
      <c r="M12" s="47">
        <v>221978.66</v>
      </c>
      <c r="N12" s="165" t="s">
        <v>499</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18568</v>
      </c>
      <c r="M13" s="47">
        <v>153124.71</v>
      </c>
      <c r="N13" s="165" t="s">
        <v>499</v>
      </c>
      <c r="O13" s="195"/>
      <c r="P13" s="48"/>
      <c r="Q13" s="20"/>
    </row>
    <row r="14" spans="2:17" x14ac:dyDescent="0.2">
      <c r="B14" s="119" t="s">
        <v>38</v>
      </c>
      <c r="D14" s="168"/>
      <c r="I14" s="194"/>
      <c r="J14" s="58" t="s">
        <v>390</v>
      </c>
      <c r="K14" s="426" t="str">
        <f>IF(Electricity[[#This Row],[Month]]&lt;&gt;"",VLOOKUP(Electricity[[#This Row],[Month]], dropdown!$S$4:$T$15, 2, FALSE),"")</f>
        <v>Q3</v>
      </c>
      <c r="L14" s="29">
        <v>18216</v>
      </c>
      <c r="M14" s="47">
        <v>222933.26</v>
      </c>
      <c r="N14" s="165" t="s">
        <v>499</v>
      </c>
      <c r="O14" s="195"/>
      <c r="P14" s="48"/>
      <c r="Q14" s="20"/>
    </row>
    <row r="15" spans="2:17" x14ac:dyDescent="0.2">
      <c r="B15" s="120" t="s">
        <v>175</v>
      </c>
      <c r="D15" s="168"/>
      <c r="I15" s="194"/>
      <c r="J15" s="58" t="s">
        <v>41</v>
      </c>
      <c r="K15" s="426" t="str">
        <f>IF(Electricity[[#This Row],[Month]]&lt;&gt;"",VLOOKUP(Electricity[[#This Row],[Month]], dropdown!$S$4:$T$15, 2, FALSE),"")</f>
        <v>Q3</v>
      </c>
      <c r="L15" s="29">
        <v>19272</v>
      </c>
      <c r="M15" s="47">
        <v>230669.08</v>
      </c>
      <c r="N15" s="165" t="s">
        <v>499</v>
      </c>
      <c r="O15" s="195"/>
      <c r="P15" s="48"/>
      <c r="Q15" s="20"/>
    </row>
    <row r="16" spans="2:17" x14ac:dyDescent="0.2">
      <c r="B16" s="121" t="s">
        <v>176</v>
      </c>
      <c r="I16" s="194"/>
      <c r="J16" s="58" t="s">
        <v>397</v>
      </c>
      <c r="K16" s="426" t="str">
        <f>IF(Electricity[[#This Row],[Month]]&lt;&gt;"",VLOOKUP(Electricity[[#This Row],[Month]], dropdown!$S$4:$T$15, 2, FALSE),"")</f>
        <v>Q3</v>
      </c>
      <c r="L16" s="29">
        <v>18376</v>
      </c>
      <c r="M16" s="47">
        <v>221729.2</v>
      </c>
      <c r="N16" s="165" t="s">
        <v>499</v>
      </c>
      <c r="O16" s="195"/>
      <c r="P16" s="48"/>
      <c r="Q16" s="20"/>
    </row>
    <row r="17" spans="2:17" x14ac:dyDescent="0.2">
      <c r="B17" s="122" t="s">
        <v>177</v>
      </c>
      <c r="I17" s="194"/>
      <c r="J17" s="58" t="s">
        <v>400</v>
      </c>
      <c r="K17" s="426" t="str">
        <f>IF(Electricity[[#This Row],[Month]]&lt;&gt;"",VLOOKUP(Electricity[[#This Row],[Month]], dropdown!$S$4:$T$15, 2, FALSE),"")</f>
        <v>Q4</v>
      </c>
      <c r="L17" s="29">
        <v>17992</v>
      </c>
      <c r="M17" s="47">
        <v>190522.72</v>
      </c>
      <c r="N17" s="165" t="s">
        <v>499</v>
      </c>
      <c r="O17" s="195"/>
      <c r="P17" s="48"/>
      <c r="Q17" s="20"/>
    </row>
    <row r="18" spans="2:17" x14ac:dyDescent="0.2">
      <c r="I18" s="194">
        <f t="shared" ref="I18:I49" si="0">IF($L18="","",$I17+1)</f>
        <v>1</v>
      </c>
      <c r="J18" s="58" t="s">
        <v>404</v>
      </c>
      <c r="K18" s="426" t="str">
        <f>IF(Electricity[[#This Row],[Month]]&lt;&gt;"",VLOOKUP(Electricity[[#This Row],[Month]], dropdown!$S$4:$T$15, 2, FALSE),"")</f>
        <v>Q4</v>
      </c>
      <c r="L18" s="29">
        <v>17824</v>
      </c>
      <c r="M18" s="47">
        <v>200983.34</v>
      </c>
      <c r="N18" s="165" t="s">
        <v>499</v>
      </c>
      <c r="O18" s="195"/>
      <c r="P18" s="48"/>
      <c r="Q18" s="20"/>
    </row>
    <row r="19" spans="2:17" x14ac:dyDescent="0.2">
      <c r="I19" s="194">
        <f t="shared" si="0"/>
        <v>2</v>
      </c>
      <c r="J19" s="58" t="s">
        <v>407</v>
      </c>
      <c r="K19" s="426" t="str">
        <f>IF(Electricity[[#This Row],[Month]]&lt;&gt;"",VLOOKUP(Electricity[[#This Row],[Month]], dropdown!$S$4:$T$15, 2, FALSE),"")</f>
        <v>Q4</v>
      </c>
      <c r="L19" s="29">
        <v>17296</v>
      </c>
      <c r="M19" s="47">
        <v>191220.58</v>
      </c>
      <c r="N19" s="165" t="s">
        <v>499</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B1"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f>'1. Data Info and Summary'!$D$2</f>
        <v>0</v>
      </c>
      <c r="C4" s="37"/>
      <c r="D4" s="38" t="str">
        <f>IF('1. Data Info and Summary'!$D$3=0,"-",'1. Data Info and Summary'!$D$3)</f>
        <v>-</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J3" zoomScaleNormal="100" workbookViewId="0">
      <selection activeCell="U22" sqref="U2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f>'1. Data Info and Summary'!$D$2</f>
        <v>0</v>
      </c>
      <c r="C4" s="37"/>
      <c r="D4" s="38" t="str">
        <f>IF('1. Data Info and Summary'!$D$3=0,"-",'1. Data Info and Summary'!$D$3)</f>
        <v>-</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48</v>
      </c>
      <c r="N8" s="195"/>
      <c r="O8" s="44"/>
      <c r="P8" s="194">
        <f>IF($T8="","",1)</f>
        <v>1</v>
      </c>
      <c r="Q8" s="58" t="s">
        <v>338</v>
      </c>
      <c r="R8" s="18" t="str">
        <f>IF(water_out[[#This Row],[Month]]&lt;&gt;"",VLOOKUP(water_out[[#This Row],[Month]], dropdown!$S$4:$T$15, 2, FALSE),"")</f>
        <v>Q1</v>
      </c>
      <c r="S8" s="60" t="s">
        <v>364</v>
      </c>
      <c r="T8" s="29">
        <v>38.4</v>
      </c>
      <c r="U8" s="195" t="s">
        <v>1431</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93</v>
      </c>
      <c r="N9" s="195"/>
      <c r="O9" s="44"/>
      <c r="P9" s="194">
        <f>IF($T9="","",$P8+1)</f>
        <v>2</v>
      </c>
      <c r="Q9" s="58" t="s">
        <v>89</v>
      </c>
      <c r="R9" s="18" t="str">
        <f>IF(water_out[[#This Row],[Month]]&lt;&gt;"",VLOOKUP(water_out[[#This Row],[Month]], dropdown!$S$4:$T$15, 2, FALSE),"")</f>
        <v>Q1</v>
      </c>
      <c r="S9" s="60" t="s">
        <v>364</v>
      </c>
      <c r="T9" s="29">
        <v>74.400000000000006</v>
      </c>
      <c r="U9" s="195" t="s">
        <v>1431</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98</v>
      </c>
      <c r="N10" s="195"/>
      <c r="O10" s="44"/>
      <c r="P10" s="194">
        <f t="shared" ref="P10:P73" si="1">IF($T10="","",$P9+1)</f>
        <v>3</v>
      </c>
      <c r="Q10" s="58" t="s">
        <v>362</v>
      </c>
      <c r="R10" s="18" t="str">
        <f>IF(water_out[[#This Row],[Month]]&lt;&gt;"",VLOOKUP(water_out[[#This Row],[Month]], dropdown!$S$4:$T$15, 2, FALSE),"")</f>
        <v>Q1</v>
      </c>
      <c r="S10" s="60" t="s">
        <v>364</v>
      </c>
      <c r="T10" s="29">
        <v>78.400000000000006</v>
      </c>
      <c r="U10" s="195" t="s">
        <v>1431</v>
      </c>
      <c r="W10" s="20"/>
    </row>
    <row r="11" spans="2:23" ht="14" x14ac:dyDescent="0.2">
      <c r="B11" s="17" t="s">
        <v>120</v>
      </c>
      <c r="C11" s="17" t="s">
        <v>220</v>
      </c>
      <c r="D11" s="41">
        <f>SUMIFS(water_in[Volume (m3)],water_in[Quarter],D$10)</f>
        <v>239</v>
      </c>
      <c r="E11" s="41">
        <f>SUMIFS(water_in[Volume (m3)],water_in[Quarter],E$10)</f>
        <v>186</v>
      </c>
      <c r="F11" s="41">
        <f>SUMIFS(water_in[Volume (m3)],water_in[Quarter],F$10)</f>
        <v>253</v>
      </c>
      <c r="G11" s="41">
        <f>SUMIFS(water_in[Volume (m3)],water_in[Quarter],G$10)</f>
        <v>218</v>
      </c>
      <c r="I11" s="194">
        <f t="shared" si="0"/>
        <v>4</v>
      </c>
      <c r="J11" s="58" t="s">
        <v>371</v>
      </c>
      <c r="K11" s="426" t="str">
        <f>IF(water_in[[#This Row],[Month]]&lt;&gt;"",VLOOKUP(water_in[[#This Row],[Month]], dropdown!$S$4:$T$15, 2, FALSE),"")</f>
        <v>Q2</v>
      </c>
      <c r="L11" s="58" t="s">
        <v>124</v>
      </c>
      <c r="M11" s="29">
        <v>90</v>
      </c>
      <c r="N11" s="195"/>
      <c r="O11" s="44"/>
      <c r="P11" s="194">
        <f t="shared" si="1"/>
        <v>4</v>
      </c>
      <c r="Q11" s="58" t="s">
        <v>371</v>
      </c>
      <c r="R11" s="18" t="str">
        <f>IF(water_out[[#This Row],[Month]]&lt;&gt;"",VLOOKUP(water_out[[#This Row],[Month]], dropdown!$S$4:$T$15, 2, FALSE),"")</f>
        <v>Q2</v>
      </c>
      <c r="S11" s="60" t="s">
        <v>364</v>
      </c>
      <c r="T11" s="29">
        <v>72</v>
      </c>
      <c r="U11" s="195" t="s">
        <v>1431</v>
      </c>
      <c r="W11" s="20"/>
    </row>
    <row r="12" spans="2:23" ht="14" x14ac:dyDescent="0.2">
      <c r="B12" s="17" t="s">
        <v>128</v>
      </c>
      <c r="C12" s="17" t="s">
        <v>220</v>
      </c>
      <c r="D12" s="41">
        <f>SUMIFS(water_out[Volume2 (m3)],water_out[Quarter],D$10)</f>
        <v>191.20000000000002</v>
      </c>
      <c r="E12" s="41">
        <f>SUMIFS(water_out[Volume2 (m3)],water_out[Quarter],E$10)</f>
        <v>140.4</v>
      </c>
      <c r="F12" s="41">
        <f>SUMIFS(water_out[Volume2 (m3)],water_out[Quarter],F$10)</f>
        <v>202.39999999999998</v>
      </c>
      <c r="G12" s="41">
        <f>SUMIFS(water_out[Volume2 (m3)],water_out[Quarter],G$10)</f>
        <v>174.4</v>
      </c>
      <c r="I12" s="194">
        <f t="shared" si="0"/>
        <v>5</v>
      </c>
      <c r="J12" s="58" t="s">
        <v>379</v>
      </c>
      <c r="K12" s="426" t="str">
        <f>IF(water_in[[#This Row],[Month]]&lt;&gt;"",VLOOKUP(water_in[[#This Row],[Month]], dropdown!$S$4:$T$15, 2, FALSE),"")</f>
        <v>Q2</v>
      </c>
      <c r="L12" s="58" t="s">
        <v>124</v>
      </c>
      <c r="M12" s="29">
        <v>21</v>
      </c>
      <c r="N12" s="195"/>
      <c r="O12" s="44" t="str">
        <f>IF(J12="","",VLOOKUP($J12,dropdown!$S$3:$T$15,2,FALSE))</f>
        <v>Q2</v>
      </c>
      <c r="P12" s="194">
        <f t="shared" si="1"/>
        <v>5</v>
      </c>
      <c r="Q12" s="58" t="s">
        <v>379</v>
      </c>
      <c r="R12" s="18" t="str">
        <f>IF(water_out[[#This Row],[Month]]&lt;&gt;"",VLOOKUP(water_out[[#This Row],[Month]], dropdown!$S$4:$T$15, 2, FALSE),"")</f>
        <v>Q2</v>
      </c>
      <c r="S12" s="60" t="s">
        <v>364</v>
      </c>
      <c r="T12" s="29">
        <v>8.4</v>
      </c>
      <c r="U12" s="195" t="s">
        <v>1431</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75</v>
      </c>
      <c r="N13" s="195"/>
      <c r="O13" s="44" t="str">
        <f>IF(J13="","",VLOOKUP($J13,dropdown!$S$3:$T$15,2,FALSE))</f>
        <v>Q2</v>
      </c>
      <c r="P13" s="194">
        <f t="shared" si="1"/>
        <v>6</v>
      </c>
      <c r="Q13" s="58" t="s">
        <v>386</v>
      </c>
      <c r="R13" s="18" t="str">
        <f>IF(water_out[[#This Row],[Month]]&lt;&gt;"",VLOOKUP(water_out[[#This Row],[Month]], dropdown!$S$4:$T$15, 2, FALSE),"")</f>
        <v>Q2</v>
      </c>
      <c r="S13" s="60" t="s">
        <v>364</v>
      </c>
      <c r="T13" s="29">
        <v>60</v>
      </c>
      <c r="U13" s="195" t="s">
        <v>1431</v>
      </c>
      <c r="W13" s="20"/>
    </row>
    <row r="14" spans="2:23" ht="14" x14ac:dyDescent="0.2">
      <c r="B14" s="119" t="s">
        <v>38</v>
      </c>
      <c r="I14" s="194">
        <f t="shared" si="0"/>
        <v>7</v>
      </c>
      <c r="J14" s="58" t="s">
        <v>390</v>
      </c>
      <c r="K14" s="426" t="str">
        <f>IF(water_in[[#This Row],[Month]]&lt;&gt;"",VLOOKUP(water_in[[#This Row],[Month]], dropdown!$S$4:$T$15, 2, FALSE),"")</f>
        <v>Q3</v>
      </c>
      <c r="L14" s="58" t="s">
        <v>124</v>
      </c>
      <c r="M14" s="29">
        <v>97</v>
      </c>
      <c r="N14" s="195"/>
      <c r="O14" s="44" t="str">
        <f>IF(J14="","",VLOOKUP($J14,dropdown!$S$3:$T$15,2,FALSE))</f>
        <v>Q3</v>
      </c>
      <c r="P14" s="194">
        <f t="shared" si="1"/>
        <v>7</v>
      </c>
      <c r="Q14" s="58" t="s">
        <v>390</v>
      </c>
      <c r="R14" s="18" t="str">
        <f>IF(water_out[[#This Row],[Month]]&lt;&gt;"",VLOOKUP(water_out[[#This Row],[Month]], dropdown!$S$4:$T$15, 2, FALSE),"")</f>
        <v>Q3</v>
      </c>
      <c r="S14" s="60" t="s">
        <v>364</v>
      </c>
      <c r="T14" s="29">
        <v>77.599999999999994</v>
      </c>
      <c r="U14" s="195" t="s">
        <v>1431</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81</v>
      </c>
      <c r="N15" s="195"/>
      <c r="O15" s="44" t="str">
        <f>IF(J15="","",VLOOKUP($J15,dropdown!$S$3:$T$15,2,FALSE))</f>
        <v>Q3</v>
      </c>
      <c r="P15" s="194">
        <f t="shared" si="1"/>
        <v>8</v>
      </c>
      <c r="Q15" s="58" t="s">
        <v>41</v>
      </c>
      <c r="R15" s="18" t="str">
        <f>IF(water_out[[#This Row],[Month]]&lt;&gt;"",VLOOKUP(water_out[[#This Row],[Month]], dropdown!$S$4:$T$15, 2, FALSE),"")</f>
        <v>Q3</v>
      </c>
      <c r="S15" s="60" t="s">
        <v>364</v>
      </c>
      <c r="T15" s="29">
        <v>64.8</v>
      </c>
      <c r="U15" s="195" t="s">
        <v>1431</v>
      </c>
      <c r="W15" s="20"/>
    </row>
    <row r="16" spans="2:23" ht="14" x14ac:dyDescent="0.2">
      <c r="B16" s="121" t="s">
        <v>176</v>
      </c>
      <c r="I16" s="194">
        <f t="shared" si="0"/>
        <v>9</v>
      </c>
      <c r="J16" s="58" t="s">
        <v>397</v>
      </c>
      <c r="K16" s="426" t="str">
        <f>IF(water_in[[#This Row],[Month]]&lt;&gt;"",VLOOKUP(water_in[[#This Row],[Month]], dropdown!$S$4:$T$15, 2, FALSE),"")</f>
        <v>Q3</v>
      </c>
      <c r="L16" s="58" t="s">
        <v>124</v>
      </c>
      <c r="M16" s="29">
        <v>75</v>
      </c>
      <c r="N16" s="195"/>
      <c r="O16" s="44" t="str">
        <f>IF(J16="","",VLOOKUP($J16,dropdown!$S$3:$T$15,2,FALSE))</f>
        <v>Q3</v>
      </c>
      <c r="P16" s="194">
        <f t="shared" si="1"/>
        <v>9</v>
      </c>
      <c r="Q16" s="58" t="s">
        <v>397</v>
      </c>
      <c r="R16" s="18" t="str">
        <f>IF(water_out[[#This Row],[Month]]&lt;&gt;"",VLOOKUP(water_out[[#This Row],[Month]], dropdown!$S$4:$T$15, 2, FALSE),"")</f>
        <v>Q3</v>
      </c>
      <c r="S16" s="60" t="s">
        <v>364</v>
      </c>
      <c r="T16" s="29">
        <v>60</v>
      </c>
      <c r="U16" s="195" t="s">
        <v>1431</v>
      </c>
      <c r="W16" s="20"/>
    </row>
    <row r="17" spans="2:23" ht="14" x14ac:dyDescent="0.2">
      <c r="B17" s="122" t="s">
        <v>177</v>
      </c>
      <c r="I17" s="194">
        <f t="shared" si="0"/>
        <v>10</v>
      </c>
      <c r="J17" s="58" t="s">
        <v>400</v>
      </c>
      <c r="K17" s="426" t="str">
        <f>IF(water_in[[#This Row],[Month]]&lt;&gt;"",VLOOKUP(water_in[[#This Row],[Month]], dropdown!$S$4:$T$15, 2, FALSE),"")</f>
        <v>Q4</v>
      </c>
      <c r="L17" s="58" t="s">
        <v>124</v>
      </c>
      <c r="M17" s="29">
        <v>75</v>
      </c>
      <c r="N17" s="195"/>
      <c r="O17" s="44" t="str">
        <f>IF(J17="","",VLOOKUP($J17,dropdown!$S$3:$T$15,2,FALSE))</f>
        <v>Q4</v>
      </c>
      <c r="P17" s="194">
        <f t="shared" si="1"/>
        <v>10</v>
      </c>
      <c r="Q17" s="58" t="s">
        <v>400</v>
      </c>
      <c r="R17" s="18" t="str">
        <f>IF(water_out[[#This Row],[Month]]&lt;&gt;"",VLOOKUP(water_out[[#This Row],[Month]], dropdown!$S$4:$T$15, 2, FALSE),"")</f>
        <v>Q4</v>
      </c>
      <c r="S17" s="60" t="s">
        <v>364</v>
      </c>
      <c r="T17" s="29">
        <v>60</v>
      </c>
      <c r="U17" s="195" t="s">
        <v>1431</v>
      </c>
      <c r="V17" s="44" t="s">
        <v>43</v>
      </c>
      <c r="W17" s="20"/>
    </row>
    <row r="18" spans="2:23" ht="14" x14ac:dyDescent="0.2">
      <c r="I18" s="194">
        <f t="shared" si="0"/>
        <v>11</v>
      </c>
      <c r="J18" s="58" t="s">
        <v>404</v>
      </c>
      <c r="K18" s="426" t="str">
        <f>IF(water_in[[#This Row],[Month]]&lt;&gt;"",VLOOKUP(water_in[[#This Row],[Month]], dropdown!$S$4:$T$15, 2, FALSE),"")</f>
        <v>Q4</v>
      </c>
      <c r="L18" s="58" t="s">
        <v>124</v>
      </c>
      <c r="M18" s="29">
        <v>70</v>
      </c>
      <c r="N18" s="195"/>
      <c r="O18" s="44" t="str">
        <f>IF(J18="","",VLOOKUP($J18,dropdown!$S$3:$T$15,2,FALSE))</f>
        <v>Q4</v>
      </c>
      <c r="P18" s="194">
        <f t="shared" si="1"/>
        <v>11</v>
      </c>
      <c r="Q18" s="58" t="s">
        <v>404</v>
      </c>
      <c r="R18" s="18" t="str">
        <f>IF(water_out[[#This Row],[Month]]&lt;&gt;"",VLOOKUP(water_out[[#This Row],[Month]], dropdown!$S$4:$T$15, 2, FALSE),"")</f>
        <v>Q4</v>
      </c>
      <c r="S18" s="60" t="s">
        <v>364</v>
      </c>
      <c r="T18" s="29">
        <v>56</v>
      </c>
      <c r="U18" s="195" t="s">
        <v>1431</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73</v>
      </c>
      <c r="N19" s="195"/>
      <c r="O19" s="44" t="str">
        <f>IF(J19="","",VLOOKUP($J19,dropdown!$S$3:$T$15,2,FALSE))</f>
        <v>Q4</v>
      </c>
      <c r="P19" s="194">
        <f t="shared" si="1"/>
        <v>12</v>
      </c>
      <c r="Q19" s="58" t="s">
        <v>407</v>
      </c>
      <c r="R19" s="18" t="str">
        <f>IF(water_out[[#This Row],[Month]]&lt;&gt;"",VLOOKUP(water_out[[#This Row],[Month]], dropdown!$S$4:$T$15, 2, FALSE),"")</f>
        <v>Q4</v>
      </c>
      <c r="S19" s="60" t="s">
        <v>364</v>
      </c>
      <c r="T19" s="29">
        <v>58.4</v>
      </c>
      <c r="U19" s="195" t="s">
        <v>1431</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f>'1. Data Info and Summary'!$D$2</f>
        <v>0</v>
      </c>
      <c r="C4" s="37"/>
      <c r="D4" s="38">
        <f>'1. Data Info and Summary'!$D$3</f>
        <v>0</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32" zoomScaleNormal="100" workbookViewId="0">
      <selection activeCell="M55" sqref="M55"/>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318</v>
      </c>
      <c r="M8" s="29">
        <v>2</v>
      </c>
      <c r="N8" s="57" t="s">
        <v>313</v>
      </c>
      <c r="O8" s="195" t="s">
        <v>1464</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139</v>
      </c>
      <c r="M9" s="29">
        <v>1600</v>
      </c>
      <c r="N9" s="57" t="s">
        <v>313</v>
      </c>
      <c r="O9" s="195" t="s">
        <v>1464</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3</v>
      </c>
      <c r="N10" s="57" t="s">
        <v>313</v>
      </c>
      <c r="O10" s="195" t="s">
        <v>1464</v>
      </c>
      <c r="Q10" s="44"/>
    </row>
    <row r="11" spans="2:17" x14ac:dyDescent="0.2">
      <c r="B11" s="17" t="str">
        <f>dropdown!$B4</f>
        <v>Compostable</v>
      </c>
      <c r="C11" s="17" t="s">
        <v>283</v>
      </c>
      <c r="D11" s="41">
        <f>SUMIFS(Waste[Weight (kg)],Waste[Quarter],D$10,Waste[Waste Composition],$B$11)</f>
        <v>4800</v>
      </c>
      <c r="E11" s="41">
        <f>SUMIFS(Waste[Weight (kg)],Waste[Quarter],E$10,Waste[Waste Composition],$B11)</f>
        <v>4800</v>
      </c>
      <c r="F11" s="41">
        <f>SUMIFS(Waste[Weight (kg)],Waste[Quarter],F$10,Waste[Waste Composition],$B11)</f>
        <v>4800</v>
      </c>
      <c r="G11" s="41">
        <f>SUMIFS(Waste[Weight (kg)],Waste[Quarter],G$10,Waste[Waste Composition],$B11)</f>
        <v>4800</v>
      </c>
      <c r="I11" s="194">
        <f t="shared" si="0"/>
        <v>4</v>
      </c>
      <c r="J11" s="58" t="s">
        <v>338</v>
      </c>
      <c r="K11" s="194" t="str">
        <f>IF(Waste[[#This Row],[Month]]&lt;&gt;"",VLOOKUP(Waste[[#This Row],[Month]], dropdown!$S$4:$T$15, 2, FALSE),"")</f>
        <v>Q1</v>
      </c>
      <c r="L11" s="57" t="s">
        <v>317</v>
      </c>
      <c r="M11" s="29">
        <v>0</v>
      </c>
      <c r="N11" s="57" t="s">
        <v>345</v>
      </c>
      <c r="O11" s="195"/>
      <c r="Q11" s="44"/>
    </row>
    <row r="12" spans="2:17" x14ac:dyDescent="0.2">
      <c r="B12" s="17" t="str">
        <f>dropdown!$B5</f>
        <v>Recyclable</v>
      </c>
      <c r="C12" s="17" t="s">
        <v>283</v>
      </c>
      <c r="D12" s="41">
        <f>SUMIFS(Waste[Weight (kg)],Waste[Quarter],D$10,Waste[Waste Composition],$B12)</f>
        <v>6</v>
      </c>
      <c r="E12" s="41">
        <f>SUMIFS(Waste[Weight (kg)],Waste[Quarter],E$10,Waste[Waste Composition],$B12)</f>
        <v>6</v>
      </c>
      <c r="F12" s="41">
        <f>SUMIFS(Waste[Weight (kg)],Waste[Quarter],F$10,Waste[Waste Composition],$B12)</f>
        <v>6</v>
      </c>
      <c r="G12" s="41">
        <f>SUMIFS(Waste[Weight (kg)],Waste[Quarter],G$10,Waste[Waste Composition],$B12)</f>
        <v>6</v>
      </c>
      <c r="I12" s="194">
        <f t="shared" si="0"/>
        <v>5</v>
      </c>
      <c r="J12" s="58" t="s">
        <v>89</v>
      </c>
      <c r="K12" s="194" t="str">
        <f>IF(Waste[[#This Row],[Month]]&lt;&gt;"",VLOOKUP(Waste[[#This Row],[Month]], dropdown!$S$4:$T$15, 2, FALSE),"")</f>
        <v>Q1</v>
      </c>
      <c r="L12" s="57" t="s">
        <v>318</v>
      </c>
      <c r="M12" s="29">
        <v>2</v>
      </c>
      <c r="N12" s="57" t="s">
        <v>313</v>
      </c>
      <c r="O12" s="195" t="s">
        <v>1464</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139</v>
      </c>
      <c r="M13" s="29">
        <v>1600</v>
      </c>
      <c r="N13" s="57" t="s">
        <v>313</v>
      </c>
      <c r="O13" s="195" t="s">
        <v>1464</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89</v>
      </c>
      <c r="K14" s="194" t="str">
        <f>IF(Waste[[#This Row],[Month]]&lt;&gt;"",VLOOKUP(Waste[[#This Row],[Month]], dropdown!$S$4:$T$15, 2, FALSE),"")</f>
        <v>Q1</v>
      </c>
      <c r="L14" s="57" t="s">
        <v>383</v>
      </c>
      <c r="M14" s="29">
        <v>3</v>
      </c>
      <c r="N14" s="57" t="s">
        <v>313</v>
      </c>
      <c r="O14" s="195" t="s">
        <v>1464</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86.39</v>
      </c>
      <c r="F15" s="41">
        <f>SUMIFS(Waste[Weight (kg)],Waste[Quarter],F$10,Waste[Waste Composition],$B15)</f>
        <v>0</v>
      </c>
      <c r="G15" s="41">
        <f>SUMIFS(Waste[Weight (kg)],Waste[Quarter],G$10,Waste[Waste Composition],$B15)</f>
        <v>51.02</v>
      </c>
      <c r="I15" s="194">
        <f t="shared" si="0"/>
        <v>8</v>
      </c>
      <c r="J15" s="58" t="s">
        <v>89</v>
      </c>
      <c r="K15" s="194" t="str">
        <f>IF(Waste[[#This Row],[Month]]&lt;&gt;"",VLOOKUP(Waste[[#This Row],[Month]], dropdown!$S$4:$T$15, 2, FALSE),"")</f>
        <v>Q1</v>
      </c>
      <c r="L15" s="57" t="s">
        <v>317</v>
      </c>
      <c r="M15" s="29">
        <v>0</v>
      </c>
      <c r="N15" s="57" t="s">
        <v>345</v>
      </c>
      <c r="O15" s="195"/>
    </row>
    <row r="16" spans="2:17" x14ac:dyDescent="0.2">
      <c r="B16" s="17" t="str">
        <f>dropdown!$B9</f>
        <v>Residual/Landfill</v>
      </c>
      <c r="C16" s="17" t="s">
        <v>283</v>
      </c>
      <c r="D16" s="41">
        <f>SUMIFS(Waste[Weight (kg)],Waste[Quarter],D$10,Waste[Waste Composition],$B16)</f>
        <v>9</v>
      </c>
      <c r="E16" s="41">
        <f>SUMIFS(Waste[Weight (kg)],Waste[Quarter],E$10,Waste[Waste Composition],$B16)</f>
        <v>9</v>
      </c>
      <c r="F16" s="41">
        <f>SUMIFS(Waste[Weight (kg)],Waste[Quarter],F$10,Waste[Waste Composition],$B16)</f>
        <v>9</v>
      </c>
      <c r="G16" s="41">
        <f>SUMIFS(Waste[Weight (kg)],Waste[Quarter],G$10,Waste[Waste Composition],$B16)</f>
        <v>9</v>
      </c>
      <c r="I16" s="194">
        <f t="shared" si="0"/>
        <v>9</v>
      </c>
      <c r="J16" s="58" t="s">
        <v>362</v>
      </c>
      <c r="K16" s="194" t="str">
        <f>IF(Waste[[#This Row],[Month]]&lt;&gt;"",VLOOKUP(Waste[[#This Row],[Month]], dropdown!$S$4:$T$15, 2, FALSE),"")</f>
        <v>Q1</v>
      </c>
      <c r="L16" s="57" t="s">
        <v>318</v>
      </c>
      <c r="M16" s="29">
        <v>2</v>
      </c>
      <c r="N16" s="57" t="s">
        <v>313</v>
      </c>
      <c r="O16" s="195" t="s">
        <v>1464</v>
      </c>
    </row>
    <row r="17" spans="2:15" x14ac:dyDescent="0.2">
      <c r="I17" s="194">
        <f t="shared" si="0"/>
        <v>10</v>
      </c>
      <c r="J17" s="58" t="s">
        <v>362</v>
      </c>
      <c r="K17" s="194" t="str">
        <f>IF(Waste[[#This Row],[Month]]&lt;&gt;"",VLOOKUP(Waste[[#This Row],[Month]], dropdown!$S$4:$T$15, 2, FALSE),"")</f>
        <v>Q1</v>
      </c>
      <c r="L17" s="57" t="s">
        <v>139</v>
      </c>
      <c r="M17" s="29">
        <v>1600</v>
      </c>
      <c r="N17" s="57" t="s">
        <v>313</v>
      </c>
      <c r="O17" s="195" t="s">
        <v>1464</v>
      </c>
    </row>
    <row r="18" spans="2:15" x14ac:dyDescent="0.2">
      <c r="B18" s="267" t="s">
        <v>38</v>
      </c>
      <c r="I18" s="194">
        <f t="shared" si="0"/>
        <v>11</v>
      </c>
      <c r="J18" s="58" t="s">
        <v>362</v>
      </c>
      <c r="K18" s="194" t="str">
        <f>IF(Waste[[#This Row],[Month]]&lt;&gt;"",VLOOKUP(Waste[[#This Row],[Month]], dropdown!$S$4:$T$15, 2, FALSE),"")</f>
        <v>Q1</v>
      </c>
      <c r="L18" s="57" t="s">
        <v>383</v>
      </c>
      <c r="M18" s="29">
        <v>3</v>
      </c>
      <c r="N18" s="57" t="s">
        <v>313</v>
      </c>
      <c r="O18" s="195" t="s">
        <v>1464</v>
      </c>
    </row>
    <row r="19" spans="2:15" x14ac:dyDescent="0.2">
      <c r="B19" s="268" t="s">
        <v>175</v>
      </c>
      <c r="I19" s="194">
        <f t="shared" ref="I19" si="1">IF($J19="","",$I18+1)</f>
        <v>12</v>
      </c>
      <c r="J19" s="58" t="s">
        <v>362</v>
      </c>
      <c r="K19" s="194" t="str">
        <f>IF(Waste[[#This Row],[Month]]&lt;&gt;"",VLOOKUP(Waste[[#This Row],[Month]], dropdown!$S$4:$T$15, 2, FALSE),"")</f>
        <v>Q1</v>
      </c>
      <c r="L19" s="57" t="s">
        <v>317</v>
      </c>
      <c r="M19" s="29">
        <v>0</v>
      </c>
      <c r="N19" s="57" t="s">
        <v>345</v>
      </c>
      <c r="O19" s="195"/>
    </row>
    <row r="20" spans="2:15" x14ac:dyDescent="0.2">
      <c r="B20" s="266" t="s">
        <v>176</v>
      </c>
      <c r="I20" s="194">
        <f t="shared" si="0"/>
        <v>13</v>
      </c>
      <c r="J20" s="58" t="s">
        <v>371</v>
      </c>
      <c r="K20" s="194" t="str">
        <f>IF(Waste[[#This Row],[Month]]&lt;&gt;"",VLOOKUP(Waste[[#This Row],[Month]], dropdown!$S$4:$T$15, 2, FALSE),"")</f>
        <v>Q2</v>
      </c>
      <c r="L20" s="57" t="s">
        <v>318</v>
      </c>
      <c r="M20" s="29">
        <v>2</v>
      </c>
      <c r="N20" s="57" t="s">
        <v>313</v>
      </c>
      <c r="O20" s="195" t="s">
        <v>1464</v>
      </c>
    </row>
    <row r="21" spans="2:15" x14ac:dyDescent="0.2">
      <c r="B21" s="17" t="s">
        <v>177</v>
      </c>
      <c r="I21" s="194">
        <f t="shared" si="0"/>
        <v>14</v>
      </c>
      <c r="J21" s="58" t="s">
        <v>371</v>
      </c>
      <c r="K21" s="194" t="str">
        <f>IF(Waste[[#This Row],[Month]]&lt;&gt;"",VLOOKUP(Waste[[#This Row],[Month]], dropdown!$S$4:$T$15, 2, FALSE),"")</f>
        <v>Q2</v>
      </c>
      <c r="L21" s="57" t="s">
        <v>139</v>
      </c>
      <c r="M21" s="29">
        <v>1600</v>
      </c>
      <c r="N21" s="57" t="s">
        <v>313</v>
      </c>
      <c r="O21" s="195" t="s">
        <v>1464</v>
      </c>
    </row>
    <row r="22" spans="2:15" x14ac:dyDescent="0.2">
      <c r="I22" s="194">
        <f t="shared" si="0"/>
        <v>15</v>
      </c>
      <c r="J22" s="58" t="s">
        <v>371</v>
      </c>
      <c r="K22" s="194" t="str">
        <f>IF(Waste[[#This Row],[Month]]&lt;&gt;"",VLOOKUP(Waste[[#This Row],[Month]], dropdown!$S$4:$T$15, 2, FALSE),"")</f>
        <v>Q2</v>
      </c>
      <c r="L22" s="57" t="s">
        <v>383</v>
      </c>
      <c r="M22" s="29">
        <v>3</v>
      </c>
      <c r="N22" s="57" t="s">
        <v>313</v>
      </c>
      <c r="O22" s="195" t="s">
        <v>1464</v>
      </c>
    </row>
    <row r="23" spans="2:15" x14ac:dyDescent="0.2">
      <c r="I23" s="194">
        <f t="shared" si="0"/>
        <v>16</v>
      </c>
      <c r="J23" s="58" t="s">
        <v>371</v>
      </c>
      <c r="K23" s="194" t="str">
        <f>IF(Waste[[#This Row],[Month]]&lt;&gt;"",VLOOKUP(Waste[[#This Row],[Month]], dropdown!$S$4:$T$15, 2, FALSE),"")</f>
        <v>Q2</v>
      </c>
      <c r="L23" s="57" t="s">
        <v>317</v>
      </c>
      <c r="M23" s="29">
        <v>83.76</v>
      </c>
      <c r="N23" s="57" t="s">
        <v>345</v>
      </c>
      <c r="O23" s="195"/>
    </row>
    <row r="24" spans="2:15" x14ac:dyDescent="0.2">
      <c r="I24" s="194">
        <f t="shared" si="0"/>
        <v>17</v>
      </c>
      <c r="J24" s="58" t="s">
        <v>379</v>
      </c>
      <c r="K24" s="194" t="str">
        <f>IF(Waste[[#This Row],[Month]]&lt;&gt;"",VLOOKUP(Waste[[#This Row],[Month]], dropdown!$S$4:$T$15, 2, FALSE),"")</f>
        <v>Q2</v>
      </c>
      <c r="L24" s="57" t="s">
        <v>318</v>
      </c>
      <c r="M24" s="29">
        <v>2</v>
      </c>
      <c r="N24" s="57" t="s">
        <v>313</v>
      </c>
      <c r="O24" s="195" t="s">
        <v>1464</v>
      </c>
    </row>
    <row r="25" spans="2:15" x14ac:dyDescent="0.2">
      <c r="I25" s="194">
        <f t="shared" si="0"/>
        <v>18</v>
      </c>
      <c r="J25" s="58" t="s">
        <v>379</v>
      </c>
      <c r="K25" s="194" t="str">
        <f>IF(Waste[[#This Row],[Month]]&lt;&gt;"",VLOOKUP(Waste[[#This Row],[Month]], dropdown!$S$4:$T$15, 2, FALSE),"")</f>
        <v>Q2</v>
      </c>
      <c r="L25" s="57" t="s">
        <v>139</v>
      </c>
      <c r="M25" s="29">
        <v>1600</v>
      </c>
      <c r="N25" s="57" t="s">
        <v>313</v>
      </c>
      <c r="O25" s="195" t="s">
        <v>1464</v>
      </c>
    </row>
    <row r="26" spans="2:15" x14ac:dyDescent="0.2">
      <c r="I26" s="194">
        <f t="shared" si="0"/>
        <v>19</v>
      </c>
      <c r="J26" s="58" t="s">
        <v>379</v>
      </c>
      <c r="K26" s="194" t="str">
        <f>IF(Waste[[#This Row],[Month]]&lt;&gt;"",VLOOKUP(Waste[[#This Row],[Month]], dropdown!$S$4:$T$15, 2, FALSE),"")</f>
        <v>Q2</v>
      </c>
      <c r="L26" s="57" t="s">
        <v>383</v>
      </c>
      <c r="M26" s="29">
        <v>3</v>
      </c>
      <c r="N26" s="57" t="s">
        <v>313</v>
      </c>
      <c r="O26" s="195" t="s">
        <v>1464</v>
      </c>
    </row>
    <row r="27" spans="2:15" x14ac:dyDescent="0.2">
      <c r="I27" s="194">
        <f t="shared" si="0"/>
        <v>20</v>
      </c>
      <c r="J27" s="58" t="s">
        <v>379</v>
      </c>
      <c r="K27" s="194" t="str">
        <f>IF(Waste[[#This Row],[Month]]&lt;&gt;"",VLOOKUP(Waste[[#This Row],[Month]], dropdown!$S$4:$T$15, 2, FALSE),"")</f>
        <v>Q2</v>
      </c>
      <c r="L27" s="57" t="s">
        <v>317</v>
      </c>
      <c r="M27" s="29">
        <v>0</v>
      </c>
      <c r="N27" s="57" t="s">
        <v>345</v>
      </c>
      <c r="O27" s="195"/>
    </row>
    <row r="28" spans="2:15" x14ac:dyDescent="0.2">
      <c r="I28" s="194">
        <f t="shared" si="0"/>
        <v>21</v>
      </c>
      <c r="J28" s="58" t="s">
        <v>386</v>
      </c>
      <c r="K28" s="194" t="str">
        <f>IF(Waste[[#This Row],[Month]]&lt;&gt;"",VLOOKUP(Waste[[#This Row],[Month]], dropdown!$S$4:$T$15, 2, FALSE),"")</f>
        <v>Q2</v>
      </c>
      <c r="L28" s="57" t="s">
        <v>318</v>
      </c>
      <c r="M28" s="29">
        <v>2</v>
      </c>
      <c r="N28" s="57" t="s">
        <v>313</v>
      </c>
      <c r="O28" s="195" t="s">
        <v>1464</v>
      </c>
    </row>
    <row r="29" spans="2:15" x14ac:dyDescent="0.2">
      <c r="I29" s="194">
        <f t="shared" si="0"/>
        <v>22</v>
      </c>
      <c r="J29" s="58" t="s">
        <v>386</v>
      </c>
      <c r="K29" s="194" t="str">
        <f>IF(Waste[[#This Row],[Month]]&lt;&gt;"",VLOOKUP(Waste[[#This Row],[Month]], dropdown!$S$4:$T$15, 2, FALSE),"")</f>
        <v>Q2</v>
      </c>
      <c r="L29" s="57" t="s">
        <v>139</v>
      </c>
      <c r="M29" s="29">
        <v>1600</v>
      </c>
      <c r="N29" s="57" t="s">
        <v>313</v>
      </c>
      <c r="O29" s="195" t="s">
        <v>1464</v>
      </c>
    </row>
    <row r="30" spans="2:15" x14ac:dyDescent="0.2">
      <c r="I30" s="194">
        <f t="shared" si="0"/>
        <v>23</v>
      </c>
      <c r="J30" s="58" t="s">
        <v>386</v>
      </c>
      <c r="K30" s="194" t="str">
        <f>IF(Waste[[#This Row],[Month]]&lt;&gt;"",VLOOKUP(Waste[[#This Row],[Month]], dropdown!$S$4:$T$15, 2, FALSE),"")</f>
        <v>Q2</v>
      </c>
      <c r="L30" s="57" t="s">
        <v>383</v>
      </c>
      <c r="M30" s="29">
        <v>3</v>
      </c>
      <c r="N30" s="57" t="s">
        <v>313</v>
      </c>
      <c r="O30" s="195" t="s">
        <v>1464</v>
      </c>
    </row>
    <row r="31" spans="2:15" x14ac:dyDescent="0.2">
      <c r="I31" s="194">
        <f t="shared" si="0"/>
        <v>24</v>
      </c>
      <c r="J31" s="58" t="s">
        <v>386</v>
      </c>
      <c r="K31" s="194" t="str">
        <f>IF(Waste[[#This Row],[Month]]&lt;&gt;"",VLOOKUP(Waste[[#This Row],[Month]], dropdown!$S$4:$T$15, 2, FALSE),"")</f>
        <v>Q2</v>
      </c>
      <c r="L31" s="57" t="s">
        <v>317</v>
      </c>
      <c r="M31" s="29">
        <v>2.63</v>
      </c>
      <c r="N31" s="57" t="s">
        <v>345</v>
      </c>
      <c r="O31" s="195"/>
    </row>
    <row r="32" spans="2:15" x14ac:dyDescent="0.2">
      <c r="I32" s="194">
        <f t="shared" si="0"/>
        <v>25</v>
      </c>
      <c r="J32" s="58" t="s">
        <v>390</v>
      </c>
      <c r="K32" s="194" t="str">
        <f>IF(Waste[[#This Row],[Month]]&lt;&gt;"",VLOOKUP(Waste[[#This Row],[Month]], dropdown!$S$4:$T$15, 2, FALSE),"")</f>
        <v>Q3</v>
      </c>
      <c r="L32" s="57" t="s">
        <v>318</v>
      </c>
      <c r="M32" s="29">
        <v>2</v>
      </c>
      <c r="N32" s="57" t="s">
        <v>313</v>
      </c>
      <c r="O32" s="195" t="s">
        <v>1464</v>
      </c>
    </row>
    <row r="33" spans="9:15" x14ac:dyDescent="0.2">
      <c r="I33" s="194">
        <f t="shared" si="0"/>
        <v>26</v>
      </c>
      <c r="J33" s="58" t="s">
        <v>390</v>
      </c>
      <c r="K33" s="194" t="str">
        <f>IF(Waste[[#This Row],[Month]]&lt;&gt;"",VLOOKUP(Waste[[#This Row],[Month]], dropdown!$S$4:$T$15, 2, FALSE),"")</f>
        <v>Q3</v>
      </c>
      <c r="L33" s="57" t="s">
        <v>139</v>
      </c>
      <c r="M33" s="29">
        <v>1600</v>
      </c>
      <c r="N33" s="57" t="s">
        <v>313</v>
      </c>
      <c r="O33" s="195" t="s">
        <v>1464</v>
      </c>
    </row>
    <row r="34" spans="9:15" x14ac:dyDescent="0.2">
      <c r="I34" s="194">
        <f t="shared" si="0"/>
        <v>27</v>
      </c>
      <c r="J34" s="58" t="s">
        <v>390</v>
      </c>
      <c r="K34" s="194" t="str">
        <f>IF(Waste[[#This Row],[Month]]&lt;&gt;"",VLOOKUP(Waste[[#This Row],[Month]], dropdown!$S$4:$T$15, 2, FALSE),"")</f>
        <v>Q3</v>
      </c>
      <c r="L34" s="57" t="s">
        <v>383</v>
      </c>
      <c r="M34" s="29">
        <v>3</v>
      </c>
      <c r="N34" s="57" t="s">
        <v>313</v>
      </c>
      <c r="O34" s="195" t="s">
        <v>1464</v>
      </c>
    </row>
    <row r="35" spans="9:15" x14ac:dyDescent="0.2">
      <c r="I35" s="194">
        <f t="shared" si="0"/>
        <v>28</v>
      </c>
      <c r="J35" s="58" t="s">
        <v>390</v>
      </c>
      <c r="K35" s="194" t="str">
        <f>IF(Waste[[#This Row],[Month]]&lt;&gt;"",VLOOKUP(Waste[[#This Row],[Month]], dropdown!$S$4:$T$15, 2, FALSE),"")</f>
        <v>Q3</v>
      </c>
      <c r="L35" s="57" t="s">
        <v>317</v>
      </c>
      <c r="M35" s="29">
        <v>0</v>
      </c>
      <c r="N35" s="57" t="s">
        <v>345</v>
      </c>
      <c r="O35" s="195"/>
    </row>
    <row r="36" spans="9:15" x14ac:dyDescent="0.2">
      <c r="I36" s="194">
        <f t="shared" si="0"/>
        <v>29</v>
      </c>
      <c r="J36" s="58" t="s">
        <v>41</v>
      </c>
      <c r="K36" s="194" t="str">
        <f>IF(Waste[[#This Row],[Month]]&lt;&gt;"",VLOOKUP(Waste[[#This Row],[Month]], dropdown!$S$4:$T$15, 2, FALSE),"")</f>
        <v>Q3</v>
      </c>
      <c r="L36" s="57" t="s">
        <v>318</v>
      </c>
      <c r="M36" s="29">
        <v>2</v>
      </c>
      <c r="N36" s="57" t="s">
        <v>313</v>
      </c>
      <c r="O36" s="195" t="s">
        <v>1464</v>
      </c>
    </row>
    <row r="37" spans="9:15" x14ac:dyDescent="0.2">
      <c r="I37" s="194">
        <f t="shared" si="0"/>
        <v>30</v>
      </c>
      <c r="J37" s="58" t="s">
        <v>41</v>
      </c>
      <c r="K37" s="194" t="str">
        <f>IF(Waste[[#This Row],[Month]]&lt;&gt;"",VLOOKUP(Waste[[#This Row],[Month]], dropdown!$S$4:$T$15, 2, FALSE),"")</f>
        <v>Q3</v>
      </c>
      <c r="L37" s="57" t="s">
        <v>139</v>
      </c>
      <c r="M37" s="29">
        <v>1600</v>
      </c>
      <c r="N37" s="57" t="s">
        <v>313</v>
      </c>
      <c r="O37" s="195" t="s">
        <v>1464</v>
      </c>
    </row>
    <row r="38" spans="9:15" x14ac:dyDescent="0.2">
      <c r="I38" s="194">
        <f t="shared" si="0"/>
        <v>31</v>
      </c>
      <c r="J38" s="58" t="s">
        <v>41</v>
      </c>
      <c r="K38" s="194" t="str">
        <f>IF(Waste[[#This Row],[Month]]&lt;&gt;"",VLOOKUP(Waste[[#This Row],[Month]], dropdown!$S$4:$T$15, 2, FALSE),"")</f>
        <v>Q3</v>
      </c>
      <c r="L38" s="57" t="s">
        <v>383</v>
      </c>
      <c r="M38" s="29">
        <v>3</v>
      </c>
      <c r="N38" s="57" t="s">
        <v>313</v>
      </c>
      <c r="O38" s="195" t="s">
        <v>1464</v>
      </c>
    </row>
    <row r="39" spans="9:15" x14ac:dyDescent="0.2">
      <c r="I39" s="194">
        <f t="shared" si="0"/>
        <v>32</v>
      </c>
      <c r="J39" s="58" t="s">
        <v>41</v>
      </c>
      <c r="K39" s="194" t="str">
        <f>IF(Waste[[#This Row],[Month]]&lt;&gt;"",VLOOKUP(Waste[[#This Row],[Month]], dropdown!$S$4:$T$15, 2, FALSE),"")</f>
        <v>Q3</v>
      </c>
      <c r="L39" s="57" t="s">
        <v>317</v>
      </c>
      <c r="M39" s="29">
        <v>0</v>
      </c>
      <c r="N39" s="57" t="s">
        <v>345</v>
      </c>
      <c r="O39" s="195"/>
    </row>
    <row r="40" spans="9:15" x14ac:dyDescent="0.2">
      <c r="I40" s="194">
        <f t="shared" si="0"/>
        <v>33</v>
      </c>
      <c r="J40" s="58" t="s">
        <v>397</v>
      </c>
      <c r="K40" s="194" t="str">
        <f>IF(Waste[[#This Row],[Month]]&lt;&gt;"",VLOOKUP(Waste[[#This Row],[Month]], dropdown!$S$4:$T$15, 2, FALSE),"")</f>
        <v>Q3</v>
      </c>
      <c r="L40" s="57" t="s">
        <v>318</v>
      </c>
      <c r="M40" s="29">
        <v>2</v>
      </c>
      <c r="N40" s="57" t="s">
        <v>313</v>
      </c>
      <c r="O40" s="195" t="s">
        <v>1464</v>
      </c>
    </row>
    <row r="41" spans="9:15" x14ac:dyDescent="0.2">
      <c r="I41" s="194">
        <f t="shared" si="0"/>
        <v>34</v>
      </c>
      <c r="J41" s="58" t="s">
        <v>397</v>
      </c>
      <c r="K41" s="194" t="str">
        <f>IF(Waste[[#This Row],[Month]]&lt;&gt;"",VLOOKUP(Waste[[#This Row],[Month]], dropdown!$S$4:$T$15, 2, FALSE),"")</f>
        <v>Q3</v>
      </c>
      <c r="L41" s="57" t="s">
        <v>139</v>
      </c>
      <c r="M41" s="29">
        <v>1600</v>
      </c>
      <c r="N41" s="57" t="s">
        <v>313</v>
      </c>
      <c r="O41" s="195" t="s">
        <v>1464</v>
      </c>
    </row>
    <row r="42" spans="9:15" x14ac:dyDescent="0.2">
      <c r="I42" s="194">
        <f t="shared" si="0"/>
        <v>35</v>
      </c>
      <c r="J42" s="58" t="s">
        <v>397</v>
      </c>
      <c r="K42" s="194" t="str">
        <f>IF(Waste[[#This Row],[Month]]&lt;&gt;"",VLOOKUP(Waste[[#This Row],[Month]], dropdown!$S$4:$T$15, 2, FALSE),"")</f>
        <v>Q3</v>
      </c>
      <c r="L42" s="57" t="s">
        <v>383</v>
      </c>
      <c r="M42" s="29">
        <v>3</v>
      </c>
      <c r="N42" s="57" t="s">
        <v>313</v>
      </c>
      <c r="O42" s="195" t="s">
        <v>1464</v>
      </c>
    </row>
    <row r="43" spans="9:15" x14ac:dyDescent="0.2">
      <c r="I43" s="194">
        <f t="shared" si="0"/>
        <v>36</v>
      </c>
      <c r="J43" s="58" t="s">
        <v>397</v>
      </c>
      <c r="K43" s="194" t="str">
        <f>IF(Waste[[#This Row],[Month]]&lt;&gt;"",VLOOKUP(Waste[[#This Row],[Month]], dropdown!$S$4:$T$15, 2, FALSE),"")</f>
        <v>Q3</v>
      </c>
      <c r="L43" s="57" t="s">
        <v>317</v>
      </c>
      <c r="M43" s="29">
        <v>0</v>
      </c>
      <c r="N43" s="57" t="s">
        <v>345</v>
      </c>
      <c r="O43" s="195"/>
    </row>
    <row r="44" spans="9:15" x14ac:dyDescent="0.2">
      <c r="I44" s="194">
        <f t="shared" si="0"/>
        <v>37</v>
      </c>
      <c r="J44" s="58" t="s">
        <v>400</v>
      </c>
      <c r="K44" s="194" t="str">
        <f>IF(Waste[[#This Row],[Month]]&lt;&gt;"",VLOOKUP(Waste[[#This Row],[Month]], dropdown!$S$4:$T$15, 2, FALSE),"")</f>
        <v>Q4</v>
      </c>
      <c r="L44" s="57" t="s">
        <v>318</v>
      </c>
      <c r="M44" s="29">
        <v>2</v>
      </c>
      <c r="N44" s="57" t="s">
        <v>313</v>
      </c>
      <c r="O44" s="195" t="s">
        <v>1464</v>
      </c>
    </row>
    <row r="45" spans="9:15" x14ac:dyDescent="0.2">
      <c r="I45" s="194">
        <f t="shared" si="0"/>
        <v>38</v>
      </c>
      <c r="J45" s="58" t="s">
        <v>400</v>
      </c>
      <c r="K45" s="194" t="str">
        <f>IF(Waste[[#This Row],[Month]]&lt;&gt;"",VLOOKUP(Waste[[#This Row],[Month]], dropdown!$S$4:$T$15, 2, FALSE),"")</f>
        <v>Q4</v>
      </c>
      <c r="L45" s="57" t="s">
        <v>139</v>
      </c>
      <c r="M45" s="29">
        <v>1600</v>
      </c>
      <c r="N45" s="57" t="s">
        <v>313</v>
      </c>
      <c r="O45" s="195" t="s">
        <v>1464</v>
      </c>
    </row>
    <row r="46" spans="9:15" x14ac:dyDescent="0.2">
      <c r="I46" s="194">
        <f t="shared" si="0"/>
        <v>39</v>
      </c>
      <c r="J46" s="58" t="s">
        <v>400</v>
      </c>
      <c r="K46" s="194" t="str">
        <f>IF(Waste[[#This Row],[Month]]&lt;&gt;"",VLOOKUP(Waste[[#This Row],[Month]], dropdown!$S$4:$T$15, 2, FALSE),"")</f>
        <v>Q4</v>
      </c>
      <c r="L46" s="57" t="s">
        <v>383</v>
      </c>
      <c r="M46" s="29">
        <v>3</v>
      </c>
      <c r="N46" s="57" t="s">
        <v>313</v>
      </c>
      <c r="O46" s="195" t="s">
        <v>1464</v>
      </c>
    </row>
    <row r="47" spans="9:15" x14ac:dyDescent="0.2">
      <c r="I47" s="194">
        <f t="shared" si="0"/>
        <v>40</v>
      </c>
      <c r="J47" s="58" t="s">
        <v>400</v>
      </c>
      <c r="K47" s="194" t="str">
        <f>IF(Waste[[#This Row],[Month]]&lt;&gt;"",VLOOKUP(Waste[[#This Row],[Month]], dropdown!$S$4:$T$15, 2, FALSE),"")</f>
        <v>Q4</v>
      </c>
      <c r="L47" s="57" t="s">
        <v>317</v>
      </c>
      <c r="M47" s="29">
        <v>0</v>
      </c>
      <c r="N47" s="57" t="s">
        <v>345</v>
      </c>
      <c r="O47" s="195"/>
    </row>
    <row r="48" spans="9:15" x14ac:dyDescent="0.2">
      <c r="I48" s="194">
        <f t="shared" si="0"/>
        <v>41</v>
      </c>
      <c r="J48" s="58" t="s">
        <v>404</v>
      </c>
      <c r="K48" s="194" t="str">
        <f>IF(Waste[[#This Row],[Month]]&lt;&gt;"",VLOOKUP(Waste[[#This Row],[Month]], dropdown!$S$4:$T$15, 2, FALSE),"")</f>
        <v>Q4</v>
      </c>
      <c r="L48" s="57" t="s">
        <v>318</v>
      </c>
      <c r="M48" s="29">
        <v>2</v>
      </c>
      <c r="N48" s="57" t="s">
        <v>313</v>
      </c>
      <c r="O48" s="195" t="s">
        <v>1464</v>
      </c>
    </row>
    <row r="49" spans="9:15" x14ac:dyDescent="0.2">
      <c r="I49" s="194">
        <f t="shared" si="0"/>
        <v>42</v>
      </c>
      <c r="J49" s="58" t="s">
        <v>404</v>
      </c>
      <c r="K49" s="194" t="str">
        <f>IF(Waste[[#This Row],[Month]]&lt;&gt;"",VLOOKUP(Waste[[#This Row],[Month]], dropdown!$S$4:$T$15, 2, FALSE),"")</f>
        <v>Q4</v>
      </c>
      <c r="L49" s="57" t="s">
        <v>139</v>
      </c>
      <c r="M49" s="29">
        <v>1600</v>
      </c>
      <c r="N49" s="57" t="s">
        <v>313</v>
      </c>
      <c r="O49" s="195" t="s">
        <v>1464</v>
      </c>
    </row>
    <row r="50" spans="9:15" x14ac:dyDescent="0.2">
      <c r="I50" s="194">
        <f t="shared" si="0"/>
        <v>43</v>
      </c>
      <c r="J50" s="58" t="s">
        <v>404</v>
      </c>
      <c r="K50" s="194" t="str">
        <f>IF(Waste[[#This Row],[Month]]&lt;&gt;"",VLOOKUP(Waste[[#This Row],[Month]], dropdown!$S$4:$T$15, 2, FALSE),"")</f>
        <v>Q4</v>
      </c>
      <c r="L50" s="57" t="s">
        <v>383</v>
      </c>
      <c r="M50" s="29">
        <v>3</v>
      </c>
      <c r="N50" s="57" t="s">
        <v>313</v>
      </c>
      <c r="O50" s="195" t="s">
        <v>1464</v>
      </c>
    </row>
    <row r="51" spans="9:15" x14ac:dyDescent="0.2">
      <c r="I51" s="194">
        <f t="shared" si="0"/>
        <v>44</v>
      </c>
      <c r="J51" s="58" t="s">
        <v>404</v>
      </c>
      <c r="K51" s="194" t="str">
        <f>IF(Waste[[#This Row],[Month]]&lt;&gt;"",VLOOKUP(Waste[[#This Row],[Month]], dropdown!$S$4:$T$15, 2, FALSE),"")</f>
        <v>Q4</v>
      </c>
      <c r="L51" s="57" t="s">
        <v>317</v>
      </c>
      <c r="M51" s="29">
        <v>0</v>
      </c>
      <c r="N51" s="57" t="s">
        <v>345</v>
      </c>
      <c r="O51" s="195"/>
    </row>
    <row r="52" spans="9:15" x14ac:dyDescent="0.2">
      <c r="I52" s="194">
        <f t="shared" si="0"/>
        <v>45</v>
      </c>
      <c r="J52" s="58" t="s">
        <v>407</v>
      </c>
      <c r="K52" s="194" t="str">
        <f>IF(Waste[[#This Row],[Month]]&lt;&gt;"",VLOOKUP(Waste[[#This Row],[Month]], dropdown!$S$4:$T$15, 2, FALSE),"")</f>
        <v>Q4</v>
      </c>
      <c r="L52" s="57" t="s">
        <v>318</v>
      </c>
      <c r="M52" s="29">
        <v>2</v>
      </c>
      <c r="N52" s="57" t="s">
        <v>313</v>
      </c>
      <c r="O52" s="195" t="s">
        <v>1464</v>
      </c>
    </row>
    <row r="53" spans="9:15" x14ac:dyDescent="0.2">
      <c r="I53" s="194">
        <f t="shared" si="0"/>
        <v>46</v>
      </c>
      <c r="J53" s="58" t="s">
        <v>407</v>
      </c>
      <c r="K53" s="194" t="str">
        <f>IF(Waste[[#This Row],[Month]]&lt;&gt;"",VLOOKUP(Waste[[#This Row],[Month]], dropdown!$S$4:$T$15, 2, FALSE),"")</f>
        <v>Q4</v>
      </c>
      <c r="L53" s="57" t="s">
        <v>139</v>
      </c>
      <c r="M53" s="29">
        <v>1600</v>
      </c>
      <c r="N53" s="57" t="s">
        <v>313</v>
      </c>
      <c r="O53" s="195" t="s">
        <v>1464</v>
      </c>
    </row>
    <row r="54" spans="9:15" x14ac:dyDescent="0.2">
      <c r="I54" s="194">
        <f t="shared" si="0"/>
        <v>47</v>
      </c>
      <c r="J54" s="58" t="s">
        <v>407</v>
      </c>
      <c r="K54" s="194" t="str">
        <f>IF(Waste[[#This Row],[Month]]&lt;&gt;"",VLOOKUP(Waste[[#This Row],[Month]], dropdown!$S$4:$T$15, 2, FALSE),"")</f>
        <v>Q4</v>
      </c>
      <c r="L54" s="57" t="s">
        <v>383</v>
      </c>
      <c r="M54" s="29">
        <v>3</v>
      </c>
      <c r="N54" s="57" t="s">
        <v>313</v>
      </c>
      <c r="O54" s="195" t="s">
        <v>1464</v>
      </c>
    </row>
    <row r="55" spans="9:15" x14ac:dyDescent="0.2">
      <c r="I55" s="194">
        <f t="shared" si="0"/>
        <v>48</v>
      </c>
      <c r="J55" s="58" t="s">
        <v>407</v>
      </c>
      <c r="K55" s="194" t="str">
        <f>IF(Waste[[#This Row],[Month]]&lt;&gt;"",VLOOKUP(Waste[[#This Row],[Month]], dropdown!$S$4:$T$15, 2, FALSE),"")</f>
        <v>Q4</v>
      </c>
      <c r="L55" s="57" t="s">
        <v>317</v>
      </c>
      <c r="M55" s="29">
        <v>51.02</v>
      </c>
      <c r="N55" s="57" t="s">
        <v>345</v>
      </c>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f>'1. Data Info and Summary'!$D$2</f>
        <v>0</v>
      </c>
      <c r="E6" s="460" t="s">
        <v>284</v>
      </c>
      <c r="F6" s="460"/>
      <c r="G6" s="460"/>
      <c r="H6" s="460"/>
      <c r="I6" s="460"/>
      <c r="J6" s="460"/>
      <c r="K6" s="460"/>
      <c r="L6" s="460"/>
      <c r="M6" s="460"/>
      <c r="N6" s="460"/>
      <c r="O6" s="460"/>
      <c r="P6" s="460"/>
      <c r="Q6" s="460"/>
    </row>
    <row r="7" spans="2:17" ht="20" customHeight="1" x14ac:dyDescent="0.2">
      <c r="B7" s="70" t="s">
        <v>12</v>
      </c>
      <c r="C7" s="59">
        <f>'1. Data Info and Summary'!$D$3</f>
        <v>0</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643.91999999999996</v>
      </c>
      <c r="G13" s="73" t="str">
        <f>'1. Data Info and Summary'!$D18</f>
        <v>Liters</v>
      </c>
      <c r="I13" s="76">
        <f>VLOOKUP($E13,Emission_Factors!$A$1:$G$20,5,FALSE)</f>
        <v>2.68</v>
      </c>
      <c r="J13" s="141">
        <f>F13*I13</f>
        <v>1725.7056</v>
      </c>
      <c r="L13" s="73" t="s">
        <v>155</v>
      </c>
      <c r="M13" s="78">
        <f>SUM('2.3a Electricity'!$D$12:$G$12)</f>
        <v>216008</v>
      </c>
      <c r="N13" s="73" t="str">
        <f>'2.3a Electricity'!$C$12</f>
        <v>Kilowatt-hour</v>
      </c>
      <c r="P13" s="76">
        <f>VLOOKUP($L13,Emission_Factors!$A$1:$G$20,5,FALSE)</f>
        <v>0.56000000000000005</v>
      </c>
      <c r="Q13" s="141">
        <f>M13*P13</f>
        <v>120964.48000000001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1725.7056</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2951.4300000000003</v>
      </c>
      <c r="G22" s="73" t="str">
        <f>'1. Data Info and Summary'!$D26</f>
        <v>Liters</v>
      </c>
      <c r="I22" s="76">
        <f>VLOOKUP($E22,Emission_Factors!$A$1:$G$20,5,FALSE)</f>
        <v>2.68</v>
      </c>
      <c r="J22" s="141">
        <f>F22*I22</f>
        <v>7909.8324000000011</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7909.8324000000011</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388.82000000000005</v>
      </c>
      <c r="D33" s="337">
        <v>438.46999999999997</v>
      </c>
      <c r="E33" s="337">
        <v>110.55000000000001</v>
      </c>
      <c r="F33" s="337">
        <v>113.45000000000002</v>
      </c>
      <c r="G33" s="337">
        <v>1051.29</v>
      </c>
      <c r="I33" s="20"/>
      <c r="J33" s="20"/>
      <c r="K33" s="21"/>
      <c r="L33" s="21"/>
      <c r="M33" s="22"/>
      <c r="N33" s="22"/>
      <c r="O33" s="11"/>
      <c r="P33" s="22"/>
      <c r="Q33" s="20"/>
      <c r="R33" s="20"/>
      <c r="S33" s="44"/>
    </row>
    <row r="34" spans="1:19" outlineLevel="1" x14ac:dyDescent="0.2">
      <c r="A34" s="203" t="s">
        <v>63</v>
      </c>
      <c r="B34" s="337"/>
      <c r="C34" s="337">
        <v>388.82000000000005</v>
      </c>
      <c r="D34" s="337">
        <v>438.46999999999997</v>
      </c>
      <c r="E34" s="337">
        <v>110.55000000000001</v>
      </c>
      <c r="F34" s="337">
        <v>113.45000000000002</v>
      </c>
      <c r="G34" s="337">
        <v>1051.29</v>
      </c>
      <c r="I34" s="20"/>
      <c r="J34" s="20"/>
      <c r="K34" s="21"/>
      <c r="L34" s="21"/>
      <c r="M34" s="22"/>
      <c r="N34" s="22"/>
      <c r="O34" s="11"/>
      <c r="P34" s="22"/>
      <c r="Q34" s="20"/>
      <c r="R34" s="20"/>
      <c r="S34" s="44"/>
    </row>
    <row r="35" spans="1:19" outlineLevel="1" x14ac:dyDescent="0.2">
      <c r="A35" s="19" t="s">
        <v>381</v>
      </c>
      <c r="B35" s="337"/>
      <c r="C35" s="337">
        <v>179.65</v>
      </c>
      <c r="D35" s="337">
        <v>297.49</v>
      </c>
      <c r="E35" s="337">
        <v>489.42</v>
      </c>
      <c r="F35" s="337">
        <v>545.23</v>
      </c>
      <c r="G35" s="337">
        <v>1511.79</v>
      </c>
      <c r="I35" s="20"/>
      <c r="J35" s="20"/>
      <c r="K35" s="21"/>
      <c r="L35" s="21"/>
      <c r="M35" s="22"/>
      <c r="N35" s="22"/>
      <c r="O35" s="11"/>
      <c r="P35" s="22"/>
      <c r="Q35" s="20"/>
      <c r="R35" s="20"/>
      <c r="S35" s="44"/>
    </row>
    <row r="36" spans="1:19" outlineLevel="1" x14ac:dyDescent="0.2">
      <c r="A36" s="203" t="s">
        <v>63</v>
      </c>
      <c r="B36" s="337"/>
      <c r="C36" s="337">
        <v>179.65</v>
      </c>
      <c r="D36" s="337">
        <v>297.49</v>
      </c>
      <c r="E36" s="337">
        <v>489.42</v>
      </c>
      <c r="F36" s="337">
        <v>545.23</v>
      </c>
      <c r="G36" s="337">
        <v>1511.79</v>
      </c>
      <c r="H36" s="12"/>
      <c r="I36" s="20"/>
      <c r="J36" s="20"/>
      <c r="K36" s="21"/>
      <c r="L36" s="21"/>
      <c r="M36" s="22"/>
      <c r="N36" s="22"/>
      <c r="O36" s="11"/>
      <c r="P36" s="22"/>
      <c r="Q36" s="20"/>
      <c r="R36" s="20"/>
      <c r="S36" s="44"/>
    </row>
    <row r="37" spans="1:19" outlineLevel="1" x14ac:dyDescent="0.2">
      <c r="A37" s="19" t="s">
        <v>365</v>
      </c>
      <c r="B37" s="337"/>
      <c r="C37" s="337">
        <v>44</v>
      </c>
      <c r="D37" s="337">
        <v>28.5</v>
      </c>
      <c r="E37" s="337">
        <v>156</v>
      </c>
      <c r="F37" s="337">
        <v>159.85</v>
      </c>
      <c r="G37" s="337">
        <v>388.35</v>
      </c>
      <c r="H37" s="12"/>
      <c r="I37" s="20"/>
      <c r="J37" s="20"/>
      <c r="K37" s="21"/>
      <c r="L37" s="21"/>
      <c r="M37" s="22"/>
      <c r="N37" s="22"/>
      <c r="O37" s="11"/>
      <c r="P37" s="22"/>
      <c r="Q37" s="20"/>
      <c r="R37" s="20"/>
      <c r="S37" s="44"/>
    </row>
    <row r="38" spans="1:19" outlineLevel="1" x14ac:dyDescent="0.2">
      <c r="A38" s="203" t="s">
        <v>63</v>
      </c>
      <c r="B38" s="337"/>
      <c r="C38" s="337">
        <v>44</v>
      </c>
      <c r="D38" s="337">
        <v>28.5</v>
      </c>
      <c r="E38" s="337">
        <v>156</v>
      </c>
      <c r="F38" s="337">
        <v>159.85</v>
      </c>
      <c r="G38" s="337">
        <v>388.35</v>
      </c>
      <c r="H38" s="12"/>
      <c r="I38" s="20"/>
      <c r="J38" s="20"/>
      <c r="K38" s="21"/>
      <c r="L38" s="21"/>
      <c r="M38" s="22"/>
      <c r="N38" s="22"/>
      <c r="O38" s="11"/>
      <c r="P38" s="22"/>
      <c r="Q38" s="20"/>
      <c r="R38" s="20"/>
      <c r="S38" s="44"/>
    </row>
    <row r="39" spans="1:19" outlineLevel="1" x14ac:dyDescent="0.2">
      <c r="A39" s="19" t="s">
        <v>297</v>
      </c>
      <c r="B39" s="337"/>
      <c r="C39" s="337">
        <v>612.47</v>
      </c>
      <c r="D39" s="337">
        <v>764.46</v>
      </c>
      <c r="E39" s="337">
        <v>755.97</v>
      </c>
      <c r="F39" s="337">
        <v>818.53000000000009</v>
      </c>
      <c r="G39" s="337">
        <v>2951.43</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30"/>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45910.738368055558</v>
      </c>
      <c r="B927" t="s">
        <v>1465</v>
      </c>
      <c r="C927" t="s">
        <v>28</v>
      </c>
      <c r="D927" t="s">
        <v>1466</v>
      </c>
      <c r="E927">
        <v>51.02</v>
      </c>
    </row>
    <row r="928" spans="1:5" x14ac:dyDescent="0.2">
      <c r="A928" s="269">
        <v>45916.896064814813</v>
      </c>
      <c r="B928" t="s">
        <v>596</v>
      </c>
      <c r="C928" t="s">
        <v>597</v>
      </c>
      <c r="D928" t="s">
        <v>1467</v>
      </c>
      <c r="E928" t="s">
        <v>39</v>
      </c>
    </row>
    <row r="929" spans="1:5" x14ac:dyDescent="0.2">
      <c r="A929" s="269">
        <v>45916.896354166667</v>
      </c>
      <c r="B929" t="s">
        <v>596</v>
      </c>
      <c r="C929" t="s">
        <v>27</v>
      </c>
      <c r="D929" t="s">
        <v>1468</v>
      </c>
      <c r="E929" t="s">
        <v>53</v>
      </c>
    </row>
    <row r="930" spans="1:5" x14ac:dyDescent="0.2">
      <c r="A930" s="269">
        <v>45916.89644675926</v>
      </c>
      <c r="B930" t="s">
        <v>596</v>
      </c>
      <c r="C930" t="s">
        <v>27</v>
      </c>
      <c r="D930" t="s">
        <v>1469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2025-09-16T13:30:56Z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