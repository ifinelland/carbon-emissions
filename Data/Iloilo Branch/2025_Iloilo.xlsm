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Iloilo Branch/"/>
    </mc:Choice>
  </mc:AlternateContent>
  <xr:revisionPtr revIDLastSave="0" documentId="13_ncr:1_{2837D8A7-9508-9F43-875E-9A52224ECBDF}"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50" r:id="rId19"/>
    <pivotCache cacheId="651" r:id="rId20"/>
    <pivotCache cacheId="652" r:id="rId21"/>
    <pivotCache cacheId="653" r:id="rId22"/>
    <pivotCache cacheId="654" r:id="rId23"/>
    <pivotCache cacheId="662"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0" i="40"/>
  <c r="I31" i="40" s="1"/>
  <c r="I29" i="40"/>
  <c r="I28" i="40"/>
  <c r="I26" i="40"/>
  <c r="I27" i="40" s="1"/>
  <c r="I25" i="40"/>
  <c r="I24" i="40"/>
  <c r="I21" i="40"/>
  <c r="I22" i="40" s="1"/>
  <c r="I23" i="40" s="1"/>
  <c r="I20" i="40"/>
  <c r="I18" i="40"/>
  <c r="I17" i="40"/>
  <c r="I16" i="40"/>
  <c r="I13" i="40"/>
  <c r="I14" i="40" s="1"/>
  <c r="I15" i="40" s="1"/>
  <c r="I9" i="40"/>
  <c r="I10" i="40" s="1"/>
  <c r="I11" i="40" s="1"/>
  <c r="I12" i="40" s="1"/>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1" i="38"/>
  <c r="F11" i="38"/>
  <c r="E11"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s="1"/>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3" i="38" l="1"/>
  <c r="E13" i="38"/>
  <c r="D13" i="38"/>
  <c r="F13" i="38"/>
  <c r="E12" i="38"/>
  <c r="F12" i="38"/>
  <c r="D12" i="38"/>
  <c r="G12" i="38"/>
  <c r="D12" i="39"/>
  <c r="D4" i="40"/>
  <c r="D4" i="41"/>
  <c r="D4" i="50"/>
  <c r="D4" i="39"/>
  <c r="D4" i="34"/>
  <c r="D4" i="44"/>
  <c r="D4" i="38"/>
  <c r="O7" i="44" l="1"/>
  <c r="M7" i="44"/>
  <c r="O86" i="44" l="1"/>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E13" i="37" l="1"/>
  <c r="F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4" l="1"/>
  <c r="F11" i="44"/>
  <c r="E11" i="44"/>
  <c r="D11" i="44"/>
  <c r="G12" i="44"/>
  <c r="F12" i="44"/>
  <c r="E12" i="44"/>
  <c r="D12" i="44"/>
  <c r="G11" i="40"/>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G14" i="34"/>
  <c r="E14" i="34"/>
  <c r="F14" i="34"/>
  <c r="F13" i="34"/>
  <c r="D13" i="34"/>
  <c r="G13" i="34"/>
  <c r="E13" i="34"/>
  <c r="G11" i="34"/>
  <c r="E11" i="34"/>
  <c r="F11" i="34"/>
  <c r="D11" i="34"/>
  <c r="E12" i="34"/>
  <c r="F12" i="34"/>
  <c r="G12" i="34"/>
  <c r="D12" i="34"/>
  <c r="D15" i="34"/>
  <c r="G15" i="34"/>
  <c r="E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<sst xmlns="http://schemas.openxmlformats.org/spreadsheetml/2006/main" count="6168" uniqueCount="1470">
  <si>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</si>
  <si>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</si>
  <si>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</si>
  <si>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</si>
  <si>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</si>
  <si>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</si>
  <si>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</si>
  <si>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</si>
  <si>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</si>
  <si>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</si>
  <si>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</si>
  <si>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</si>
  <si>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</si>
  <si>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</si>
  <si>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</si>
  <si>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</si>
  <si>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</si>
  <si>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</si>
  <si>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</si>
  <si>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</si>
  <si>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</si>
  <si>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</si>
  <si>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</si>
  <si>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</si>
  <si>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</si>
  <si>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</si>
  <si>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</si>
  <si>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</si>
  <si>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</si>
  <si>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</si>
  <si>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</si>
  <si>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</si>
  <si>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</si>
  <si>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</si>
  <si>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</si>
  <si>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</si>
  <si>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</si>
  <si>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</si>
  <si>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</si>
  <si>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</si>
  <si>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</si>
  <si>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</si>
  <si>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</si>
  <si>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</si>
  <si>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</si>
  <si>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</si>
  <si>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</si>
  <si>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</si>
  <si>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</si>
  <si>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</si>
  <si>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</si>
  <si>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</si>
  <si>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</si>
  <si>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</si>
  <si>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</si>
  <si>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</si>
  <si>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</si>
  <si>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</si>
  <si>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</si>
  <si>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</si>
  <si>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</si>
  <si>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</si>
  <si>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</si>
  <si>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</si>
  <si>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</si>
  <si>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</si>
  <si>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</si>
  <si>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</si>
  <si>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</si>
  <si>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</si>
  <si>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</si>
  <si>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</si>
  <si>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</si>
  <si>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</si>
  <si>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</si>
  <si>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</si>
  <si>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</si>
  <si>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</si>
  <si>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</si>
  <si>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</si>
  <si>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</si>
  <si>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</si>
  <si>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</si>
  <si>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</si>
  <si>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</si>
  <si>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</si>
  <si>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</si>
  <si>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</si>
  <si>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</si>
  <si>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</si>
  <si>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</si>
  <si>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</si>
  <si>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</si>
  <si>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</si>
  <si>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</si>
  <si>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</si>
  <si>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</si>
  <si>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</si>
  <si>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</si>
  <si>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</si>
  <si>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</si>
  <si>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</si>
  <si>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</si>
  <si>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</si>
  <si>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</si>
  <si>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</si>
  <si>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</si>
  <si>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</si>
  <si>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</si>
  <si>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</si>
  <si>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</si>
  <si>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</si>
  <si>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</si>
  <si>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</si>
  <si>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</si>
  <si>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</si>
  <si>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</si>
  <si>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</si>
  <si>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</si>
  <si>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</si>
  <si>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</si>
  <si>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</si>
  <si>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</si>
  <si>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</si>
  <si>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</si>
  <si>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</si>
  <si>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</si>
  <si>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</si>
  <si>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</si>
  <si>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</si>
  <si>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</si>
  <si>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</si>
  <si>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</si>
  <si>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</si>
  <si>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</si>
  <si>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</si>
  <si>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</si>
  <si>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</si>
  <si>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</si>
  <si>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</si>
  <si>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</si>
  <si>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</si>
  <si>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</si>
  <si>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</si>
  <si>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</si>
  <si>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</si>
  <si>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</si>
  <si>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</si>
  <si>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</si>
  <si>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</si>
  <si>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</si>
  <si>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</si>
  <si>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</si>
  <si>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</si>
  <si>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</si>
  <si>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</si>
  <si>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</si>
  <si>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</si>
  <si>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</si>
  <si>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</si>
  <si>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</si>
  <si>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</si>
  <si>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</si>
  <si>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</si>
  <si>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</si>
  <si>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</si>
  <si>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</si>
  <si>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</si>
  <si>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</si>
  <si>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</si>
  <si>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</si>
  <si>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</si>
  <si>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</si>
  <si>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</si>
  <si>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</si>
  <si>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</si>
  <si>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</si>
  <si>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</si>
  <si>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</si>
  <si>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</si>
  <si>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</si>
  <si>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</si>
  <si>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</si>
  <si>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</si>
  <si>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</si>
  <si>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</si>
  <si>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</si>
  <si>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</si>
  <si>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</si>
  <si>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</si>
  <si>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</si>
  <si>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</si>
  <si>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</si>
  <si>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</si>
  <si>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</si>
  <si>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</si>
  <si>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</si>
  <si>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</si>
  <si>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</si>
  <si>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</si>
  <si>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</si>
  <si>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</si>
  <si>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</si>
  <si>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</si>
  <si>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</si>
  <si>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</si>
  <si>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</si>
  <si>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</si>
  <si>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</si>
  <si>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</si>
  <si>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</si>
  <si>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</si>
  <si>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</si>
  <si>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</si>
  <si>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</si>
  <si>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</si>
  <si>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</si>
  <si>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</si>
  <si>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</si>
  <si>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</si>
  <si>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</si>
  <si>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</si>
  <si>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</si>
  <si>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</si>
  <si>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</si>
  <si>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</si>
  <si>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</si>
  <si>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</si>
  <si>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</si>
  <si>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</si>
  <si>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</si>
  <si>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</si>
  <si>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</si>
  <si>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</si>
  <si>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</si>
  <si>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</si>
  <si>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</si>
  <si>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</si>
  <si>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</si>
  <si>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</si>
  <si>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</si>
  <si>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</si>
  <si>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</si>
  <si>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</si>
  <si>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</si>
  <si>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</si>
  <si>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</si>
  <si>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</si>
  <si>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</si>
  <si>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</si>
  <si>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</si>
  <si>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</si>
  <si>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</si>
  <si>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</si>
  <si>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</si>
  <si>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</si>
  <si>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</si>
  <si>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</si>
  <si>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</si>
  <si>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</si>
  <si>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</si>
  <si>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</si>
  <si>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</si>
  <si>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</si>
  <si>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</si>
  <si>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</si>
  <si>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</si>
  <si>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</si>
  <si>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</si>
  <si>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</si>
  <si>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</si>
  <si>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</si>
  <si>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</si>
  <si>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</si>
  <si>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</si>
  <si>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</si>
  <si>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</si>
  <si>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</si>
  <si>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</si>
  <si>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</si>
  <si>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</si>
  <si>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</si>
  <si>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</si>
  <si>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</si>
  <si>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</si>
  <si>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</si>
  <si>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</si>
  <si>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</si>
  <si>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</si>
  <si>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</si>
  <si>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</si>
  <si>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</si>
  <si>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</si>
  <si>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</si>
  <si>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</si>
  <si>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</si>
  <si>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</si>
  <si>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</si>
  <si>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</si>
  <si>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</si>
  <si>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</si>
  <si>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</si>
  <si>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</si>
  <si>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</si>
  <si>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</si>
  <si>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</si>
  <si>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</si>
  <si>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</si>
  <si>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</si>
  <si>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</si>
  <si>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</si>
  <si>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</si>
  <si>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</si>
  <si>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</si>
  <si>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</si>
  <si>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</si>
  <si>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</si>
  <si>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</si>
  <si>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</si>
  <si>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</si>
  <si>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</si>
  <si>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</si>
  <si>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</si>
  <si>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</si>
  <si>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</si>
  <si>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</si>
  <si>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</si>
  <si>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</si>
  <si>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</si>
  <si>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</si>
  <si>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</si>
  <si>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</si>
  <si>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</si>
  <si>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</si>
  <si>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</si>
  <si>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</si>
  <si>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</si>
  <si>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</si>
  <si>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</si>
  <si>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</si>
  <si>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</si>
  <si>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</si>
  <si>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</si>
  <si>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</si>
  <si>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</si>
  <si>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</si>
  <si>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</si>
  <si>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</si>
  <si>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</si>
  <si>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</si>
  <si>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</si>
  <si>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</si>
  <si>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</si>
  <si>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</si>
  <si>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</si>
  <si>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</si>
  <si>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</si>
  <si>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</si>
  <si>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</si>
  <si>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</si>
  <si>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</si>
  <si>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</si>
  <si>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</si>
  <si>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</si>
  <si>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</si>
  <si>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</si>
  <si>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</si>
  <si>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</si>
  <si>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</si>
  <si>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</si>
  <si>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</si>
  <si>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</si>
  <si>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</si>
  <si>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</si>
  <si>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</si>
  <si>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</si>
  <si>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</si>
  <si>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</si>
  <si>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</si>
  <si>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</si>
  <si>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</si>
  <si>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</si>
  <si>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</si>
  <si>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</si>
  <si>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</si>
  <si>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</si>
  <si>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</si>
  <si>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</si>
  <si>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</si>
  <si>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</si>
  <si>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</si>
  <si>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</si>
  <si>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</si>
  <si>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</si>
  <si>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</si>
  <si>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</si>
  <si>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</si>
  <si>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</si>
  <si>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</si>
  <si>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</si>
  <si>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</si>
  <si>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</si>
  <si>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</si>
  <si>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</si>
  <si>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</si>
  <si>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</si>
  <si>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</si>
  <si>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</si>
  <si>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</si>
  <si>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</si>
  <si>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</si>
  <si>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</si>
  <si>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</si>
  <si>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</si>
  <si>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</si>
  <si>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</si>
  <si>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</si>
  <si>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</si>
  <si>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</si>
  <si>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</si>
  <si>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</si>
  <si>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</si>
  <si>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</si>
  <si>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</si>
  <si>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</si>
  <si>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</si>
  <si>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</si>
  <si>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</si>
  <si>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</si>
  <si>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</si>
  <si>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</si>
  <si>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</si>
  <si>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</si>
  <si>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</si>
  <si>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</si>
  <si>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</si>
  <si>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</si>
  <si>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</si>
  <si>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</si>
  <si>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</si>
  <si>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</si>
  <si>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</si>
  <si>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</si>
  <si>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</si>
  <si>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</si>
  <si>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</si>
  <si>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</si>
  <si>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</si>
  <si>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</si>
  <si>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</si>
  <si>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</si>
  <si>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</si>
  <si>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</si>
  <si>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</si>
  <si>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</si>
  <si>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</si>
  <si>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</si>
  <si>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</si>
  <si>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</si>
  <si>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</si>
  <si>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</si>
  <si>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</si>
  <si>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</si>
  <si>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</si>
  <si>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</si>
  <si>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</si>
  <si>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</si>
  <si>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</si>
  <si>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</si>
  <si>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</si>
  <si>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</si>
  <si>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</si>
  <si>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</si>
  <si>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</si>
  <si>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</si>
  <si>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</si>
  <si>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</si>
  <si>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</si>
  <si>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</si>
  <si>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</si>
  <si>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</si>
  <si>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</si>
  <si>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</si>
  <si>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</si>
  <si>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</si>
  <si>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</si>
  <si>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</si>
  <si>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</si>
  <si>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</si>
  <si>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</si>
  <si>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</si>
  <si>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</si>
  <si>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</si>
  <si>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</si>
  <si>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</si>
  <si>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</si>
  <si>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</si>
  <si>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</si>
  <si>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</si>
  <si>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</si>
  <si>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</si>
  <si>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</si>
  <si>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</si>
  <si>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</si>
  <si>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</si>
  <si>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</si>
  <si>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</si>
  <si>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</si>
  <si>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</si>
  <si>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</si>
  <si>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</si>
  <si>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</si>
  <si>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</si>
  <si>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</si>
  <si>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</si>
  <si>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</si>
  <si>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</si>
  <si>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</si>
  <si>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</si>
  <si>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</si>
  <si>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</si>
  <si>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</si>
  <si>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</si>
  <si>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</si>
  <si>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</si>
  <si>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</si>
  <si>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</si>
  <si>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</si>
  <si>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</si>
  <si>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</si>
  <si>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</si>
  <si>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</si>
  <si>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</si>
  <si>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</si>
  <si>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</si>
  <si>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</si>
  <si>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</si>
  <si>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</si>
  <si>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</si>
  <si>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</si>
  <si>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</si>
  <si>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</si>
  <si>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</si>
  <si>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</si>
  <si>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</si>
  <si>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</si>
  <si>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</si>
  <si>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</si>
  <si>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</si>
  <si>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</si>
  <si>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</si>
  <si>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</si>
  <si>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</si>
  <si>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</si>
  <si>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</si>
  <si>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</si>
  <si>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</si>
  <si>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</si>
  <si>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</si>
  <si>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</si>
  <si>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</si>
  <si>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</si>
  <si>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</si>
  <si>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</si>
  <si>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</si>
  <si>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</si>
  <si>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</si>
  <si>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</si>
  <si>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</si>
  <si>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</si>
  <si>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</si>
  <si>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</si>
  <si>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</si>
  <si>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</si>
  <si>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</si>
  <si>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</si>
  <si>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</si>
  <si>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</si>
  <si>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</si>
  <si>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</si>
  <si>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</si>
  <si>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</si>
  <si>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</si>
  <si>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</si>
  <si>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</si>
  <si>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</si>
  <si>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</si>
  <si>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</si>
  <si>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</si>
  <si>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</si>
  <si>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</si>
  <si>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</si>
  <si>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</si>
  <si>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</si>
  <si>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</si>
  <si>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</si>
  <si>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</si>
  <si>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</si>
  <si>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</si>
  <si>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</si>
  <si>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</si>
  <si>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</si>
  <si>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</si>
  <si>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</si>
  <si>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</si>
  <si>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</si>
  <si>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</si>
  <si>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</si>
  <si>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</si>
  <si>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</si>
  <si>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</si>
  <si>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</si>
  <si>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</si>
  <si>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</si>
  <si>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</si>
  <si>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</si>
  <si>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</si>
  <si>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</si>
  <si>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</si>
  <si>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</si>
  <si>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</si>
  <si>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</si>
  <si>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</si>
  <si>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</si>
  <si>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</si>
  <si>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</si>
  <si>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</si>
  <si>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</si>
  <si>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</si>
  <si>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</si>
  <si>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</si>
  <si>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</si>
  <si>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</si>
  <si>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</si>
  <si>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</si>
  <si>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</si>
  <si>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</si>
  <si>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</si>
  <si>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</si>
  <si>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</si>
  <si>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</si>
  <si>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</si>
  <si>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</si>
  <si>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</si>
  <si>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</si>
  <si>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</si>
  <si>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</si>
  <si>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</si>
  <si>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</si>
  <si>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</si>
  <si>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</si>
  <si>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</si>
  <si>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</si>
  <si>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</si>
  <si>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</si>
  <si>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</si>
  <si>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</si>
  <si>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</si>
  <si>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</si>
  <si>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</si>
  <si>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</si>
  <si>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</si>
  <si>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</si>
  <si>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</si>
  <si>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</si>
  <si>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</si>
  <si>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</si>
  <si>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</si>
  <si>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</si>
  <si>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</si>
  <si>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</si>
  <si>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</si>
  <si>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</si>
  <si>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</si>
  <si>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</si>
  <si>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</si>
  <si>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</si>
  <si>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</si>
  <si>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</si>
  <si>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</si>
  <si>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</si>
  <si>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</si>
  <si>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</si>
  <si>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</si>
  <si>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</si>
  <si>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</si>
  <si>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</si>
  <si>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</si>
  <si>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</si>
  <si>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</si>
  <si>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</si>
  <si>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</si>
  <si>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</si>
  <si>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</si>
  <si>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</si>
  <si>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</si>
  <si>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</si>
  <si>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</si>
  <si>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</si>
  <si>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</si>
  <si>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</si>
  <si>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</si>
  <si>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</si>
  <si>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</si>
  <si>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</si>
  <si>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</si>
  <si>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</si>
  <si>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</si>
  <si>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</si>
  <si>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</si>
  <si>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</si>
  <si>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</si>
  <si>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</si>
  <si>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</si>
  <si>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</si>
  <si>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</si>
  <si>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</si>
  <si>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</si>
  <si>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</si>
  <si>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</si>
  <si>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</si>
  <si>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</si>
  <si>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</si>
  <si>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</si>
  <si>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</si>
  <si>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</si>
  <si>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</si>
  <si>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</si>
  <si>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</si>
  <si>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</si>
  <si>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</si>
  <si>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</si>
  <si>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</si>
  <si>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</si>
  <si>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</si>
  <si>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</si>
  <si>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</si>
  <si>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</si>
  <si>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</si>
  <si>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</si>
  <si>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</si>
  <si>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</si>
  <si>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</si>
  <si>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</si>
  <si>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</si>
  <si>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</si>
  <si>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</si>
  <si>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</si>
  <si>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</si>
  <si>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</si>
  <si>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</si>
  <si>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</si>
  <si>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</si>
  <si>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</si>
  <si>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</si>
  <si>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</si>
  <si>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</si>
  <si>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</si>
  <si>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</si>
  <si>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</si>
  <si>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</si>
  <si>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</si>
  <si>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</si>
  <si>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</si>
  <si>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</si>
  <si>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</si>
  <si>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</si>
  <si>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</si>
  <si>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</si>
  <si>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</si>
  <si>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</si>
  <si>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</si>
  <si>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</si>
  <si>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</si>
  <si>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</si>
  <si>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</si>
  <si>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</si>
  <si>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</si>
  <si>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</si>
  <si>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</si>
  <si>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</si>
  <si>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</si>
  <si>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</si>
  <si>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</si>
  <si>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</si>
  <si>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</si>
  <si>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</si>
  <si>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</si>
  <si>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</si>
  <si>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</si>
  <si>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</si>
  <si>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</si>
  <si>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</si>
  <si>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</si>
  <si>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</si>
  <si>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</si>
  <si>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</si>
  <si>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</si>
  <si>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</si>
  <si>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</si>
  <si>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</si>
  <si>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</si>
  <si>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</si>
  <si>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</si>
  <si>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</si>
  <si>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</si>
  <si>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</si>
  <si>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</si>
  <si>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</si>
  <si>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</si>
  <si>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</si>
  <si>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</si>
  <si>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</si>
  <si>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</si>
  <si>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</si>
  <si>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</si>
  <si>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</si>
  <si>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</si>
  <si>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</si>
  <si>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</si>
  <si>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</si>
  <si>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</si>
  <si>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</si>
  <si>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</si>
  <si>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</si>
  <si>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</si>
  <si>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</si>
  <si>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</si>
  <si>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</si>
  <si>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</si>
  <si>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</si>
  <si>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</si>
  <si>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</si>
  <si>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</si>
  <si>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</si>
  <si>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</si>
  <si>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</si>
  <si>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</si>
  <si>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</si>
  <si>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</si>
  <si>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</si>
  <si>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</si>
  <si>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</si>
  <si>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</si>
  <si>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</si>
  <si>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</si>
  <si>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</si>
  <si>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</si>
  <si>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</si>
  <si>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</si>
  <si>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</si>
  <si>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</si>
  <si>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</si>
  <si>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</si>
  <si>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</si>
  <si>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</si>
  <si>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</si>
  <si>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</si>
  <si>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</si>
  <si>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</si>
  <si>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</si>
  <si>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</si>
  <si>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</si>
  <si>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</si>
  <si>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</si>
  <si>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</si>
  <si>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</si>
  <si>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</si>
  <si>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</si>
  <si>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</si>
  <si>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</si>
  <si>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</si>
  <si>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</si>
  <si>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</si>
  <si>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</si>
  <si>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</si>
  <si>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</si>
  <si>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</si>
  <si>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</si>
  <si>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</si>
  <si>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</si>
  <si>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</si>
  <si>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</si>
  <si>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</si>
  <si>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</si>
  <si>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</si>
  <si>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</si>
  <si>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</si>
  <si>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</si>
  <si>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</si>
  <si>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</si>
  <si>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</si>
  <si>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</si>
  <si>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</si>
  <si>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</si>
  <si>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</si>
  <si>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</si>
  <si>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</si>
  <si>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</si>
  <si>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</si>
  <si>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</si>
  <si>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</si>
  <si>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</si>
  <si>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</si>
  <si>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</si>
  <si>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</si>
  <si>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</si>
  <si>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</si>
  <si>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</si>
  <si>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</si>
  <si>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</si>
  <si>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</si>
  <si>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</si>
  <si>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</si>
  <si>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</si>
  <si>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</si>
  <si>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</si>
  <si>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</si>
  <si>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</si>
  <si>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</si>
  <si>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</si>
  <si>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</si>
  <si>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</si>
  <si>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</si>
  <si>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</si>
  <si>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</si>
  <si>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</si>
  <si>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</si>
  <si>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</si>
  <si>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</si>
  <si>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</si>
  <si>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</si>
  <si>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</si>
  <si>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</si>
  <si>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</si>
  <si>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</si>
  <si>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</si>
  <si>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</si>
  <si>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</si>
  <si>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</si>
  <si>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</si>
  <si>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</si>
  <si>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</si>
  <si>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</si>
  <si>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</si>
  <si>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</si>
  <si>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</si>
  <si>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</si>
  <si>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</si>
  <si>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</si>
  <si>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</si>
  <si>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</si>
  <si>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</si>
  <si>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</si>
  <si>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</si>
  <si>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</si>
  <si>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</si>
  <si>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</si>
  <si>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</si>
  <si>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</si>
  <si>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</si>
  <si>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</si>
  <si>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</si>
  <si>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</si>
  <si>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</si>
  <si>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</si>
  <si>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</si>
  <si>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</si>
  <si>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</si>
  <si>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</si>
  <si>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</si>
  <si>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</si>
  <si>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</si>
  <si>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</si>
  <si>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</si>
  <si>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</si>
  <si>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</si>
  <si>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</si>
  <si>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</si>
  <si>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</si>
  <si>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</si>
  <si>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</si>
  <si>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</si>
  <si>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</si>
  <si>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</si>
  <si>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</si>
  <si>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</si>
  <si>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</si>
  <si>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</si>
  <si>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</si>
  <si>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</si>
  <si>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</si>
  <si>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</si>
  <si>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</si>
  <si>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</si>
  <si>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</si>
  <si>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</si>
  <si>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</si>
  <si>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</si>
  <si>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</si>
  <si>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</si>
  <si>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</si>
  <si>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</si>
  <si>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</si>
  <si>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</si>
  <si>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</si>
  <si>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</si>
  <si>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</si>
  <si>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</si>
  <si>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</si>
  <si>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</si>
  <si>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</si>
  <si>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</si>
  <si>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</si>
  <si>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</si>
  <si>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</si>
  <si>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</si>
  <si>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</si>
  <si>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</si>
  <si>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</si>
  <si>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</si>
  <si>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</si>
  <si>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</si>
  <si>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</si>
  <si>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</si>
  <si>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</si>
  <si>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</si>
  <si>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</si>
  <si>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</si>
  <si>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</si>
  <si>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</si>
  <si>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</si>
  <si>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</si>
  <si>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</si>
  <si>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</si>
  <si>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</si>
  <si>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</si>
  <si>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</si>
  <si>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</si>
  <si>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</si>
  <si>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</si>
  <si>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</si>
  <si>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</si>
  <si>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</si>
  <si>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</si>
  <si>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</si>
  <si>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</si>
  <si>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</si>
  <si>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</si>
  <si>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</si>
  <si>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</si>
  <si>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</si>
  <si>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</si>
  <si>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</si>
  <si>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</si>
  <si>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</si>
  <si>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</si>
  <si>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</si>
  <si>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</si>
  <si>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</si>
  <si>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</si>
  <si>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</si>
  <si>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</si>
  <si>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</si>
  <si>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</si>
  <si>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</si>
  <si>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</si>
  <si>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</si>
  <si>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</si>
  <si>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</si>
  <si>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</si>
  <si>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</si>
  <si>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</si>
  <si>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</si>
  <si>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</si>
  <si>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</si>
  <si>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</si>
  <si>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</si>
  <si>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</si>
  <si>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</si>
  <si>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</si>
  <si>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</si>
  <si>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</si>
  <si>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</si>
  <si>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</si>
  <si>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</si>
  <si>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</si>
  <si>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</si>
  <si>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</si>
  <si>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</si>
  <si>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</si>
  <si>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</si>
  <si>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</si>
  <si>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</si>
  <si>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</si>
  <si>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</si>
  <si>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</si>
  <si>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</si>
  <si>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</si>
  <si>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</si>
  <si>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</si>
  <si>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</si>
  <si>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</si>
  <si>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</si>
  <si>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</si>
  <si>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</si>
  <si>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</si>
  <si>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</si>
  <si>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</si>
  <si>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</si>
  <si>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</si>
  <si>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</si>
  <si>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</si>
  <si>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</si>
  <si>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</si>
  <si>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</si>
  <si>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</si>
  <si>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</si>
  <si>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</si>
  <si>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</si>
  <si>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</si>
  <si>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</si>
  <si>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</si>
  <si>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</si>
  <si>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</si>
  <si>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</si>
  <si>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</si>
  <si>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</si>
  <si>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</si>
  <si>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</si>
  <si>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</si>
  <si>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</si>
  <si>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</si>
  <si>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</si>
  <si>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</si>
  <si>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</si>
  <si>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</si>
  <si>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</si>
  <si>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</si>
  <si>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</si>
  <si>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</si>
  <si>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</si>
  <si>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</si>
  <si>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</si>
  <si>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</si>
  <si>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</si>
  <si>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</si>
  <si>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</si>
  <si>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</si>
  <si>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</si>
  <si>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</si>
  <si>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</si>
  <si>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</si>
  <si>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</si>
  <si>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</si>
  <si>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</si>
  <si>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</si>
  <si>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</si>
  <si>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</si>
  <si>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</si>
  <si>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</si>
  <si>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</si>
  <si>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</si>
  <si>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</si>
  <si>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</si>
  <si>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</si>
  <si>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</si>
  <si>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</si>
  <si>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</si>
  <si>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</si>
  <si>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</si>
  <si>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</si>
  <si>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</si>
  <si>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</si>
  <si>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</si>
  <si>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</si>
  <si>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</si>
  <si>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</si>
  <si>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</si>
  <si>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</si>
  <si>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</si>
  <si>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</si>
  <si>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</si>
  <si>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</si>
  <si>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</si>
  <si>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</si>
  <si>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</si>
  <si>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</si>
  <si>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</si>
  <si>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</si>
  <si>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</si>
  <si>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</si>
  <si>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</si>
  <si>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</si>
  <si>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</si>
  <si>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</si>
  <si>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</si>
  <si>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</si>
  <si>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</si>
  <si>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</si>
  <si>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</si>
  <si>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</si>
  <si>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</si>
  <si>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</si>
  <si>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</si>
  <si>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</si>
  <si>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</si>
  <si>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</si>
  <si>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</si>
  <si>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</si>
  <si>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</si>
  <si>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</si>
  <si>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</si>
  <si>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</si>
  <si>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</si>
  <si>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</si>
  <si>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</si>
  <si>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</si>
  <si>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</si>
  <si>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</si>
  <si>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</si>
  <si>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</si>
  <si>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</si>
  <si>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</si>
  <si>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</si>
  <si>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</si>
  <si>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</si>
  <si>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</si>
  <si>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</si>
  <si>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</si>
  <si>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</si>
  <si>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</si>
  <si>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</si>
  <si>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</si>
  <si>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</si>
  <si>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</si>
  <si>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</si>
  <si>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</si>
  <si>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</si>
  <si>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</si>
  <si>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</si>
  <si>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</si>
  <si>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</si>
  <si>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</si>
  <si>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</si>
  <si>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</si>
  <si>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</si>
  <si>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</si>
  <si>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</si>
  <si>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</si>
  <si>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</si>
  <si>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</si>
  <si>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</si>
  <si>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</si>
  <si>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</si>
  <si>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</si>
  <si>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</si>
  <si>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</si>
  <si>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</si>
  <si>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</si>
  <si>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</si>
  <si>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</si>
  <si>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</si>
  <si>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</si>
  <si>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</si>
  <si>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</si>
  <si>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</si>
  <si>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</si>
  <si>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</si>
  <si>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</si>
  <si>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</si>
  <si>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</si>
  <si>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</si>
  <si>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</si>
  <si>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</si>
  <si>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</si>
  <si>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</si>
  <si>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</si>
  <si>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</si>
  <si>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</si>
  <si>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</si>
  <si>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</si>
  <si>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</si>
  <si>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</si>
  <si>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</si>
  <si>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</si>
  <si>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</si>
  <si>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</si>
  <si>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</si>
  <si>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</si>
  <si>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</si>
  <si>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</si>
  <si>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</si>
  <si>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</si>
  <si>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</si>
  <si>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</si>
  <si>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</si>
  <si>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</si>
  <si>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</si>
  <si>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</si>
  <si>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</si>
  <si>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</si>
  <si>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</si>
  <si>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</si>
  <si>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</si>
  <si>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</si>
  <si>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</si>
  <si>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</si>
  <si>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</si>
  <si>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</si>
  <si>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</si>
  <si>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</si>
  <si>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</si>
  <si>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</si>
  <si>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</si>
  <si>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</si>
  <si>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</si>
  <si>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</si>
  <si>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</si>
  <si>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</si>
  <si>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</si>
  <si>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</si>
  <si>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</si>
  <si>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</si>
  <si>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</si>
  <si>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</si>
  <si>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</si>
  <si>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</si>
  <si>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</si>
  <si>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</si>
  <si>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</si>
  <si>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</si>
  <si>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</si>
  <si>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</si>
  <si>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</si>
  <si>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</si>
  <si>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</si>
  <si>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</si>
  <si>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</si>
  <si>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</si>
  <si>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</si>
  <si>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</si>
  <si>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</si>
  <si>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</si>
  <si>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</si>
  <si>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</si>
  <si>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</si>
  <si>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</si>
  <si>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</si>
  <si>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</si>
  <si>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</si>
  <si>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</si>
  <si>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</si>
  <si>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</si>
  <si>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</si>
  <si>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</si>
  <si>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</si>
  <si>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</si>
  <si>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</si>
  <si>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</si>
  <si>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</si>
  <si>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</si>
  <si>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</si>
  <si>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</si>
  <si>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</si>
  <si>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</si>
  <si>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</si>
  <si>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</si>
  <si>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</si>
  <si>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</si>
  <si>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</si>
  <si>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</si>
  <si>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</si>
  <si>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</si>
  <si>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</si>
  <si>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</si>
  <si>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</si>
  <si>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</si>
  <si>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</si>
  <si>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</si>
  <si>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</si>
  <si>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</si>
  <si>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</si>
  <si>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</si>
  <si>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</si>
  <si>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</si>
  <si>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</si>
  <si>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</si>
  <si>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</si>
  <si>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</si>
  <si>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</si>
  <si>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</si>
  <si>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</si>
  <si>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</si>
  <si>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</si>
  <si>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</si>
  <si>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</si>
  <si>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</si>
  <si>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</si>
  <si>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</si>
  <si>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</si>
  <si>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</si>
  <si>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</si>
  <si>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</si>
  <si>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</si>
  <si>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</si>
  <si>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</si>
  <si>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</si>
  <si>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</si>
  <si>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</si>
  <si>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</si>
  <si>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</si>
  <si>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</si>
  <si>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</si>
  <si>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</si>
  <si>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</si>
  <si>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</si>
  <si>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</si>
  <si>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</si>
  <si>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</si>
  <si>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</si>
  <si>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</si>
  <si>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</si>
  <si>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</si>
  <si>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</si>
  <si>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</si>
  <si>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</si>
  <si>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</si>
  <si>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</si>
  <si>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</si>
  <si>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</si>
  <si>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Estimated water discharge</t>
  </si>
  <si>
    <t>OD lobby unit 1</t>
  </si>
  <si>
    <t>OD lobby unit 2</t>
  </si>
  <si>
    <t>Cash lobby unit 1</t>
  </si>
  <si>
    <t>Cash lobby unit 2</t>
  </si>
  <si>
    <t>Cash deposit</t>
  </si>
  <si>
    <t>Cash w/drawal</t>
  </si>
  <si>
    <t>Cash hallway</t>
  </si>
  <si>
    <t>Cash manager</t>
  </si>
  <si>
    <t>Money ctr unit -1</t>
  </si>
  <si>
    <t>Money ctr unit -2</t>
  </si>
  <si>
    <t>Mezzanine lobby</t>
  </si>
  <si>
    <t>Coa</t>
  </si>
  <si>
    <t>Seminar rm unit-1</t>
  </si>
  <si>
    <t>Seminar rm unit-2</t>
  </si>
  <si>
    <t>Seminar rm unit-3</t>
  </si>
  <si>
    <t>Security locker</t>
  </si>
  <si>
    <t>Admin unit-1</t>
  </si>
  <si>
    <t>Admin unit-2</t>
  </si>
  <si>
    <t>Admin unit-3</t>
  </si>
  <si>
    <t>Data cab unit-1</t>
  </si>
  <si>
    <t>Data cab unit-2</t>
  </si>
  <si>
    <t>Security office</t>
  </si>
  <si>
    <t>Security lobby</t>
  </si>
  <si>
    <t>Female locker rm</t>
  </si>
  <si>
    <t>Money ctr unit-1</t>
  </si>
  <si>
    <t>Money ctr unit-2</t>
  </si>
  <si>
    <t>ESS unit-1</t>
  </si>
  <si>
    <t>ESS unit-2</t>
  </si>
  <si>
    <t>ESS unit-3</t>
  </si>
  <si>
    <t>ESS unit-4</t>
  </si>
  <si>
    <t>Branch head unit -1</t>
  </si>
  <si>
    <t>Branch head unit -2</t>
  </si>
  <si>
    <t xml:space="preserve">donated last </t>
  </si>
  <si>
    <t>for donation</t>
  </si>
  <si>
    <t>Estimated weight</t>
  </si>
  <si>
    <t>$A$27:$E$39</t>
  </si>
  <si>
    <t>$I$13:$O$106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</si>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</sst>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2">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1">
    <dxf>
      <fill>
        <patternFill patternType="solid">
          <bgColor theme="0"/>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6575810184"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6"/>
    </cacheField>
    <cacheField name="Vehicle Type" numFmtId="0">
      <sharedItems containsBlank="1" count="11">
        <s v="Armored Vehicle"/>
        <s v="Van  "/>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0" maxValue="157.35"/>
    </cacheField>
    <cacheField name="Unit" numFmtId="0">
      <sharedItems containsBlank="1"/>
    </cacheField>
    <cacheField name="Total kilometers travelled (all vehicles)" numFmtId="4">
      <sharedItems containsString="0" containsBlank="1" containsNumber="1" minValue="0" maxValue="123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7.190000000000001"/>
    <s v="Liters"/>
    <n v="51.6"/>
    <s v="Kilometers"/>
    <m/>
  </r>
  <r>
    <n v="2"/>
    <x v="0"/>
    <x v="0"/>
    <x v="0"/>
    <x v="0"/>
    <n v="1.34"/>
    <m/>
    <n v="4.0199999999999996"/>
    <s v="Kilometers"/>
    <m/>
  </r>
  <r>
    <n v="3"/>
    <x v="0"/>
    <x v="0"/>
    <x v="0"/>
    <x v="0"/>
    <n v="56.3"/>
    <s v="Liters"/>
    <n v="281.5"/>
    <s v="Kilometers"/>
    <m/>
  </r>
  <r>
    <n v="4"/>
    <x v="1"/>
    <x v="0"/>
    <x v="0"/>
    <x v="0"/>
    <n v="10"/>
    <s v="Liters"/>
    <n v="100"/>
    <s v="Kilometers"/>
    <m/>
  </r>
  <r>
    <n v="5"/>
    <x v="2"/>
    <x v="0"/>
    <x v="0"/>
    <x v="0"/>
    <n v="1.1000000000000001"/>
    <s v="Liters"/>
    <n v="11"/>
    <s v="Kilometers"/>
    <m/>
  </r>
  <r>
    <n v="6"/>
    <x v="1"/>
    <x v="0"/>
    <x v="0"/>
    <x v="0"/>
    <n v="56.48"/>
    <s v="Liters"/>
    <n v="339"/>
    <s v="Kilometers"/>
    <m/>
  </r>
  <r>
    <n v="7"/>
    <x v="0"/>
    <x v="0"/>
    <x v="1"/>
    <x v="0"/>
    <n v="2.16"/>
    <s v="Liters"/>
    <n v="6.5"/>
    <s v="Kilometers"/>
    <m/>
  </r>
  <r>
    <n v="8"/>
    <x v="0"/>
    <x v="0"/>
    <x v="1"/>
    <x v="0"/>
    <n v="0"/>
    <s v="Liters"/>
    <n v="0"/>
    <s v="Kilometers"/>
    <m/>
  </r>
  <r>
    <n v="9"/>
    <x v="0"/>
    <x v="0"/>
    <x v="1"/>
    <x v="0"/>
    <n v="56.06"/>
    <s v="Liters"/>
    <n v="244.3"/>
    <s v="Kilometers"/>
    <m/>
  </r>
  <r>
    <n v="10"/>
    <x v="1"/>
    <x v="0"/>
    <x v="1"/>
    <x v="0"/>
    <n v="66"/>
    <s v="Liters"/>
    <n v="660"/>
    <s v="Kilometers"/>
    <m/>
  </r>
  <r>
    <n v="11"/>
    <x v="2"/>
    <x v="0"/>
    <x v="1"/>
    <x v="0"/>
    <n v="5.9"/>
    <s v="Liters"/>
    <n v="59"/>
    <s v="Kilometers"/>
    <m/>
  </r>
  <r>
    <n v="12"/>
    <x v="1"/>
    <x v="0"/>
    <x v="1"/>
    <x v="0"/>
    <n v="105.11"/>
    <s v="Liters"/>
    <n v="841"/>
    <s v="Kilometers"/>
    <m/>
  </r>
  <r>
    <n v="13"/>
    <x v="0"/>
    <x v="0"/>
    <x v="2"/>
    <x v="0"/>
    <n v="16.260000000000002"/>
    <s v="Liters"/>
    <n v="48.8"/>
    <s v="Kilometers"/>
    <m/>
  </r>
  <r>
    <n v="14"/>
    <x v="0"/>
    <x v="0"/>
    <x v="2"/>
    <x v="0"/>
    <n v="0"/>
    <s v="Liters"/>
    <n v="0"/>
    <s v="Kilometers"/>
    <m/>
  </r>
  <r>
    <n v="15"/>
    <x v="0"/>
    <x v="0"/>
    <x v="2"/>
    <x v="0"/>
    <n v="16.29"/>
    <s v="Liters"/>
    <n v="48.9"/>
    <s v="Kilometers"/>
    <m/>
  </r>
  <r>
    <n v="16"/>
    <x v="1"/>
    <x v="0"/>
    <x v="2"/>
    <x v="0"/>
    <n v="123.1"/>
    <s v="Liters"/>
    <n v="1231"/>
    <s v="Kilometers"/>
    <m/>
  </r>
  <r>
    <n v="17"/>
    <x v="2"/>
    <x v="0"/>
    <x v="2"/>
    <x v="0"/>
    <n v="101.1"/>
    <s v="Liters"/>
    <n v="809"/>
    <s v="Kilometers"/>
    <m/>
  </r>
  <r>
    <n v="18"/>
    <x v="1"/>
    <x v="0"/>
    <x v="2"/>
    <x v="0"/>
    <n v="119.65"/>
    <s v="Liters"/>
    <n v="718"/>
    <s v="Kilometers"/>
    <m/>
  </r>
  <r>
    <n v="19"/>
    <x v="0"/>
    <x v="0"/>
    <x v="3"/>
    <x v="1"/>
    <n v="27.8"/>
    <s v="Liters"/>
    <n v="83.4"/>
    <s v="Kilometers"/>
    <m/>
  </r>
  <r>
    <n v="20"/>
    <x v="0"/>
    <x v="0"/>
    <x v="3"/>
    <x v="1"/>
    <n v="0"/>
    <s v="Liters"/>
    <n v="0"/>
    <s v="Kilometers"/>
    <m/>
  </r>
  <r>
    <n v="21"/>
    <x v="0"/>
    <x v="0"/>
    <x v="3"/>
    <x v="1"/>
    <n v="107.76"/>
    <s v="Liters"/>
    <n v="323.3"/>
    <s v="Kilometers"/>
    <m/>
  </r>
  <r>
    <n v="22"/>
    <x v="1"/>
    <x v="0"/>
    <x v="3"/>
    <x v="1"/>
    <n v="146.96"/>
    <s v="Liters"/>
    <n v="1176"/>
    <s v="Kilometers"/>
    <m/>
  </r>
  <r>
    <n v="23"/>
    <x v="2"/>
    <x v="0"/>
    <x v="3"/>
    <x v="1"/>
    <n v="35.25"/>
    <s v="Liters"/>
    <n v="282"/>
    <s v="Kilometers"/>
    <m/>
  </r>
  <r>
    <n v="24"/>
    <x v="1"/>
    <x v="0"/>
    <x v="3"/>
    <x v="1"/>
    <n v="23.9"/>
    <s v="Liters"/>
    <n v="239"/>
    <s v="Kilometers"/>
    <m/>
  </r>
  <r>
    <n v="25"/>
    <x v="0"/>
    <x v="0"/>
    <x v="4"/>
    <x v="1"/>
    <n v="157.35"/>
    <s v="Liters"/>
    <n v="314.7"/>
    <s v="Kilometers"/>
    <m/>
  </r>
  <r>
    <n v="26"/>
    <x v="0"/>
    <x v="0"/>
    <x v="4"/>
    <x v="1"/>
    <n v="0"/>
    <s v="Liters"/>
    <n v="0"/>
    <s v="Kilometers"/>
    <m/>
  </r>
  <r>
    <n v="27"/>
    <x v="0"/>
    <x v="0"/>
    <x v="4"/>
    <x v="1"/>
    <n v="105.09"/>
    <s v="Liters"/>
    <n v="315.3"/>
    <s v="Kilometers"/>
    <m/>
  </r>
  <r>
    <n v="28"/>
    <x v="1"/>
    <x v="0"/>
    <x v="4"/>
    <x v="1"/>
    <n v="62.53"/>
    <s v="Liters"/>
    <n v="751"/>
    <s v="Kilometers"/>
    <m/>
  </r>
  <r>
    <n v="29"/>
    <x v="2"/>
    <x v="0"/>
    <x v="4"/>
    <x v="1"/>
    <n v="0"/>
    <s v="Liters"/>
    <n v="0"/>
    <s v="Kilometers"/>
    <m/>
  </r>
  <r>
    <n v="30"/>
    <x v="1"/>
    <x v="0"/>
    <x v="4"/>
    <x v="1"/>
    <n v="21.9"/>
    <s v="Liters"/>
    <n v="219"/>
    <s v="Kilometers"/>
    <m/>
  </r>
  <r>
    <n v="31"/>
    <x v="0"/>
    <x v="0"/>
    <x v="5"/>
    <x v="1"/>
    <n v="3.75"/>
    <s v="Liters"/>
    <n v="7.5"/>
    <s v="Kilometers"/>
    <m/>
  </r>
  <r>
    <n v="32"/>
    <x v="0"/>
    <x v="0"/>
    <x v="5"/>
    <x v="1"/>
    <n v="0"/>
    <s v="Liters"/>
    <n v="0"/>
    <s v="Kilometers"/>
    <m/>
  </r>
  <r>
    <n v="33"/>
    <x v="0"/>
    <x v="0"/>
    <x v="5"/>
    <x v="1"/>
    <n v="5.22"/>
    <s v="Liters"/>
    <n v="15.7"/>
    <s v="Kilometers"/>
    <m/>
  </r>
  <r>
    <n v="34"/>
    <x v="1"/>
    <x v="0"/>
    <x v="5"/>
    <x v="1"/>
    <n v="72.099999999999994"/>
    <s v="Liters"/>
    <n v="721"/>
    <s v="Kilometers"/>
    <m/>
  </r>
  <r>
    <n v="35"/>
    <x v="2"/>
    <x v="0"/>
    <x v="5"/>
    <x v="1"/>
    <n v="48.9"/>
    <s v="Liters"/>
    <n v="489"/>
    <s v="Kilometers"/>
    <m/>
  </r>
  <r>
    <n v="36"/>
    <x v="1"/>
    <x v="0"/>
    <x v="5"/>
    <x v="1"/>
    <n v="46.49"/>
    <s v="Liters"/>
    <n v="372"/>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2"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10" dataDxfId="108" headerRowBorderDxfId="109" tableBorderDxfId="107">
  <autoFilter ref="I6:O12" xr:uid="{5D54EA1C-BF56-1C41-A397-8FB104BB2C69}"/>
  <tableColumns count="7">
    <tableColumn id="1" xr3:uid="{0736B116-FD52-4F4F-884D-77C731445CFF}" name="No." dataDxfId="106">
      <calculatedColumnFormula>IF(#REF!="","",$I7+1)</calculatedColumnFormula>
    </tableColumn>
    <tableColumn id="5" xr3:uid="{C603CCC2-2764-574B-B616-B1F220EFF63F}" name="Fuel Type" dataDxfId="105"/>
    <tableColumn id="6" xr3:uid="{29E6127A-1BBD-4D42-8A5A-1FA1E160EC19}" name="Month" dataDxfId="104"/>
    <tableColumn id="7" xr3:uid="{AAB63BD1-C28A-2145-9671-756792E786E6}" name="Quarter" dataDxfId="103">
      <calculatedColumnFormula>IF(Fuel_Blg[[#This Row],[Month]]&lt;&gt;"",VLOOKUP(Fuel_Blg[[#This Row],[Month]], dropdown!$S$4:$T$15, 2, FALSE),"")</calculatedColumnFormula>
    </tableColumn>
    <tableColumn id="8" xr3:uid="{2659C633-FEE7-7446-91C8-0ACAADD03760}" name="Consumption" dataDxfId="102"/>
    <tableColumn id="9" xr3:uid="{83261790-77E9-A84F-890F-8F209571520F}" name="Unit" dataDxfId="101">
      <calculatedColumnFormula>IF($J7="","",VLOOKUP($J7,dropdown!$P$3:$Q$8,2,FALSE))</calculatedColumnFormula>
    </tableColumn>
    <tableColumn id="10" xr3:uid="{ADF20B56-6D74-6149-B0C0-FB9AA3F5AC8E}" name="Remarks"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9" dataDxfId="97" headerRowBorderDxfId="98" tableBorderDxfId="96" totalsRowBorderDxfId="95">
  <autoFilter ref="I6:R106" xr:uid="{A85D45EB-1572-A543-812E-815536D59C14}"/>
  <tableColumns count="10">
    <tableColumn id="1" xr3:uid="{CA340CBE-9D85-6C42-9CA1-DDAD368521C3}" name="No." dataDxfId="94">
      <calculatedColumnFormula>IF($J7="","",$I6+1)</calculatedColumnFormula>
    </tableColumn>
    <tableColumn id="2" xr3:uid="{CFAD3D96-F137-044A-AE4C-49E5188E1144}" name="Vehicle Type" dataDxfId="93"/>
    <tableColumn id="3" xr3:uid="{5A421D87-7A43-B14E-BA71-EABB4924A663}" name="Fuel Type" dataDxfId="92"/>
    <tableColumn id="4" xr3:uid="{9C4094CC-7613-9147-BAF8-A31087280A9A}" name="Month" dataDxfId="91"/>
    <tableColumn id="10" xr3:uid="{5211A67F-348D-494D-AD2E-AD4A362BCD78}" name="Quarter" dataDxfId="90">
      <calculatedColumnFormula>IF(Fuel_Veh[[#This Row],[Month]]&lt;&gt;"",VLOOKUP(Fuel_Veh[[#This Row],[Month]], dropdown!$S$4:$T$15, 2, FALSE),"")</calculatedColumnFormula>
    </tableColumn>
    <tableColumn id="5" xr3:uid="{6EDA12F9-55D0-694A-BAB9-B15BDE58CA76}" name="Consumption" dataDxfId="89"/>
    <tableColumn id="7" xr3:uid="{E7761959-51F4-954F-B8FB-F46DCC54C53F}" name="Unit" dataDxfId="88">
      <calculatedColumnFormula>IF($K7="","",VLOOKUP($K7,dropdown!$P$14:$Q$18,2,FALSE))</calculatedColumnFormula>
    </tableColumn>
    <tableColumn id="8" xr3:uid="{AD5D0247-3B56-D146-B22E-45D44E44A249}" name="Total kilometers travelled (all vehicles)" dataDxfId="87"/>
    <tableColumn id="6" xr3:uid="{7D9E5DFA-64C2-4B06-A40F-0BC8CB602574}" name="Unit2" dataDxfId="86">
      <calculatedColumnFormula>IF($P7="","","Kilometers")</calculatedColumnFormula>
    </tableColumn>
    <tableColumn id="9" xr3:uid="{3C24034E-2544-5447-B927-0F565A869F60}" name="Remarks"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4" dataDxfId="83">
  <autoFilter ref="I8:W107" xr:uid="{4EA7077C-50F7-42D2-96F2-51568F67E7B2}"/>
  <tableColumns count="15">
    <tableColumn id="1" xr3:uid="{F5FCA22D-7063-431B-9399-42C43DB71411}" name="No." dataDxfId="82">
      <calculatedColumnFormula>IF($K9="","",$I8+1)</calculatedColumnFormula>
    </tableColumn>
    <tableColumn id="2" xr3:uid="{132030AD-4541-47EB-A337-EEE87637C1DE}" name="Location" dataDxfId="81"/>
    <tableColumn id="3" xr3:uid="{E38A8A42-DF98-463F-8F43-42FB3365C31D}" name="Equipment Category" dataDxfId="80"/>
    <tableColumn id="4" xr3:uid="{73A30FFB-A2D9-422E-811C-B1A1BA4CF2FF}" name="No. of Units" dataDxfId="79"/>
    <tableColumn id="5" xr3:uid="{C542C367-6C7C-4A2E-AFC0-70AA09658289}" name="Refrigerant" dataDxfId="78"/>
    <tableColumn id="6" xr3:uid="{A49CD649-8CDA-4BDE-9E6C-7CED9E0C5258}" name="Equipment Status" dataDxfId="77"/>
    <tableColumn id="7" xr3:uid="{496D94A5-FA4D-4CAE-BA86-0076C8252260}" name="Month Purchased" dataDxfId="76"/>
    <tableColumn id="8" xr3:uid="{C2C4A362-BE62-4AD9-8A32-0EE063613BFF}" name="Column1" dataDxfId="75"/>
    <tableColumn id="9" xr3:uid="{72FA09EB-82CD-4F9D-B0C6-9BC0E94D6119}" name="Month Recharged" dataDxfId="74"/>
    <tableColumn id="10" xr3:uid="{47F108D4-F5B0-471A-95AA-199B8E9D5D51}" name="Recharge (kg)" dataDxfId="73"/>
    <tableColumn id="11" xr3:uid="{7F5D579B-DB98-4EE1-9316-59541598F54B}" name="Month Disposed" dataDxfId="72"/>
    <tableColumn id="12" xr3:uid="{27D4DE6A-84A7-49EE-85CD-4A4C4CF0E9C1}" name="Capacity (kg)" dataDxfId="71"/>
    <tableColumn id="13" xr3:uid="{57B4A461-924D-48EC-A43C-5A1EEE91ED09}" name="Recovered (kg)" dataDxfId="70"/>
    <tableColumn id="14" xr3:uid="{4A88164E-A6C3-4FE4-8DE4-0C0950D809F0}" name="Quarter" dataDxfId="69">
      <calculatedColumnFormula>IFERROR(VLOOKUP($O9, dropdown!$S$4:$T$15, 2, FALSE),
 IFERROR(VLOOKUP($Q9, dropdown!$S$4:$T$15, 2, FALSE),
 IFERROR(VLOOKUP($S9, dropdown!$S$4:$T$15, 2, FALSE),
 "")))</calculatedColumnFormula>
    </tableColumn>
    <tableColumn id="15" xr3:uid="{D18D61D3-B9DB-40F4-9EBB-61DAFC976BF5}" name="Remarks" dataDxfId="6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7" tableBorderDxfId="66">
  <autoFilter ref="I7:O107" xr:uid="{4E808252-F12F-E841-AB57-6A82E4759C1A}"/>
  <tableColumns count="7">
    <tableColumn id="1" xr3:uid="{D5D30AA3-E573-734B-B6AB-3BC327F8D967}" name="No." dataDxfId="65"/>
    <tableColumn id="3" xr3:uid="{E49E940C-A64E-A446-B958-9A58950DBA26}" name="Month" dataDxfId="64"/>
    <tableColumn id="8" xr3:uid="{A32745C6-53F1-AF48-B40D-2062538BA76C}" name="Quarter" dataDxfId="63">
      <calculatedColumnFormula>IF(Electricity[[#This Row],[Month]]&lt;&gt;"",VLOOKUP(Electricity[[#This Row],[Month]], dropdown!$S$4:$T$15, 2, FALSE),"")</calculatedColumnFormula>
    </tableColumn>
    <tableColumn id="4" xr3:uid="{7BDA3B9E-E331-A040-8D00-68C0D245C2DD}" name="Consumption (kWh)" dataDxfId="62"/>
    <tableColumn id="5" xr3:uid="{4597EC97-806C-4E41-8BA3-E789252B06C0}" name="Cost (PHP)" dataDxfId="61"/>
    <tableColumn id="6" xr3:uid="{4139C44D-830B-F247-8F9C-494AF4CBED3A}" name="Utility Provider" dataDxfId="60"/>
    <tableColumn id="7" xr3:uid="{A1E305CA-3F3B-AC45-B4A9-903D25ED562F}" name="Remark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8" tableBorderDxfId="57">
  <autoFilter ref="I6:N106" xr:uid="{4E808252-F12F-E841-AB57-6A82E4759C1A}"/>
  <tableColumns count="6">
    <tableColumn id="1" xr3:uid="{96892042-DA4D-554E-B6C0-56CC2E778BE0}" name="No." dataDxfId="56">
      <calculatedColumnFormula>IF(Electricity6[[#This Row],[Month]]="","",1)</calculatedColumnFormula>
    </tableColumn>
    <tableColumn id="3" xr3:uid="{4D461598-2D62-B244-9F61-EF4079251355}" name="Month" dataDxfId="55"/>
    <tableColumn id="8" xr3:uid="{45DB6F9E-A541-A04C-BEB7-D0FD16821599}" name="Quarter" dataDxfId="54">
      <calculatedColumnFormula>IF(Electricity6[[#This Row],[Month]]&lt;&gt;"",VLOOKUP(Electricity6[[#This Row],[Month]], dropdown!$S$4:$T$15, 2, FALSE),"")</calculatedColumnFormula>
    </tableColumn>
    <tableColumn id="4" xr3:uid="{2384A887-6797-9D45-A82F-AD87B1CEA514}" name="Solar Energy Generated (kWh)" dataDxfId="53"/>
    <tableColumn id="6" xr3:uid="{C0C5600A-2A4F-42FA-A171-A7D77002B82E}" name="Operational Energy Demand - One Shift (kWH)" dataDxfId="52"/>
    <tableColumn id="7" xr3:uid="{0E49F2FA-DF95-494F-B55D-59E5FA7DFB31}" name="Remarks"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50" dataDxfId="48" headerRowBorderDxfId="49" tableBorderDxfId="47" totalsRowBorderDxfId="46">
  <autoFilter ref="I7:N107" xr:uid="{D1C0C9B2-779D-1649-AFF9-2DC747BD8D8E}"/>
  <tableColumns count="6">
    <tableColumn id="1" xr3:uid="{98251D21-9B72-FF46-855C-29CDFC3F8C49}" name="No." dataDxfId="45">
      <calculatedColumnFormula>IF(#REF!="","",$I7+1)</calculatedColumnFormula>
    </tableColumn>
    <tableColumn id="3" xr3:uid="{79584AA0-F1B7-3B41-BB42-77B2A9F16C14}" name="Month" dataDxfId="44"/>
    <tableColumn id="4" xr3:uid="{A3CA35C2-DBF2-C44A-8453-C1C3204D173D}" name="Quarter" dataDxfId="43">
      <calculatedColumnFormula>IF(water_in[[#This Row],[Month]]&lt;&gt;"",VLOOKUP(water_in[[#This Row],[Month]], dropdown!$S$4:$T$15, 2, FALSE),"")</calculatedColumnFormula>
    </tableColumn>
    <tableColumn id="5" xr3:uid="{94E41BA5-FE14-7A42-A566-007A23C80527}" name="Source" dataDxfId="42"/>
    <tableColumn id="6" xr3:uid="{06C9DE83-99A6-6E42-BFF6-BBB009F75383}" name="Volume (m3)" dataDxfId="41"/>
    <tableColumn id="7" xr3:uid="{76D3A7A4-7A71-A740-A5FE-E0978AE0D14C}" name="Remarks" dataDxfId="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9" dataDxfId="37" headerRowBorderDxfId="38" tableBorderDxfId="36" totalsRowBorderDxfId="35">
  <autoFilter ref="P7:U107" xr:uid="{417FDA8E-3E35-E54B-B144-32DD667BE400}"/>
  <tableColumns count="6">
    <tableColumn id="1" xr3:uid="{C13D90C4-D898-7E42-BF11-5CEB6AE3F508}" name="No." dataDxfId="34">
      <calculatedColumnFormula>IF(#REF!="","",$P7+1)</calculatedColumnFormula>
    </tableColumn>
    <tableColumn id="3" xr3:uid="{FB4E4C5F-3555-F84A-866C-D2E830B01E5D}" name="Month" dataDxfId="33"/>
    <tableColumn id="4" xr3:uid="{619B28E5-6E0C-9445-94A5-CFE5B7E140CF}" name="Quarter" dataDxfId="32">
      <calculatedColumnFormula>IF(water_out[[#This Row],[Month]]&lt;&gt;"",VLOOKUP(water_out[[#This Row],[Month]], dropdown!$S$4:$T$15, 2, FALSE),"")</calculatedColumnFormula>
    </tableColumn>
    <tableColumn id="6" xr3:uid="{FC43882E-BF75-DA4D-B572-DC2FBD6873DC}" name="Water Destination" dataDxfId="31"/>
    <tableColumn id="2" xr3:uid="{10C062EB-B924-4DED-B867-1CB5A5574221}" name="Volume2 (m3)" dataDxfId="30"/>
    <tableColumn id="8" xr3:uid="{41D6224C-69B7-5E4A-8BC8-C342068A9656}" name="Remark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8" dataDxfId="27" tableBorderDxfId="26">
  <autoFilter ref="I12:O30" xr:uid="{644952C9-78B7-944D-8BFB-5F0BBB441E25}"/>
  <tableColumns count="7">
    <tableColumn id="1" xr3:uid="{905CBBCA-C4CE-E64F-8577-DD820D762EBE}" name="Component" dataDxfId="25"/>
    <tableColumn id="2" xr3:uid="{95B1D560-7606-8440-A263-1F3488DDCF60}" name="Chemical Formula" dataDxfId="24"/>
    <tableColumn id="3" xr3:uid="{BAFDD3D8-B5F1-0945-B68F-96F3F4D4E83A}" name="Molar Fraction (%)" dataDxfId="23"/>
    <tableColumn id="4" xr3:uid="{8ED09876-064B-5643-B346-8B9BE03FCA7C}" name="Total Moles (kg-mole/m3)" dataDxfId="22">
      <calculatedColumnFormula>IF(Waste_Gases[[#This Row],[Molar Fraction (%)]]=0,"",Waste_Gases[[#This Row],[Molar Fraction (%)]]*$D$15)</calculatedColumnFormula>
    </tableColumn>
    <tableColumn id="5" xr3:uid="{AF137C96-997B-0043-A824-BF6EB99BF204}" name="Molecular Weight" dataDxfId="21"/>
    <tableColumn id="6" xr3:uid="{45DE64DD-9AEC-7A47-BFD6-46841261F085}" name="Percent Carbon (%)" dataDxfId="20">
      <calculatedColumnFormula>Emission_Factors!$B$17/Waste_Gases[[#This Row],[Molecular Weight]]</calculatedColumnFormula>
    </tableColumn>
    <tableColumn id="7" xr3:uid="{2A4C64A5-A239-5A46-9E95-F45AEE05D934}" name="Carbon Content(kg/m3)" dataDxfId="19">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8" tableBorderDxfId="17">
  <autoFilter ref="I7:O104" xr:uid="{0230B550-3160-A24C-BB39-D77FBA7436E1}"/>
  <tableColumns count="7">
    <tableColumn id="1" xr3:uid="{E1E9FF9D-27E3-7D49-AEA6-2B1729AB118D}" name="No." dataDxfId="16"/>
    <tableColumn id="2" xr3:uid="{8380DC80-2805-C14F-AD3B-7C45100601CB}" name="Month" dataDxfId="15"/>
    <tableColumn id="3" xr3:uid="{8B50C8B1-2B60-7D48-8932-B0CD897CE645}" name="Quarter" dataDxfId="14">
      <calculatedColumnFormula>IF(Waste[[#This Row],[Month]]&lt;&gt;"",VLOOKUP(Waste[[#This Row],[Month]], dropdown!$S$4:$T$15, 2, FALSE),"")</calculatedColumnFormula>
    </tableColumn>
    <tableColumn id="4" xr3:uid="{1D0A3C03-9904-E148-8A78-B82195B0EA5C}" name="Waste Composition" dataDxfId="13"/>
    <tableColumn id="5" xr3:uid="{93373184-794D-CF48-B2C6-609884108023}" name="Weight (kg)" dataDxfId="12"/>
    <tableColumn id="6" xr3:uid="{AEA2ECE1-073B-3E43-BACD-0EDC33C61465}" name="Disposal/Recovery Method" dataDxfId="11"/>
    <tableColumn id="7" xr3:uid="{5D0BB89C-B4C6-D54A-A767-64E8AE7DDBFE}" name="Remarks"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9">
  <autoFilter ref="A1:E929" xr:uid="{76DE87AF-814A-AB4A-8281-B0E5A4C74319}"/>
  <tableColumns count="5">
    <tableColumn id="1" xr3:uid="{26002ACD-4A1E-4D49-89F1-047F359822D0}" name="Timestamp" dataDxfId="8"/>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5" t="s">
        <v>2</v>
      </c>
      <c r="D5" s="153" t="s">
        <v>3</v>
      </c>
      <c r="E5" s="154" t="s">
        <v>4</v>
      </c>
      <c r="F5" s="155" t="s">
        <v>5</v>
      </c>
      <c r="G5" s="154" t="s">
        <v>6</v>
      </c>
      <c r="H5" s="156" t="s">
        <v>7</v>
      </c>
    </row>
    <row r="6" spans="2:8" ht="16" x14ac:dyDescent="0.2">
      <c r="B6" s="436" t="s">
        <v>27</v>
      </c>
      <c r="D6" s="86">
        <v>1</v>
      </c>
      <c r="E6" s="90" t="s">
        <v>8</v>
      </c>
      <c r="F6" s="91" t="s">
        <v>9</v>
      </c>
      <c r="G6" s="92" t="s">
        <v>10</v>
      </c>
      <c r="H6" s="93" t="s">
        <v>11</v>
      </c>
    </row>
    <row r="7" spans="2:8" ht="16" x14ac:dyDescent="0.2">
      <c r="B7" s="436" t="s">
        <v>58</v>
      </c>
      <c r="D7" s="86">
        <f>D6+1</f>
        <v>2</v>
      </c>
      <c r="E7" s="90" t="s">
        <v>12</v>
      </c>
      <c r="F7" s="91" t="s">
        <v>13</v>
      </c>
      <c r="G7" s="92" t="s">
        <v>14</v>
      </c>
      <c r="H7" s="93">
        <v>2024</v>
      </c>
    </row>
    <row r="8" spans="2:8" ht="16" x14ac:dyDescent="0.2">
      <c r="B8" s="437" t="s">
        <v>15</v>
      </c>
      <c r="D8" s="383">
        <f>D7+1</f>
        <v>3</v>
      </c>
      <c r="E8" s="389" t="s">
        <v>16</v>
      </c>
      <c r="F8" s="390" t="s">
        <v>17</v>
      </c>
      <c r="G8" s="384" t="s">
        <v>18</v>
      </c>
      <c r="H8" s="385" t="s">
        <v>19</v>
      </c>
    </row>
    <row r="9" spans="2:8" ht="16" x14ac:dyDescent="0.2">
      <c r="B9" s="438" t="s">
        <v>20</v>
      </c>
      <c r="D9" s="86">
        <f>D8+1</f>
        <v>4</v>
      </c>
      <c r="E9" s="91" t="s">
        <v>21</v>
      </c>
      <c r="F9" s="91" t="s">
        <v>22</v>
      </c>
      <c r="G9" s="158" t="s">
        <v>23</v>
      </c>
      <c r="H9" s="159" t="s">
        <v>24</v>
      </c>
    </row>
    <row r="10" spans="2:8" x14ac:dyDescent="0.2">
      <c r="B10" s="438" t="s">
        <v>25</v>
      </c>
      <c r="D10" s="386"/>
      <c r="E10" s="387"/>
      <c r="F10" s="387"/>
      <c r="G10" s="174"/>
      <c r="H10" s="388"/>
    </row>
    <row r="11" spans="2:8" ht="16" x14ac:dyDescent="0.2">
      <c r="B11" s="439" t="s">
        <v>26</v>
      </c>
      <c r="D11" s="84" t="s">
        <v>27</v>
      </c>
      <c r="E11" s="96"/>
      <c r="F11" s="97"/>
      <c r="G11" s="96"/>
      <c r="H11" s="98"/>
    </row>
    <row r="12" spans="2:8" ht="16" x14ac:dyDescent="0.2">
      <c r="B12" s="440"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1"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0"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6" t="s">
        <v>138</v>
      </c>
      <c r="G109" s="92" t="s">
        <v>10</v>
      </c>
      <c r="H109" s="93" t="s">
        <v>139</v>
      </c>
    </row>
    <row r="110" spans="4:8" ht="16" x14ac:dyDescent="0.2">
      <c r="D110" s="86"/>
      <c r="E110" s="116" t="s">
        <v>140</v>
      </c>
      <c r="F110" s="91" t="s">
        <v>141</v>
      </c>
      <c r="G110" s="138" t="s">
        <v>66</v>
      </c>
      <c r="H110" s="108">
        <v>456.98</v>
      </c>
    </row>
    <row r="111" spans="4:8" ht="144" x14ac:dyDescent="0.2">
      <c r="D111" s="86"/>
      <c r="E111" s="423" t="s">
        <v>142</v>
      </c>
      <c r="F111" s="431" t="s">
        <v>143</v>
      </c>
      <c r="G111" s="92" t="s">
        <v>10</v>
      </c>
      <c r="H111" s="93" t="s">
        <v>144</v>
      </c>
    </row>
    <row r="112" spans="4:8" ht="32" x14ac:dyDescent="0.2">
      <c r="D112" s="86"/>
      <c r="E112" s="409"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6" zoomScale="88" zoomScaleNormal="60" workbookViewId="0">
      <selection activeCell="C48" sqref="C4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2"/>
      <c r="E2" s="443"/>
      <c r="F2" s="443"/>
      <c r="G2" s="444"/>
    </row>
    <row r="3" spans="3:7" x14ac:dyDescent="0.2">
      <c r="C3" s="117" t="s">
        <v>12</v>
      </c>
      <c r="D3" s="442"/>
      <c r="E3" s="443"/>
      <c r="F3" s="443"/>
      <c r="G3" s="444"/>
    </row>
    <row r="5" spans="3:7" ht="19" customHeight="1" x14ac:dyDescent="0.2">
      <c r="C5" s="441" t="s">
        <v>148</v>
      </c>
      <c r="D5" s="441"/>
      <c r="E5" s="441"/>
      <c r="F5" s="441"/>
      <c r="G5" s="441"/>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x</v>
      </c>
      <c r="F10" s="183" t="str" cm="1">
        <f t="array" ref="F10">IF(SUMPRODUCT(--('2.2 Refrigerants'!F11:F13&gt;0))&gt;0, "x", "")</f>
        <v>x</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240.96000000000004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1619.04</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110208</v>
      </c>
    </row>
    <row r="32" spans="3:5" x14ac:dyDescent="0.2">
      <c r="E32" s="69"/>
    </row>
    <row r="33" spans="3:5" x14ac:dyDescent="0.2">
      <c r="C33" s="184" t="s">
        <v>163</v>
      </c>
      <c r="D33" s="185"/>
      <c r="E33" s="186"/>
    </row>
    <row r="34" spans="3:5" x14ac:dyDescent="0.2">
      <c r="C34" s="424"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440</v>
      </c>
    </row>
    <row r="40" spans="3:5" x14ac:dyDescent="0.2">
      <c r="C40" s="189" t="str">
        <f>'2.4 Water'!B12</f>
        <v>Water Discharge</v>
      </c>
      <c r="D40" s="189" t="str">
        <f>'2.4 Water'!C12</f>
        <v>Cubic meters</v>
      </c>
      <c r="E40" s="190">
        <f>SUM('2.4 Water'!$D$12:$G$12)</f>
        <v>352</v>
      </c>
    </row>
    <row r="42" spans="3:5" x14ac:dyDescent="0.2">
      <c r="C42" s="184" t="s">
        <v>165</v>
      </c>
      <c r="D42" s="185"/>
      <c r="E42" s="422"/>
    </row>
    <row r="43" spans="3:5" ht="40" x14ac:dyDescent="0.2">
      <c r="C43" s="187" t="str">
        <f>'2.5 Waste'!B10</f>
        <v>Waste Composition</v>
      </c>
      <c r="D43" s="187" t="str">
        <f>'2.5 Waste'!C10</f>
        <v>Unit</v>
      </c>
      <c r="E43" s="432" t="s">
        <v>166</v>
      </c>
    </row>
    <row r="44" spans="3:5" x14ac:dyDescent="0.2">
      <c r="C44" s="189" t="str">
        <f>'2.5 Waste'!B11</f>
        <v>Compostable</v>
      </c>
      <c r="D44" s="189" t="str">
        <f>'2.5 Waste'!C11</f>
        <v>Kilograms</v>
      </c>
      <c r="E44" s="191">
        <f>SUM('2.5 Waste'!$D$11:$G$11)</f>
        <v>9600</v>
      </c>
    </row>
    <row r="45" spans="3:5" x14ac:dyDescent="0.2">
      <c r="C45" s="189" t="str">
        <f>'2.5 Waste'!B12</f>
        <v>Recyclable</v>
      </c>
      <c r="D45" s="189" t="str">
        <f>'2.5 Waste'!C12</f>
        <v>Kilograms</v>
      </c>
      <c r="E45" s="191">
        <f>SUM('2.5 Waste'!$D$12:$G$12)</f>
        <v>12</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K21" sqref="K2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2"/>
      <c r="P3" s="411"/>
    </row>
    <row r="4" spans="2:16" x14ac:dyDescent="0.2">
      <c r="B4" s="161">
        <f>'1. Data Info and Summary'!$D$2</f>
        <v>0</v>
      </c>
      <c r="C4" s="37"/>
      <c r="D4" s="38" t="str">
        <f>IF('1. Data Info and Summary'!$D$3=0,"-",'1. Data Info and Summary'!$D$3)</f>
        <v>-</v>
      </c>
      <c r="E4" s="37"/>
      <c r="F4" s="37" t="s">
        <v>171</v>
      </c>
      <c r="G4" s="39"/>
      <c r="I4" s="338"/>
      <c r="J4" s="276"/>
      <c r="K4" s="276"/>
      <c r="L4" s="276"/>
      <c r="M4" s="277"/>
      <c r="N4" s="277"/>
      <c r="O4" s="413"/>
      <c r="P4" s="213"/>
    </row>
    <row r="5" spans="2:16" x14ac:dyDescent="0.2">
      <c r="I5" s="20"/>
      <c r="J5" s="272"/>
    </row>
    <row r="6" spans="2:16" x14ac:dyDescent="0.2">
      <c r="B6" s="278" t="s">
        <v>172</v>
      </c>
      <c r="C6" s="445"/>
      <c r="D6" s="446"/>
      <c r="E6" s="446"/>
      <c r="F6" s="446"/>
      <c r="G6" s="447"/>
      <c r="I6" s="209" t="s">
        <v>173</v>
      </c>
      <c r="J6" s="209" t="s">
        <v>35</v>
      </c>
      <c r="K6" s="209" t="s">
        <v>39</v>
      </c>
      <c r="L6" s="209" t="s">
        <v>43</v>
      </c>
      <c r="M6" s="209" t="s">
        <v>47</v>
      </c>
      <c r="N6" s="209" t="s">
        <v>51</v>
      </c>
      <c r="O6" s="209" t="s">
        <v>54</v>
      </c>
      <c r="P6" s="20"/>
    </row>
    <row r="7" spans="2:16" x14ac:dyDescent="0.2">
      <c r="B7" s="278" t="s">
        <v>174</v>
      </c>
      <c r="C7" s="445"/>
      <c r="D7" s="446"/>
      <c r="E7" s="446"/>
      <c r="F7" s="446"/>
      <c r="G7" s="447"/>
      <c r="I7" s="194">
        <f>IF($M7="","",1)</f>
        <v>1</v>
      </c>
      <c r="J7" s="57" t="s">
        <v>37</v>
      </c>
      <c r="K7" s="58" t="s">
        <v>338</v>
      </c>
      <c r="L7" s="18" t="str">
        <f>IF(Fuel_Blg[[#This Row],[Month]]&lt;&gt;"",VLOOKUP(Fuel_Blg[[#This Row],[Month]], dropdown!$S$4:$T$15, 2, FALSE),"")</f>
        <v>Q1</v>
      </c>
      <c r="M7" s="29">
        <v>37.200000000000003</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37.92</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43.2</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55.2</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118.32000000000001</v>
      </c>
      <c r="E11" s="41">
        <f>SUMIFS(Fuel_Blg[Consumption],Fuel_Blg[Quarter],E$10,Fuel_Blg[Fuel Type],$B$11)</f>
        <v>122.64000000000001</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37.840000000000003</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29.6</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C6" zoomScaleNormal="100" workbookViewId="0">
      <selection activeCell="P24" sqref="P24"/>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f>'1. Data Info and Summary'!$D$2</f>
        <v>0</v>
      </c>
      <c r="C4" s="201"/>
      <c r="D4" s="38" t="str">
        <f>IF('1. Data Info and Summary'!$D$3=0,"-",'1. Data Info and Summary'!$D$3)</f>
        <v>-</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5"/>
      <c r="D6" s="446"/>
      <c r="E6" s="446"/>
      <c r="F6" s="446"/>
      <c r="G6" s="447"/>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5"/>
      <c r="D7" s="446"/>
      <c r="E7" s="446"/>
      <c r="F7" s="446"/>
      <c r="G7" s="447"/>
      <c r="I7" s="194">
        <f>IF($J7="","",1)</f>
        <v>1</v>
      </c>
      <c r="J7" s="57" t="s">
        <v>343</v>
      </c>
      <c r="K7" s="57" t="s">
        <v>63</v>
      </c>
      <c r="L7" s="58" t="s">
        <v>338</v>
      </c>
      <c r="M7" s="18" t="str">
        <f>IF(Fuel_Veh[[#This Row],[Month]]&lt;&gt;"",VLOOKUP(Fuel_Veh[[#This Row],[Month]], dropdown!$S$4:$T$15, 2, FALSE),"")</f>
        <v>Q1</v>
      </c>
      <c r="N7" s="29">
        <v>17.190000000000001</v>
      </c>
      <c r="O7" s="17" t="str">
        <f>IF($K7="","",VLOOKUP($K7,dropdown!$P$14:$Q$18,2,FALSE))</f>
        <v>Liters</v>
      </c>
      <c r="P7" s="29">
        <v>51.6</v>
      </c>
      <c r="Q7" s="17" t="str">
        <f t="shared" ref="Q7:Q70" si="0">IF($P7="","","Kilometers")</f>
        <v>Kilometers</v>
      </c>
      <c r="R7" s="195"/>
    </row>
    <row r="8" spans="2:18" x14ac:dyDescent="0.2">
      <c r="I8" s="194">
        <f>IF($J8="","",$I7+1)</f>
        <v>2</v>
      </c>
      <c r="J8" s="57" t="s">
        <v>343</v>
      </c>
      <c r="K8" s="57" t="s">
        <v>63</v>
      </c>
      <c r="L8" s="58" t="s">
        <v>338</v>
      </c>
      <c r="M8" s="18" t="str">
        <f>IF(Fuel_Veh[[#This Row],[Month]]&lt;&gt;"",VLOOKUP(Fuel_Veh[[#This Row],[Month]], dropdown!$S$4:$T$15, 2, FALSE),"")</f>
        <v>Q1</v>
      </c>
      <c r="N8" s="29">
        <v>1.34</v>
      </c>
      <c r="O8" s="17"/>
      <c r="P8" s="29">
        <v>4.0199999999999996</v>
      </c>
      <c r="Q8" s="17" t="str">
        <f t="shared" si="0"/>
        <v>Kilometers</v>
      </c>
      <c r="R8" s="195"/>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56.3</v>
      </c>
      <c r="O9" s="17" t="str">
        <f>IF($K9="","",VLOOKUP($K9,dropdown!$P$14:$Q$18,2,FALSE))</f>
        <v>Liters</v>
      </c>
      <c r="P9" s="29">
        <v>281.5</v>
      </c>
      <c r="Q9" s="17" t="str">
        <f t="shared" si="0"/>
        <v>Kilometers</v>
      </c>
      <c r="R9" s="195"/>
    </row>
    <row r="10" spans="2:18" x14ac:dyDescent="0.2">
      <c r="B10" s="13" t="s">
        <v>35</v>
      </c>
      <c r="C10" s="13" t="s">
        <v>51</v>
      </c>
      <c r="D10" s="40" t="s">
        <v>45</v>
      </c>
      <c r="E10" s="40" t="s">
        <v>149</v>
      </c>
      <c r="F10" s="40" t="s">
        <v>150</v>
      </c>
      <c r="G10" s="40" t="s">
        <v>151</v>
      </c>
      <c r="I10" s="194">
        <f>IF($J10="","",$I9+1)</f>
        <v>4</v>
      </c>
      <c r="J10" s="57" t="s">
        <v>381</v>
      </c>
      <c r="K10" s="57" t="s">
        <v>63</v>
      </c>
      <c r="L10" s="58" t="s">
        <v>338</v>
      </c>
      <c r="M10" s="18" t="str">
        <f>IF(Fuel_Veh[[#This Row],[Month]]&lt;&gt;"",VLOOKUP(Fuel_Veh[[#This Row],[Month]], dropdown!$S$4:$T$15, 2, FALSE),"")</f>
        <v>Q1</v>
      </c>
      <c r="N10" s="29">
        <v>10</v>
      </c>
      <c r="O10" s="17" t="str">
        <f>IF($K10="","",VLOOKUP($K10,dropdown!$P$14:$Q$18,2,FALSE))</f>
        <v>Liters</v>
      </c>
      <c r="P10" s="29">
        <v>100</v>
      </c>
      <c r="Q10" s="17" t="str">
        <f t="shared" si="0"/>
        <v>Kilometers</v>
      </c>
      <c r="R10" s="195"/>
    </row>
    <row r="11" spans="2:18" x14ac:dyDescent="0.2">
      <c r="B11" s="17" t="str">
        <f>dropdown!$P15</f>
        <v>Diesel - Transport vehicles</v>
      </c>
      <c r="C11" s="17" t="str">
        <f>dropdown!$Q15</f>
        <v>Liters</v>
      </c>
      <c r="D11" s="41">
        <f>SUMIFS(Fuel_Veh[Consumption],Fuel_Veh[Quarter],D$10,Fuel_Veh[Fuel Type],$B$11)</f>
        <v>754.04</v>
      </c>
      <c r="E11" s="41">
        <f>SUMIFS(Fuel_Veh[Consumption],Fuel_Veh[Quarter],E$10,Fuel_Veh[Fuel Type],$B$11)</f>
        <v>865</v>
      </c>
      <c r="F11" s="41">
        <f>SUMIFS(Fuel_Veh[Consumption],Fuel_Veh[Quarter],F$10,Fuel_Veh[Fuel Type],$B$11)</f>
        <v>0</v>
      </c>
      <c r="G11" s="41">
        <f>SUMIFS(Fuel_Veh[Consumption],Fuel_Veh[Quarter],G$10,Fuel_Veh[Fuel Type],$B$11)</f>
        <v>0</v>
      </c>
      <c r="I11" s="194">
        <f>IF($J11="","",$I10+1)</f>
        <v>5</v>
      </c>
      <c r="J11" s="57" t="s">
        <v>365</v>
      </c>
      <c r="K11" s="57" t="s">
        <v>63</v>
      </c>
      <c r="L11" s="58" t="s">
        <v>338</v>
      </c>
      <c r="M11" s="18" t="str">
        <f>IF(Fuel_Veh[[#This Row],[Month]]&lt;&gt;"",VLOOKUP(Fuel_Veh[[#This Row],[Month]], dropdown!$S$4:$T$15, 2, FALSE),"")</f>
        <v>Q1</v>
      </c>
      <c r="N11" s="29">
        <v>1.1000000000000001</v>
      </c>
      <c r="O11" s="17" t="str">
        <f>IF($K11="","",VLOOKUP($K11,dropdown!$P$14:$Q$18,2,FALSE))</f>
        <v>Liters</v>
      </c>
      <c r="P11" s="29">
        <v>11</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338</v>
      </c>
      <c r="M12" s="18" t="str">
        <f>IF(Fuel_Veh[[#This Row],[Month]]&lt;&gt;"",VLOOKUP(Fuel_Veh[[#This Row],[Month]], dropdown!$S$4:$T$15, 2, FALSE),"")</f>
        <v>Q1</v>
      </c>
      <c r="N12" s="29">
        <v>56.48</v>
      </c>
      <c r="O12" s="17" t="str">
        <f>IF($K12="","",VLOOKUP($K12,dropdown!$P$14:$Q$18,2,FALSE))</f>
        <v>Liters</v>
      </c>
      <c r="P12" s="29">
        <v>339</v>
      </c>
      <c r="Q12" s="17" t="str">
        <f t="shared" si="0"/>
        <v>Kilometers</v>
      </c>
      <c r="R12" s="195"/>
    </row>
    <row r="13" spans="2:18" ht="14" customHeight="1" x14ac:dyDescent="0.2">
      <c r="I13" s="194">
        <f t="shared" si="1"/>
        <v>7</v>
      </c>
      <c r="J13" s="57" t="s">
        <v>343</v>
      </c>
      <c r="K13" s="57" t="s">
        <v>63</v>
      </c>
      <c r="L13" s="58" t="s">
        <v>89</v>
      </c>
      <c r="M13" s="18" t="str">
        <f>IF(Fuel_Veh[[#This Row],[Month]]&lt;&gt;"",VLOOKUP(Fuel_Veh[[#This Row],[Month]], dropdown!$S$4:$T$15, 2, FALSE),"")</f>
        <v>Q1</v>
      </c>
      <c r="N13" s="29">
        <v>2.16</v>
      </c>
      <c r="O13" s="17" t="str">
        <f>IF($K13="","",VLOOKUP($K13,dropdown!$P$14:$Q$18,2,FALSE))</f>
        <v>Liters</v>
      </c>
      <c r="P13" s="29">
        <v>6.5</v>
      </c>
      <c r="Q13" s="17" t="str">
        <f t="shared" si="0"/>
        <v>Kilometers</v>
      </c>
      <c r="R13" s="195"/>
    </row>
    <row r="14" spans="2:18" x14ac:dyDescent="0.2">
      <c r="B14" s="267" t="s">
        <v>38</v>
      </c>
      <c r="I14" s="194">
        <f t="shared" si="1"/>
        <v>8</v>
      </c>
      <c r="J14" s="57" t="s">
        <v>343</v>
      </c>
      <c r="K14" s="57" t="s">
        <v>63</v>
      </c>
      <c r="L14" s="58" t="s">
        <v>89</v>
      </c>
      <c r="M14" s="18" t="str">
        <f>IF(Fuel_Veh[[#This Row],[Month]]&lt;&gt;"",VLOOKUP(Fuel_Veh[[#This Row],[Month]], dropdown!$S$4:$T$15, 2, FALSE),"")</f>
        <v>Q1</v>
      </c>
      <c r="N14" s="29">
        <v>0</v>
      </c>
      <c r="O14" s="17" t="str">
        <f>IF($K14="","",VLOOKUP($K14,dropdown!$P$14:$Q$18,2,FALSE))</f>
        <v>Liters</v>
      </c>
      <c r="P14" s="29">
        <v>0</v>
      </c>
      <c r="Q14" s="17" t="str">
        <f t="shared" si="0"/>
        <v>Kilometers</v>
      </c>
      <c r="R14" s="195"/>
    </row>
    <row r="15" spans="2:18" x14ac:dyDescent="0.2">
      <c r="B15" s="268" t="s">
        <v>175</v>
      </c>
      <c r="I15" s="194">
        <f t="shared" si="1"/>
        <v>9</v>
      </c>
      <c r="J15" s="57" t="s">
        <v>343</v>
      </c>
      <c r="K15" s="57" t="s">
        <v>63</v>
      </c>
      <c r="L15" s="58" t="s">
        <v>89</v>
      </c>
      <c r="M15" s="18" t="str">
        <f>IF(Fuel_Veh[[#This Row],[Month]]&lt;&gt;"",VLOOKUP(Fuel_Veh[[#This Row],[Month]], dropdown!$S$4:$T$15, 2, FALSE),"")</f>
        <v>Q1</v>
      </c>
      <c r="N15" s="29">
        <v>56.06</v>
      </c>
      <c r="O15" s="17" t="str">
        <f>IF($K15="","",VLOOKUP($K15,dropdown!$P$14:$Q$18,2,FALSE))</f>
        <v>Liters</v>
      </c>
      <c r="P15" s="29">
        <v>244.3</v>
      </c>
      <c r="Q15" s="17" t="str">
        <f t="shared" si="0"/>
        <v>Kilometers</v>
      </c>
      <c r="R15" s="195"/>
    </row>
    <row r="16" spans="2:18" x14ac:dyDescent="0.2">
      <c r="B16" s="266" t="s">
        <v>176</v>
      </c>
      <c r="I16" s="194">
        <f t="shared" si="1"/>
        <v>10</v>
      </c>
      <c r="J16" s="57" t="s">
        <v>381</v>
      </c>
      <c r="K16" s="57" t="s">
        <v>63</v>
      </c>
      <c r="L16" s="58" t="s">
        <v>89</v>
      </c>
      <c r="M16" s="18" t="str">
        <f>IF(Fuel_Veh[[#This Row],[Month]]&lt;&gt;"",VLOOKUP(Fuel_Veh[[#This Row],[Month]], dropdown!$S$4:$T$15, 2, FALSE),"")</f>
        <v>Q1</v>
      </c>
      <c r="N16" s="29">
        <v>66</v>
      </c>
      <c r="O16" s="17" t="str">
        <f>IF($K16="","",VLOOKUP($K16,dropdown!$P$14:$Q$18,2,FALSE))</f>
        <v>Liters</v>
      </c>
      <c r="P16" s="29">
        <v>660</v>
      </c>
      <c r="Q16" s="17" t="str">
        <f t="shared" si="0"/>
        <v>Kilometers</v>
      </c>
      <c r="R16" s="195"/>
    </row>
    <row r="17" spans="2:18" x14ac:dyDescent="0.2">
      <c r="B17" s="17" t="s">
        <v>177</v>
      </c>
      <c r="I17" s="194">
        <f t="shared" si="1"/>
        <v>11</v>
      </c>
      <c r="J17" s="57" t="s">
        <v>365</v>
      </c>
      <c r="K17" s="57" t="s">
        <v>63</v>
      </c>
      <c r="L17" s="58" t="s">
        <v>89</v>
      </c>
      <c r="M17" s="18" t="str">
        <f>IF(Fuel_Veh[[#This Row],[Month]]&lt;&gt;"",VLOOKUP(Fuel_Veh[[#This Row],[Month]], dropdown!$S$4:$T$15, 2, FALSE),"")</f>
        <v>Q1</v>
      </c>
      <c r="N17" s="29">
        <v>5.9</v>
      </c>
      <c r="O17" s="17" t="str">
        <f>IF($K17="","",VLOOKUP($K17,dropdown!$P$14:$Q$18,2,FALSE))</f>
        <v>Liters</v>
      </c>
      <c r="P17" s="29">
        <v>59</v>
      </c>
      <c r="Q17" s="17" t="str">
        <f t="shared" si="0"/>
        <v>Kilometers</v>
      </c>
      <c r="R17" s="195"/>
    </row>
    <row r="18" spans="2:18" x14ac:dyDescent="0.2">
      <c r="I18" s="194">
        <f t="shared" si="1"/>
        <v>12</v>
      </c>
      <c r="J18" s="57" t="s">
        <v>381</v>
      </c>
      <c r="K18" s="57" t="s">
        <v>63</v>
      </c>
      <c r="L18" s="58" t="s">
        <v>89</v>
      </c>
      <c r="M18" s="18" t="str">
        <f>IF(Fuel_Veh[[#This Row],[Month]]&lt;&gt;"",VLOOKUP(Fuel_Veh[[#This Row],[Month]], dropdown!$S$4:$T$15, 2, FALSE),"")</f>
        <v>Q1</v>
      </c>
      <c r="N18" s="29">
        <v>105.11</v>
      </c>
      <c r="O18" s="17" t="str">
        <f>IF($K18="","",VLOOKUP($K18,dropdown!$P$14:$Q$18,2,FALSE))</f>
        <v>Liters</v>
      </c>
      <c r="P18" s="29">
        <v>841</v>
      </c>
      <c r="Q18" s="17" t="str">
        <f t="shared" si="0"/>
        <v>Kilometers</v>
      </c>
      <c r="R18" s="195"/>
    </row>
    <row r="19" spans="2:18" x14ac:dyDescent="0.2">
      <c r="I19" s="194">
        <f t="shared" si="1"/>
        <v>13</v>
      </c>
      <c r="J19" s="57" t="s">
        <v>343</v>
      </c>
      <c r="K19" s="57" t="s">
        <v>63</v>
      </c>
      <c r="L19" s="58" t="s">
        <v>362</v>
      </c>
      <c r="M19" s="18" t="str">
        <f>IF(Fuel_Veh[[#This Row],[Month]]&lt;&gt;"",VLOOKUP(Fuel_Veh[[#This Row],[Month]], dropdown!$S$4:$T$15, 2, FALSE),"")</f>
        <v>Q1</v>
      </c>
      <c r="N19" s="29">
        <v>16.260000000000002</v>
      </c>
      <c r="O19" s="17" t="str">
        <f>IF($K19="","",VLOOKUP($K19,dropdown!$P$14:$Q$18,2,FALSE))</f>
        <v>Liters</v>
      </c>
      <c r="P19" s="29">
        <v>48.8</v>
      </c>
      <c r="Q19" s="17" t="str">
        <f t="shared" si="0"/>
        <v>Kilometers</v>
      </c>
      <c r="R19" s="195"/>
    </row>
    <row r="20" spans="2:18" x14ac:dyDescent="0.2">
      <c r="I20" s="194">
        <f t="shared" si="1"/>
        <v>14</v>
      </c>
      <c r="J20" s="57" t="s">
        <v>343</v>
      </c>
      <c r="K20" s="57" t="s">
        <v>63</v>
      </c>
      <c r="L20" s="58" t="s">
        <v>362</v>
      </c>
      <c r="M20" s="18" t="str">
        <f>IF(Fuel_Veh[[#This Row],[Month]]&lt;&gt;"",VLOOKUP(Fuel_Veh[[#This Row],[Month]], dropdown!$S$4:$T$15, 2, FALSE),"")</f>
        <v>Q1</v>
      </c>
      <c r="N20" s="29">
        <v>0</v>
      </c>
      <c r="O20" s="17" t="str">
        <f>IF($K20="","",VLOOKUP($K20,dropdown!$P$14:$Q$18,2,FALSE))</f>
        <v>Liters</v>
      </c>
      <c r="P20" s="29">
        <v>0</v>
      </c>
      <c r="Q20" s="17" t="str">
        <f t="shared" si="0"/>
        <v>Kilometers</v>
      </c>
      <c r="R20" s="195"/>
    </row>
    <row r="21" spans="2:18" x14ac:dyDescent="0.2">
      <c r="I21" s="194">
        <f t="shared" si="1"/>
        <v>15</v>
      </c>
      <c r="J21" s="57" t="s">
        <v>343</v>
      </c>
      <c r="K21" s="57" t="s">
        <v>63</v>
      </c>
      <c r="L21" s="58" t="s">
        <v>362</v>
      </c>
      <c r="M21" s="18" t="str">
        <f>IF(Fuel_Veh[[#This Row],[Month]]&lt;&gt;"",VLOOKUP(Fuel_Veh[[#This Row],[Month]], dropdown!$S$4:$T$15, 2, FALSE),"")</f>
        <v>Q1</v>
      </c>
      <c r="N21" s="29">
        <v>16.29</v>
      </c>
      <c r="O21" s="17" t="str">
        <f>IF($K21="","",VLOOKUP($K21,dropdown!$P$14:$Q$18,2,FALSE))</f>
        <v>Liters</v>
      </c>
      <c r="P21" s="29">
        <v>48.9</v>
      </c>
      <c r="Q21" s="17" t="str">
        <f t="shared" si="0"/>
        <v>Kilometers</v>
      </c>
      <c r="R21" s="195"/>
    </row>
    <row r="22" spans="2:18" x14ac:dyDescent="0.2">
      <c r="I22" s="194">
        <f t="shared" si="1"/>
        <v>16</v>
      </c>
      <c r="J22" s="57" t="s">
        <v>381</v>
      </c>
      <c r="K22" s="57" t="s">
        <v>63</v>
      </c>
      <c r="L22" s="58" t="s">
        <v>362</v>
      </c>
      <c r="M22" s="18" t="str">
        <f>IF(Fuel_Veh[[#This Row],[Month]]&lt;&gt;"",VLOOKUP(Fuel_Veh[[#This Row],[Month]], dropdown!$S$4:$T$15, 2, FALSE),"")</f>
        <v>Q1</v>
      </c>
      <c r="N22" s="29">
        <v>123.1</v>
      </c>
      <c r="O22" s="17" t="str">
        <f>IF($K22="","",VLOOKUP($K22,dropdown!$P$14:$Q$18,2,FALSE))</f>
        <v>Liters</v>
      </c>
      <c r="P22" s="29">
        <v>1231</v>
      </c>
      <c r="Q22" s="17" t="str">
        <f t="shared" si="0"/>
        <v>Kilometers</v>
      </c>
      <c r="R22" s="195"/>
    </row>
    <row r="23" spans="2:18" x14ac:dyDescent="0.2">
      <c r="I23" s="194">
        <f t="shared" si="1"/>
        <v>17</v>
      </c>
      <c r="J23" s="57" t="s">
        <v>365</v>
      </c>
      <c r="K23" s="57" t="s">
        <v>63</v>
      </c>
      <c r="L23" s="58" t="s">
        <v>362</v>
      </c>
      <c r="M23" s="18" t="str">
        <f>IF(Fuel_Veh[[#This Row],[Month]]&lt;&gt;"",VLOOKUP(Fuel_Veh[[#This Row],[Month]], dropdown!$S$4:$T$15, 2, FALSE),"")</f>
        <v>Q1</v>
      </c>
      <c r="N23" s="29">
        <v>101.1</v>
      </c>
      <c r="O23" s="17" t="str">
        <f>IF($K23="","",VLOOKUP($K23,dropdown!$P$14:$Q$18,2,FALSE))</f>
        <v>Liters</v>
      </c>
      <c r="P23" s="29">
        <v>809</v>
      </c>
      <c r="Q23" s="17" t="str">
        <f t="shared" si="0"/>
        <v>Kilometers</v>
      </c>
      <c r="R23" s="195"/>
    </row>
    <row r="24" spans="2:18" x14ac:dyDescent="0.2">
      <c r="I24" s="194">
        <f t="shared" si="1"/>
        <v>18</v>
      </c>
      <c r="J24" s="57" t="s">
        <v>381</v>
      </c>
      <c r="K24" s="57" t="s">
        <v>63</v>
      </c>
      <c r="L24" s="58" t="s">
        <v>362</v>
      </c>
      <c r="M24" s="18" t="str">
        <f>IF(Fuel_Veh[[#This Row],[Month]]&lt;&gt;"",VLOOKUP(Fuel_Veh[[#This Row],[Month]], dropdown!$S$4:$T$15, 2, FALSE),"")</f>
        <v>Q1</v>
      </c>
      <c r="N24" s="29">
        <v>119.65</v>
      </c>
      <c r="O24" s="17" t="str">
        <f>IF($K24="","",VLOOKUP($K24,dropdown!$P$14:$Q$18,2,FALSE))</f>
        <v>Liters</v>
      </c>
      <c r="P24" s="29">
        <v>718</v>
      </c>
      <c r="Q24" s="17" t="str">
        <f t="shared" si="0"/>
        <v>Kilometers</v>
      </c>
      <c r="R24" s="195"/>
    </row>
    <row r="25" spans="2:18" x14ac:dyDescent="0.2">
      <c r="I25" s="194">
        <f t="shared" si="1"/>
        <v>19</v>
      </c>
      <c r="J25" s="57" t="s">
        <v>343</v>
      </c>
      <c r="K25" s="57" t="s">
        <v>63</v>
      </c>
      <c r="L25" s="58" t="s">
        <v>371</v>
      </c>
      <c r="M25" s="18" t="str">
        <f>IF(Fuel_Veh[[#This Row],[Month]]&lt;&gt;"",VLOOKUP(Fuel_Veh[[#This Row],[Month]], dropdown!$S$4:$T$15, 2, FALSE),"")</f>
        <v>Q2</v>
      </c>
      <c r="N25" s="29">
        <v>27.8</v>
      </c>
      <c r="O25" s="17" t="str">
        <f>IF($K25="","",VLOOKUP($K25,dropdown!$P$14:$Q$18,2,FALSE))</f>
        <v>Liters</v>
      </c>
      <c r="P25" s="29">
        <v>83.4</v>
      </c>
      <c r="Q25" s="17" t="str">
        <f t="shared" si="0"/>
        <v>Kilometers</v>
      </c>
      <c r="R25" s="195"/>
    </row>
    <row r="26" spans="2:18" x14ac:dyDescent="0.2">
      <c r="I26" s="194">
        <f t="shared" si="1"/>
        <v>20</v>
      </c>
      <c r="J26" s="57" t="s">
        <v>343</v>
      </c>
      <c r="K26" s="57" t="s">
        <v>63</v>
      </c>
      <c r="L26" s="196" t="s">
        <v>371</v>
      </c>
      <c r="M26" s="18" t="str">
        <f>IF(Fuel_Veh[[#This Row],[Month]]&lt;&gt;"",VLOOKUP(Fuel_Veh[[#This Row],[Month]], dropdown!$S$4:$T$15, 2, FALSE),"")</f>
        <v>Q2</v>
      </c>
      <c r="N26" s="197">
        <v>0</v>
      </c>
      <c r="O26" s="198" t="str">
        <f>IF($K26="","",VLOOKUP($K26,dropdown!$P$14:$Q$18,2,FALSE))</f>
        <v>Liters</v>
      </c>
      <c r="P26" s="197">
        <v>0</v>
      </c>
      <c r="Q26" s="17" t="str">
        <f t="shared" si="0"/>
        <v>Kilometers</v>
      </c>
      <c r="R26" s="199"/>
    </row>
    <row r="27" spans="2:18" x14ac:dyDescent="0.2">
      <c r="I27" s="194">
        <f t="shared" si="1"/>
        <v>21</v>
      </c>
      <c r="J27" s="57" t="s">
        <v>343</v>
      </c>
      <c r="K27" s="57" t="s">
        <v>63</v>
      </c>
      <c r="L27" s="58" t="s">
        <v>371</v>
      </c>
      <c r="M27" s="18" t="str">
        <f>IF(Fuel_Veh[[#This Row],[Month]]&lt;&gt;"",VLOOKUP(Fuel_Veh[[#This Row],[Month]], dropdown!$S$4:$T$15, 2, FALSE),"")</f>
        <v>Q2</v>
      </c>
      <c r="N27" s="29">
        <v>107.76</v>
      </c>
      <c r="O27" s="17" t="str">
        <f>IF($K27="","",VLOOKUP($K27,dropdown!$P$14:$Q$18,2,FALSE))</f>
        <v>Liters</v>
      </c>
      <c r="P27" s="29">
        <v>323.3</v>
      </c>
      <c r="Q27" s="17" t="str">
        <f t="shared" si="0"/>
        <v>Kilometers</v>
      </c>
      <c r="R27" s="195"/>
    </row>
    <row r="28" spans="2:18" x14ac:dyDescent="0.2">
      <c r="I28" s="194">
        <f t="shared" si="1"/>
        <v>22</v>
      </c>
      <c r="J28" s="57" t="s">
        <v>381</v>
      </c>
      <c r="K28" s="57" t="s">
        <v>63</v>
      </c>
      <c r="L28" s="58" t="s">
        <v>371</v>
      </c>
      <c r="M28" s="18" t="str">
        <f>IF(Fuel_Veh[[#This Row],[Month]]&lt;&gt;"",VLOOKUP(Fuel_Veh[[#This Row],[Month]], dropdown!$S$4:$T$15, 2, FALSE),"")</f>
        <v>Q2</v>
      </c>
      <c r="N28" s="29">
        <v>146.96</v>
      </c>
      <c r="O28" s="17" t="str">
        <f>IF($K28="","",VLOOKUP($K28,dropdown!$P$14:$Q$18,2,FALSE))</f>
        <v>Liters</v>
      </c>
      <c r="P28" s="29">
        <v>1176</v>
      </c>
      <c r="Q28" s="17" t="str">
        <f t="shared" si="0"/>
        <v>Kilometers</v>
      </c>
      <c r="R28" s="195"/>
    </row>
    <row r="29" spans="2:18" x14ac:dyDescent="0.2">
      <c r="I29" s="194">
        <f t="shared" si="1"/>
        <v>23</v>
      </c>
      <c r="J29" s="57" t="s">
        <v>365</v>
      </c>
      <c r="K29" s="57" t="s">
        <v>63</v>
      </c>
      <c r="L29" s="58" t="s">
        <v>371</v>
      </c>
      <c r="M29" s="18" t="str">
        <f>IF(Fuel_Veh[[#This Row],[Month]]&lt;&gt;"",VLOOKUP(Fuel_Veh[[#This Row],[Month]], dropdown!$S$4:$T$15, 2, FALSE),"")</f>
        <v>Q2</v>
      </c>
      <c r="N29" s="29">
        <v>35.25</v>
      </c>
      <c r="O29" s="17" t="str">
        <f>IF($K29="","",VLOOKUP($K29,dropdown!$P$14:$Q$18,2,FALSE))</f>
        <v>Liters</v>
      </c>
      <c r="P29" s="29">
        <v>282</v>
      </c>
      <c r="Q29" s="17" t="str">
        <f t="shared" si="0"/>
        <v>Kilometers</v>
      </c>
      <c r="R29" s="195"/>
    </row>
    <row r="30" spans="2:18" x14ac:dyDescent="0.2">
      <c r="I30" s="194">
        <f t="shared" si="1"/>
        <v>24</v>
      </c>
      <c r="J30" s="57" t="s">
        <v>381</v>
      </c>
      <c r="K30" s="345" t="s">
        <v>63</v>
      </c>
      <c r="L30" s="196" t="s">
        <v>371</v>
      </c>
      <c r="M30" s="18" t="str">
        <f>IF(Fuel_Veh[[#This Row],[Month]]&lt;&gt;"",VLOOKUP(Fuel_Veh[[#This Row],[Month]], dropdown!$S$4:$T$15, 2, FALSE),"")</f>
        <v>Q2</v>
      </c>
      <c r="N30" s="197">
        <v>23.9</v>
      </c>
      <c r="O30" s="198" t="str">
        <f>IF($K30="","",VLOOKUP($K30,dropdown!$P$14:$Q$18,2,FALSE))</f>
        <v>Liters</v>
      </c>
      <c r="P30" s="197">
        <v>239</v>
      </c>
      <c r="Q30" s="17" t="str">
        <f t="shared" si="0"/>
        <v>Kilometers</v>
      </c>
      <c r="R30" s="199"/>
    </row>
    <row r="31" spans="2:18" x14ac:dyDescent="0.2">
      <c r="I31" s="194">
        <f t="shared" si="1"/>
        <v>25</v>
      </c>
      <c r="J31" s="57" t="s">
        <v>343</v>
      </c>
      <c r="K31" s="57" t="s">
        <v>63</v>
      </c>
      <c r="L31" s="58" t="s">
        <v>379</v>
      </c>
      <c r="M31" s="18" t="str">
        <f>IF(Fuel_Veh[[#This Row],[Month]]&lt;&gt;"",VLOOKUP(Fuel_Veh[[#This Row],[Month]], dropdown!$S$4:$T$15, 2, FALSE),"")</f>
        <v>Q2</v>
      </c>
      <c r="N31" s="29">
        <v>157.35</v>
      </c>
      <c r="O31" s="17" t="str">
        <f>IF($K31="","",VLOOKUP($K31,dropdown!$P$14:$Q$18,2,FALSE))</f>
        <v>Liters</v>
      </c>
      <c r="P31" s="29">
        <v>314.7</v>
      </c>
      <c r="Q31" s="17" t="str">
        <f t="shared" si="0"/>
        <v>Kilometers</v>
      </c>
      <c r="R31" s="199"/>
    </row>
    <row r="32" spans="2:18" x14ac:dyDescent="0.2">
      <c r="I32" s="194">
        <f t="shared" si="1"/>
        <v>26</v>
      </c>
      <c r="J32" s="57" t="s">
        <v>343</v>
      </c>
      <c r="K32" s="57" t="s">
        <v>63</v>
      </c>
      <c r="L32" s="58" t="s">
        <v>379</v>
      </c>
      <c r="M32" s="18" t="str">
        <f>IF(Fuel_Veh[[#This Row],[Month]]&lt;&gt;"",VLOOKUP(Fuel_Veh[[#This Row],[Month]], dropdown!$S$4:$T$15, 2, FALSE),"")</f>
        <v>Q2</v>
      </c>
      <c r="N32" s="29">
        <v>0</v>
      </c>
      <c r="O32" s="17" t="str">
        <f>IF($K32="","",VLOOKUP($K32,dropdown!$P$14:$Q$18,2,FALSE))</f>
        <v>Liters</v>
      </c>
      <c r="P32" s="29">
        <v>0</v>
      </c>
      <c r="Q32" s="17" t="str">
        <f t="shared" si="0"/>
        <v>Kilometers</v>
      </c>
      <c r="R32" s="199"/>
    </row>
    <row r="33" spans="9:18" x14ac:dyDescent="0.2">
      <c r="I33" s="194">
        <f t="shared" si="1"/>
        <v>27</v>
      </c>
      <c r="J33" s="57" t="s">
        <v>343</v>
      </c>
      <c r="K33" s="57" t="s">
        <v>63</v>
      </c>
      <c r="L33" s="58" t="s">
        <v>379</v>
      </c>
      <c r="M33" s="18" t="str">
        <f>IF(Fuel_Veh[[#This Row],[Month]]&lt;&gt;"",VLOOKUP(Fuel_Veh[[#This Row],[Month]], dropdown!$S$4:$T$15, 2, FALSE),"")</f>
        <v>Q2</v>
      </c>
      <c r="N33" s="29">
        <v>105.09</v>
      </c>
      <c r="O33" s="17" t="str">
        <f>IF($K33="","",VLOOKUP($K33,dropdown!$P$14:$Q$18,2,FALSE))</f>
        <v>Liters</v>
      </c>
      <c r="P33" s="29">
        <v>315.3</v>
      </c>
      <c r="Q33" s="17" t="str">
        <f t="shared" si="0"/>
        <v>Kilometers</v>
      </c>
      <c r="R33" s="199"/>
    </row>
    <row r="34" spans="9:18" x14ac:dyDescent="0.2">
      <c r="I34" s="194">
        <f t="shared" si="1"/>
        <v>28</v>
      </c>
      <c r="J34" s="57" t="s">
        <v>381</v>
      </c>
      <c r="K34" s="57" t="s">
        <v>63</v>
      </c>
      <c r="L34" s="58" t="s">
        <v>379</v>
      </c>
      <c r="M34" s="18" t="str">
        <f>IF(Fuel_Veh[[#This Row],[Month]]&lt;&gt;"",VLOOKUP(Fuel_Veh[[#This Row],[Month]], dropdown!$S$4:$T$15, 2, FALSE),"")</f>
        <v>Q2</v>
      </c>
      <c r="N34" s="29">
        <v>62.53</v>
      </c>
      <c r="O34" s="17" t="str">
        <f>IF($K34="","",VLOOKUP($K34,dropdown!$P$14:$Q$18,2,FALSE))</f>
        <v>Liters</v>
      </c>
      <c r="P34" s="29">
        <v>751</v>
      </c>
      <c r="Q34" s="17" t="str">
        <f t="shared" si="0"/>
        <v>Kilometers</v>
      </c>
      <c r="R34" s="199"/>
    </row>
    <row r="35" spans="9:18" x14ac:dyDescent="0.2">
      <c r="I35" s="194">
        <f t="shared" si="1"/>
        <v>29</v>
      </c>
      <c r="J35" s="57" t="s">
        <v>365</v>
      </c>
      <c r="K35" s="57" t="s">
        <v>63</v>
      </c>
      <c r="L35" s="58" t="s">
        <v>379</v>
      </c>
      <c r="M35" s="18" t="str">
        <f>IF(Fuel_Veh[[#This Row],[Month]]&lt;&gt;"",VLOOKUP(Fuel_Veh[[#This Row],[Month]], dropdown!$S$4:$T$15, 2, FALSE),"")</f>
        <v>Q2</v>
      </c>
      <c r="N35" s="29">
        <v>0</v>
      </c>
      <c r="O35" s="17" t="str">
        <f>IF($K35="","",VLOOKUP($K35,dropdown!$P$14:$Q$18,2,FALSE))</f>
        <v>Liters</v>
      </c>
      <c r="P35" s="29">
        <v>0</v>
      </c>
      <c r="Q35" s="17" t="str">
        <f t="shared" si="0"/>
        <v>Kilometers</v>
      </c>
      <c r="R35" s="199"/>
    </row>
    <row r="36" spans="9:18" x14ac:dyDescent="0.2">
      <c r="I36" s="194">
        <f t="shared" si="1"/>
        <v>30</v>
      </c>
      <c r="J36" s="57" t="s">
        <v>381</v>
      </c>
      <c r="K36" s="57" t="s">
        <v>63</v>
      </c>
      <c r="L36" s="58" t="s">
        <v>379</v>
      </c>
      <c r="M36" s="18" t="str">
        <f>IF(Fuel_Veh[[#This Row],[Month]]&lt;&gt;"",VLOOKUP(Fuel_Veh[[#This Row],[Month]], dropdown!$S$4:$T$15, 2, FALSE),"")</f>
        <v>Q2</v>
      </c>
      <c r="N36" s="29">
        <v>21.9</v>
      </c>
      <c r="O36" s="17" t="str">
        <f>IF($K36="","",VLOOKUP($K36,dropdown!$P$14:$Q$18,2,FALSE))</f>
        <v>Liters</v>
      </c>
      <c r="P36" s="29">
        <v>219</v>
      </c>
      <c r="Q36" s="17" t="str">
        <f t="shared" si="0"/>
        <v>Kilometers</v>
      </c>
      <c r="R36" s="199"/>
    </row>
    <row r="37" spans="9:18" x14ac:dyDescent="0.2">
      <c r="I37" s="194">
        <f t="shared" si="1"/>
        <v>31</v>
      </c>
      <c r="J37" s="57" t="s">
        <v>343</v>
      </c>
      <c r="K37" s="57" t="s">
        <v>63</v>
      </c>
      <c r="L37" s="58" t="s">
        <v>386</v>
      </c>
      <c r="M37" s="18" t="str">
        <f>IF(Fuel_Veh[[#This Row],[Month]]&lt;&gt;"",VLOOKUP(Fuel_Veh[[#This Row],[Month]], dropdown!$S$4:$T$15, 2, FALSE),"")</f>
        <v>Q2</v>
      </c>
      <c r="N37" s="29">
        <v>3.75</v>
      </c>
      <c r="O37" s="17" t="str">
        <f>IF($K37="","",VLOOKUP($K37,dropdown!$P$14:$Q$18,2,FALSE))</f>
        <v>Liters</v>
      </c>
      <c r="P37" s="29">
        <v>7.5</v>
      </c>
      <c r="Q37" s="17" t="str">
        <f t="shared" si="0"/>
        <v>Kilometers</v>
      </c>
      <c r="R37" s="199"/>
    </row>
    <row r="38" spans="9:18" x14ac:dyDescent="0.2">
      <c r="I38" s="194">
        <f t="shared" si="1"/>
        <v>32</v>
      </c>
      <c r="J38" s="57" t="s">
        <v>343</v>
      </c>
      <c r="K38" s="57" t="s">
        <v>63</v>
      </c>
      <c r="L38" s="58" t="s">
        <v>386</v>
      </c>
      <c r="M38" s="18" t="str">
        <f>IF(Fuel_Veh[[#This Row],[Month]]&lt;&gt;"",VLOOKUP(Fuel_Veh[[#This Row],[Month]], dropdown!$S$4:$T$15, 2, FALSE),"")</f>
        <v>Q2</v>
      </c>
      <c r="N38" s="29">
        <v>0</v>
      </c>
      <c r="O38" s="17" t="str">
        <f>IF($K38="","",VLOOKUP($K38,dropdown!$P$14:$Q$18,2,FALSE))</f>
        <v>Liters</v>
      </c>
      <c r="P38" s="29">
        <v>0</v>
      </c>
      <c r="Q38" s="17" t="str">
        <f t="shared" si="0"/>
        <v>Kilometers</v>
      </c>
      <c r="R38" s="199"/>
    </row>
    <row r="39" spans="9:18" x14ac:dyDescent="0.2">
      <c r="I39" s="194">
        <f t="shared" si="1"/>
        <v>33</v>
      </c>
      <c r="J39" s="57" t="s">
        <v>343</v>
      </c>
      <c r="K39" s="57" t="s">
        <v>63</v>
      </c>
      <c r="L39" s="58" t="s">
        <v>386</v>
      </c>
      <c r="M39" s="18" t="str">
        <f>IF(Fuel_Veh[[#This Row],[Month]]&lt;&gt;"",VLOOKUP(Fuel_Veh[[#This Row],[Month]], dropdown!$S$4:$T$15, 2, FALSE),"")</f>
        <v>Q2</v>
      </c>
      <c r="N39" s="29">
        <v>5.22</v>
      </c>
      <c r="O39" s="17" t="str">
        <f>IF($K39="","",VLOOKUP($K39,dropdown!$P$14:$Q$18,2,FALSE))</f>
        <v>Liters</v>
      </c>
      <c r="P39" s="29">
        <v>15.7</v>
      </c>
      <c r="Q39" s="17" t="str">
        <f t="shared" si="0"/>
        <v>Kilometers</v>
      </c>
      <c r="R39" s="199"/>
    </row>
    <row r="40" spans="9:18" x14ac:dyDescent="0.2">
      <c r="I40" s="194">
        <f t="shared" si="1"/>
        <v>34</v>
      </c>
      <c r="J40" s="57" t="s">
        <v>381</v>
      </c>
      <c r="K40" s="57" t="s">
        <v>63</v>
      </c>
      <c r="L40" s="58" t="s">
        <v>386</v>
      </c>
      <c r="M40" s="18" t="str">
        <f>IF(Fuel_Veh[[#This Row],[Month]]&lt;&gt;"",VLOOKUP(Fuel_Veh[[#This Row],[Month]], dropdown!$S$4:$T$15, 2, FALSE),"")</f>
        <v>Q2</v>
      </c>
      <c r="N40" s="29">
        <v>72.099999999999994</v>
      </c>
      <c r="O40" s="17" t="str">
        <f>IF($K40="","",VLOOKUP($K40,dropdown!$P$14:$Q$18,2,FALSE))</f>
        <v>Liters</v>
      </c>
      <c r="P40" s="29">
        <v>721</v>
      </c>
      <c r="Q40" s="17" t="str">
        <f t="shared" si="0"/>
        <v>Kilometers</v>
      </c>
      <c r="R40" s="199"/>
    </row>
    <row r="41" spans="9:18" x14ac:dyDescent="0.2">
      <c r="I41" s="194">
        <f t="shared" si="1"/>
        <v>35</v>
      </c>
      <c r="J41" s="57" t="s">
        <v>365</v>
      </c>
      <c r="K41" s="57" t="s">
        <v>63</v>
      </c>
      <c r="L41" s="58" t="s">
        <v>386</v>
      </c>
      <c r="M41" s="18" t="str">
        <f>IF(Fuel_Veh[[#This Row],[Month]]&lt;&gt;"",VLOOKUP(Fuel_Veh[[#This Row],[Month]], dropdown!$S$4:$T$15, 2, FALSE),"")</f>
        <v>Q2</v>
      </c>
      <c r="N41" s="29">
        <v>48.9</v>
      </c>
      <c r="O41" s="17" t="str">
        <f>IF($K41="","",VLOOKUP($K41,dropdown!$P$14:$Q$18,2,FALSE))</f>
        <v>Liters</v>
      </c>
      <c r="P41" s="29">
        <v>489</v>
      </c>
      <c r="Q41" s="17" t="str">
        <f t="shared" si="0"/>
        <v>Kilometers</v>
      </c>
      <c r="R41" s="199"/>
    </row>
    <row r="42" spans="9:18" x14ac:dyDescent="0.2">
      <c r="I42" s="194">
        <f t="shared" si="1"/>
        <v>36</v>
      </c>
      <c r="J42" s="57" t="s">
        <v>381</v>
      </c>
      <c r="K42" s="57" t="s">
        <v>63</v>
      </c>
      <c r="L42" s="58" t="s">
        <v>386</v>
      </c>
      <c r="M42" s="18" t="str">
        <f>IF(Fuel_Veh[[#This Row],[Month]]&lt;&gt;"",VLOOKUP(Fuel_Veh[[#This Row],[Month]], dropdown!$S$4:$T$15, 2, FALSE),"")</f>
        <v>Q2</v>
      </c>
      <c r="N42" s="29">
        <v>46.49</v>
      </c>
      <c r="O42" s="17" t="str">
        <f>IF($K42="","",VLOOKUP($K42,dropdown!$P$14:$Q$18,2,FALSE))</f>
        <v>Liters</v>
      </c>
      <c r="P42" s="29">
        <v>372</v>
      </c>
      <c r="Q42" s="17" t="str">
        <f t="shared" si="0"/>
        <v>Kilometers</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J22" zoomScale="94" zoomScaleNormal="120" workbookViewId="0">
      <selection activeCell="S34" sqref="S34"/>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2"/>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3"/>
    </row>
    <row r="4" spans="2:31" x14ac:dyDescent="0.2">
      <c r="B4" s="161">
        <f>'1. Data Info and Summary'!$D$2</f>
        <v>0</v>
      </c>
      <c r="C4" s="37"/>
      <c r="D4" s="38" t="str">
        <f>IF('1. Data Info and Summary'!$D$3=0,"-",'1. Data Info and Summary'!$D$3)</f>
        <v>-</v>
      </c>
      <c r="E4" s="37"/>
      <c r="F4" s="37" t="s">
        <v>182</v>
      </c>
      <c r="G4" s="39"/>
      <c r="I4" s="341"/>
      <c r="J4" s="298"/>
      <c r="K4" s="298"/>
      <c r="L4" s="298"/>
      <c r="M4" s="298"/>
      <c r="N4" s="298"/>
      <c r="O4" s="346"/>
      <c r="P4" s="347"/>
      <c r="Q4" s="348"/>
      <c r="R4" s="174"/>
      <c r="S4" s="298"/>
      <c r="T4" s="125"/>
      <c r="U4" s="125"/>
      <c r="V4" s="404"/>
    </row>
    <row r="5" spans="2:31" ht="14" x14ac:dyDescent="0.2">
      <c r="B5" s="271"/>
      <c r="D5" s="271"/>
      <c r="I5" s="301"/>
      <c r="J5" s="302"/>
      <c r="K5" s="302"/>
      <c r="L5" s="302"/>
      <c r="M5" s="302"/>
      <c r="N5" s="302"/>
      <c r="O5" s="303"/>
      <c r="P5" s="304"/>
      <c r="Q5" s="305"/>
      <c r="R5" s="305"/>
      <c r="S5" s="304"/>
      <c r="T5" s="304"/>
      <c r="U5" s="304"/>
      <c r="V5" s="405"/>
    </row>
    <row r="6" spans="2:31" ht="14" x14ac:dyDescent="0.2">
      <c r="B6" s="278" t="s">
        <v>172</v>
      </c>
      <c r="C6" s="445"/>
      <c r="D6" s="446"/>
      <c r="E6" s="446"/>
      <c r="F6" s="446"/>
      <c r="G6" s="447"/>
      <c r="I6" s="298"/>
      <c r="J6" s="298"/>
      <c r="K6" s="298"/>
      <c r="L6" s="298"/>
      <c r="M6" s="298"/>
      <c r="N6" s="298"/>
      <c r="O6" s="298"/>
      <c r="P6" s="298"/>
      <c r="Q6" s="298"/>
      <c r="R6" s="298"/>
      <c r="S6" s="298"/>
      <c r="T6" s="298"/>
      <c r="U6" s="298"/>
      <c r="V6" s="298"/>
    </row>
    <row r="7" spans="2:31" ht="15" customHeight="1" x14ac:dyDescent="0.2">
      <c r="B7" s="278" t="s">
        <v>174</v>
      </c>
      <c r="C7" s="445"/>
      <c r="D7" s="446"/>
      <c r="E7" s="446"/>
      <c r="F7" s="446"/>
      <c r="G7" s="447"/>
      <c r="I7" s="417" t="s">
        <v>154</v>
      </c>
      <c r="J7" s="416"/>
      <c r="K7" s="414"/>
      <c r="L7" s="414"/>
      <c r="M7" s="414"/>
      <c r="N7" s="414"/>
      <c r="O7" s="452" t="s">
        <v>183</v>
      </c>
      <c r="P7" s="452"/>
      <c r="Q7" s="453" t="s">
        <v>184</v>
      </c>
      <c r="R7" s="454"/>
      <c r="S7" s="455" t="s">
        <v>86</v>
      </c>
      <c r="T7" s="456"/>
      <c r="U7" s="456"/>
      <c r="V7" s="415"/>
      <c r="W7" s="414"/>
      <c r="X7" s="56"/>
      <c r="AB7" s="11"/>
      <c r="AE7" s="11"/>
    </row>
    <row r="8" spans="2:31" ht="25.5" customHeight="1" x14ac:dyDescent="0.2">
      <c r="I8" s="419" t="s">
        <v>173</v>
      </c>
      <c r="J8" s="419" t="s">
        <v>72</v>
      </c>
      <c r="K8" s="420" t="s">
        <v>75</v>
      </c>
      <c r="L8" s="420" t="s">
        <v>78</v>
      </c>
      <c r="M8" s="420" t="s">
        <v>81</v>
      </c>
      <c r="N8" s="420" t="s">
        <v>84</v>
      </c>
      <c r="O8" s="421" t="s">
        <v>185</v>
      </c>
      <c r="P8" s="398" t="s">
        <v>957</v>
      </c>
      <c r="Q8" s="394" t="s">
        <v>92</v>
      </c>
      <c r="R8" s="394" t="s">
        <v>186</v>
      </c>
      <c r="S8" s="394" t="s">
        <v>96</v>
      </c>
      <c r="T8" s="395" t="s">
        <v>187</v>
      </c>
      <c r="U8" s="400" t="s">
        <v>100</v>
      </c>
      <c r="V8" s="415" t="s">
        <v>43</v>
      </c>
      <c r="W8" s="414" t="s">
        <v>54</v>
      </c>
      <c r="X8" s="56"/>
      <c r="AB8" s="11"/>
      <c r="AE8" s="11"/>
    </row>
    <row r="9" spans="2:31" ht="14" x14ac:dyDescent="0.2">
      <c r="B9" s="14" t="s">
        <v>71</v>
      </c>
      <c r="C9" s="14"/>
      <c r="D9" s="14"/>
      <c r="E9" s="14"/>
      <c r="F9" s="14"/>
      <c r="G9" s="14"/>
      <c r="I9" s="396">
        <f>IF($K9="","",1)</f>
        <v>1</v>
      </c>
      <c r="J9" s="433" t="s">
        <v>1432</v>
      </c>
      <c r="K9" s="391" t="s">
        <v>200</v>
      </c>
      <c r="L9" s="392">
        <v>1</v>
      </c>
      <c r="M9" s="393" t="s">
        <v>380</v>
      </c>
      <c r="N9" s="418" t="s">
        <v>352</v>
      </c>
      <c r="O9" s="397"/>
      <c r="P9" s="398"/>
      <c r="Q9" s="397"/>
      <c r="R9" s="399"/>
      <c r="S9" s="397"/>
      <c r="T9" s="399"/>
      <c r="U9" s="399"/>
      <c r="V9" s="429"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4" t="s">
        <v>1433</v>
      </c>
      <c r="K10" s="57" t="s">
        <v>200</v>
      </c>
      <c r="L10" s="28">
        <v>1</v>
      </c>
      <c r="M10" s="264" t="s">
        <v>380</v>
      </c>
      <c r="N10" s="401" t="s">
        <v>352</v>
      </c>
      <c r="O10" s="397"/>
      <c r="P10" s="398"/>
      <c r="Q10" s="397" t="s">
        <v>338</v>
      </c>
      <c r="R10" s="399">
        <v>7</v>
      </c>
      <c r="S10" s="397"/>
      <c r="T10" s="399"/>
      <c r="U10" s="399"/>
      <c r="V10" s="429" t="str">
        <f>IFERROR(VLOOKUP($O10, dropdown!$S$4:$T$15, 2, FALSE),
 IFERROR(VLOOKUP($Q10, dropdown!$S$4:$T$15, 2, FALSE),
 IFERROR(VLOOKUP($S10, dropdown!$S$4:$T$15, 2, FALSE),
 "")))</f>
        <v>Q1</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4" t="s">
        <v>1434</v>
      </c>
      <c r="K11" s="57" t="s">
        <v>200</v>
      </c>
      <c r="L11" s="28">
        <v>1</v>
      </c>
      <c r="M11" s="264" t="s">
        <v>380</v>
      </c>
      <c r="N11" s="401" t="s">
        <v>352</v>
      </c>
      <c r="O11" s="397"/>
      <c r="P11" s="398"/>
      <c r="Q11" s="397"/>
      <c r="R11" s="399"/>
      <c r="S11" s="397"/>
      <c r="T11" s="399"/>
      <c r="U11" s="399"/>
      <c r="V11" s="429"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1</v>
      </c>
      <c r="E12" s="176">
        <f>SUMIFS($L$9:$L$107,$N$9:$N$107,$B12,$V$9:$V$107,$E$10)</f>
        <v>1</v>
      </c>
      <c r="F12" s="176">
        <f>SUMIFS($L$9:$L$107,$N$9:$N$107,$B12,$V$9:$V$107,$F$10)</f>
        <v>0</v>
      </c>
      <c r="G12" s="176">
        <f>SUMIFS($L$9:$L$107,$N$9:$N$107,$B12,$V$9:$V$107,$G$10)</f>
        <v>0</v>
      </c>
      <c r="I12" s="18">
        <f t="shared" si="0"/>
        <v>4</v>
      </c>
      <c r="J12" s="434" t="s">
        <v>1435</v>
      </c>
      <c r="K12" s="57" t="s">
        <v>200</v>
      </c>
      <c r="L12" s="28">
        <v>1</v>
      </c>
      <c r="M12" s="264" t="s">
        <v>380</v>
      </c>
      <c r="N12" s="401" t="s">
        <v>352</v>
      </c>
      <c r="O12" s="397"/>
      <c r="P12" s="398"/>
      <c r="Q12" s="397"/>
      <c r="R12" s="399"/>
      <c r="S12" s="397"/>
      <c r="T12" s="399"/>
      <c r="U12" s="399"/>
      <c r="V12" s="429"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1</v>
      </c>
      <c r="F13" s="176">
        <f>SUMIFS($L$9:$L$107,$N$9:$N$107,$B13,$V$9:$V$107,$F$10)</f>
        <v>3</v>
      </c>
      <c r="G13" s="176">
        <f>SUMIFS($L$9:$L$107,$N$9:$N$107,$B13,$V$9:$V$107,$G$10)</f>
        <v>0</v>
      </c>
      <c r="I13" s="18">
        <f t="shared" si="0"/>
        <v>5</v>
      </c>
      <c r="J13" s="434" t="s">
        <v>1436</v>
      </c>
      <c r="K13" s="57" t="s">
        <v>200</v>
      </c>
      <c r="L13" s="28">
        <v>1</v>
      </c>
      <c r="M13" s="264" t="s">
        <v>380</v>
      </c>
      <c r="N13" s="401" t="s">
        <v>352</v>
      </c>
      <c r="O13" s="397"/>
      <c r="P13" s="398"/>
      <c r="Q13" s="397"/>
      <c r="R13" s="399"/>
      <c r="S13" s="397"/>
      <c r="T13" s="399"/>
      <c r="U13" s="399"/>
      <c r="V13" s="429" t="str">
        <f>IFERROR(VLOOKUP($O13, dropdown!$S$4:$T$15, 2, FALSE),
 IFERROR(VLOOKUP($Q13, dropdown!$S$4:$T$15, 2, FALSE),
 IFERROR(VLOOKUP($S13, dropdown!$S$4:$T$15, 2, FALSE),
 "")))</f>
        <v/>
      </c>
      <c r="W13" s="28"/>
      <c r="AB13" s="11"/>
      <c r="AE13" s="11"/>
    </row>
    <row r="14" spans="2:31" ht="17" customHeight="1" x14ac:dyDescent="0.2">
      <c r="D14" s="177" t="str">
        <f>IF(SUM(D$11:D$13)&gt;0,"x","")</f>
        <v>x</v>
      </c>
      <c r="E14" s="177" t="str">
        <f t="shared" ref="E14:G14" si="1">IF(SUM(E$11:E$13)&gt;0,"x","")</f>
        <v>x</v>
      </c>
      <c r="F14" s="177" t="str">
        <f t="shared" si="1"/>
        <v>x</v>
      </c>
      <c r="G14" s="177" t="str">
        <f t="shared" si="1"/>
        <v/>
      </c>
      <c r="I14" s="18">
        <f t="shared" si="0"/>
        <v>6</v>
      </c>
      <c r="J14" s="434" t="s">
        <v>1437</v>
      </c>
      <c r="K14" s="57" t="s">
        <v>200</v>
      </c>
      <c r="L14" s="28">
        <v>1</v>
      </c>
      <c r="M14" s="264" t="s">
        <v>380</v>
      </c>
      <c r="N14" s="401" t="s">
        <v>352</v>
      </c>
      <c r="O14" s="397"/>
      <c r="P14" s="398"/>
      <c r="Q14" s="397"/>
      <c r="R14" s="399"/>
      <c r="S14" s="397"/>
      <c r="T14" s="399"/>
      <c r="U14" s="399"/>
      <c r="V14" s="429"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4" t="s">
        <v>1438</v>
      </c>
      <c r="K15" s="57" t="s">
        <v>200</v>
      </c>
      <c r="L15" s="28">
        <v>1</v>
      </c>
      <c r="M15" s="264" t="s">
        <v>380</v>
      </c>
      <c r="N15" s="401" t="s">
        <v>352</v>
      </c>
      <c r="O15" s="397"/>
      <c r="P15" s="398"/>
      <c r="Q15" s="397"/>
      <c r="R15" s="399"/>
      <c r="S15" s="397"/>
      <c r="T15" s="399"/>
      <c r="U15" s="399"/>
      <c r="V15" s="429" t="str">
        <f>IFERROR(VLOOKUP($O15, dropdown!$S$4:$T$15, 2, FALSE),
 IFERROR(VLOOKUP($Q15, dropdown!$S$4:$T$15, 2, FALSE),
 IFERROR(VLOOKUP($S15, dropdown!$S$4:$T$15, 2, FALSE),
 "")))</f>
        <v/>
      </c>
      <c r="W15" s="28"/>
      <c r="AB15" s="11"/>
      <c r="AE15" s="11"/>
    </row>
    <row r="16" spans="2:31" ht="14" x14ac:dyDescent="0.2">
      <c r="B16" s="120" t="s">
        <v>175</v>
      </c>
      <c r="I16" s="18">
        <f t="shared" si="0"/>
        <v>8</v>
      </c>
      <c r="J16" s="434" t="s">
        <v>1439</v>
      </c>
      <c r="K16" s="57" t="s">
        <v>200</v>
      </c>
      <c r="L16" s="28">
        <v>1</v>
      </c>
      <c r="M16" s="264" t="s">
        <v>380</v>
      </c>
      <c r="N16" s="401" t="s">
        <v>352</v>
      </c>
      <c r="O16" s="397"/>
      <c r="P16" s="398"/>
      <c r="Q16" s="397"/>
      <c r="R16" s="399"/>
      <c r="S16" s="397"/>
      <c r="T16" s="399"/>
      <c r="U16" s="399"/>
      <c r="V16" s="429" t="str">
        <f>IFERROR(VLOOKUP($O16, dropdown!$S$4:$T$15, 2, FALSE),
 IFERROR(VLOOKUP($Q16, dropdown!$S$4:$T$15, 2, FALSE),
 IFERROR(VLOOKUP($S16, dropdown!$S$4:$T$15, 2, FALSE),
 "")))</f>
        <v/>
      </c>
      <c r="W16" s="28"/>
      <c r="AB16" s="11"/>
      <c r="AE16" s="11"/>
    </row>
    <row r="17" spans="2:31" ht="15" customHeight="1" x14ac:dyDescent="0.2">
      <c r="B17" s="121" t="s">
        <v>176</v>
      </c>
      <c r="I17" s="18">
        <f t="shared" si="0"/>
        <v>9</v>
      </c>
      <c r="J17" s="434" t="s">
        <v>1440</v>
      </c>
      <c r="K17" s="57" t="s">
        <v>200</v>
      </c>
      <c r="L17" s="28">
        <v>1</v>
      </c>
      <c r="M17" s="264" t="s">
        <v>380</v>
      </c>
      <c r="N17" s="401" t="s">
        <v>352</v>
      </c>
      <c r="O17" s="397"/>
      <c r="P17" s="398"/>
      <c r="Q17" s="397"/>
      <c r="R17" s="399"/>
      <c r="S17" s="397"/>
      <c r="T17" s="399"/>
      <c r="U17" s="399"/>
      <c r="V17" s="429" t="str">
        <f>IFERROR(VLOOKUP($O17, dropdown!$S$4:$T$15, 2, FALSE),
 IFERROR(VLOOKUP($Q17, dropdown!$S$4:$T$15, 2, FALSE),
 IFERROR(VLOOKUP($S17, dropdown!$S$4:$T$15, 2, FALSE),
 "")))</f>
        <v/>
      </c>
      <c r="W17" s="28"/>
      <c r="AB17" s="11"/>
      <c r="AE17" s="11"/>
    </row>
    <row r="18" spans="2:31" ht="15" customHeight="1" x14ac:dyDescent="0.2">
      <c r="B18" s="122" t="s">
        <v>177</v>
      </c>
      <c r="I18" s="18">
        <f t="shared" si="0"/>
        <v>10</v>
      </c>
      <c r="J18" s="434" t="s">
        <v>1441</v>
      </c>
      <c r="K18" s="57" t="s">
        <v>200</v>
      </c>
      <c r="L18" s="28">
        <v>1</v>
      </c>
      <c r="M18" s="264" t="s">
        <v>380</v>
      </c>
      <c r="N18" s="401" t="s">
        <v>352</v>
      </c>
      <c r="O18" s="397"/>
      <c r="P18" s="398"/>
      <c r="Q18" s="397"/>
      <c r="R18" s="399"/>
      <c r="S18" s="397"/>
      <c r="T18" s="399"/>
      <c r="U18" s="399"/>
      <c r="V18" s="429" t="str">
        <f>IFERROR(VLOOKUP($O18, dropdown!$S$4:$T$15, 2, FALSE),
 IFERROR(VLOOKUP($Q18, dropdown!$S$4:$T$15, 2, FALSE),
 IFERROR(VLOOKUP($S18, dropdown!$S$4:$T$15, 2, FALSE),
 "")))</f>
        <v/>
      </c>
      <c r="W18" s="28"/>
      <c r="AB18" s="11"/>
      <c r="AE18" s="11"/>
    </row>
    <row r="19" spans="2:31" ht="27" x14ac:dyDescent="0.2">
      <c r="B19" s="382" t="s">
        <v>190</v>
      </c>
      <c r="I19" s="18">
        <f t="shared" si="0"/>
        <v>11</v>
      </c>
      <c r="J19" s="434" t="s">
        <v>1442</v>
      </c>
      <c r="K19" s="57" t="s">
        <v>200</v>
      </c>
      <c r="L19" s="28">
        <v>1</v>
      </c>
      <c r="M19" s="264" t="s">
        <v>380</v>
      </c>
      <c r="N19" s="401" t="s">
        <v>352</v>
      </c>
      <c r="O19" s="397"/>
      <c r="P19" s="398"/>
      <c r="Q19" s="397"/>
      <c r="R19" s="399"/>
      <c r="S19" s="397"/>
      <c r="T19" s="399"/>
      <c r="U19" s="399"/>
      <c r="V19" s="429" t="str">
        <f>IFERROR(VLOOKUP($O19, dropdown!$S$4:$T$15, 2, FALSE),
 IFERROR(VLOOKUP($Q19, dropdown!$S$4:$T$15, 2, FALSE),
 IFERROR(VLOOKUP($S19, dropdown!$S$4:$T$15, 2, FALSE),
 "")))</f>
        <v/>
      </c>
      <c r="W19" s="28"/>
      <c r="AB19" s="11"/>
      <c r="AE19" s="11"/>
    </row>
    <row r="20" spans="2:31" ht="14" x14ac:dyDescent="0.2">
      <c r="I20" s="18">
        <f t="shared" si="0"/>
        <v>12</v>
      </c>
      <c r="J20" s="434" t="s">
        <v>1443</v>
      </c>
      <c r="K20" s="57" t="s">
        <v>200</v>
      </c>
      <c r="L20" s="28">
        <v>1</v>
      </c>
      <c r="M20" s="264" t="s">
        <v>380</v>
      </c>
      <c r="N20" s="401" t="s">
        <v>352</v>
      </c>
      <c r="O20" s="397"/>
      <c r="P20" s="398"/>
      <c r="Q20" s="397"/>
      <c r="R20" s="399"/>
      <c r="S20" s="397"/>
      <c r="T20" s="399"/>
      <c r="U20" s="399"/>
      <c r="V20" s="429" t="str">
        <f>IFERROR(VLOOKUP($O20, dropdown!$S$4:$T$15, 2, FALSE),
 IFERROR(VLOOKUP($Q20, dropdown!$S$4:$T$15, 2, FALSE),
 IFERROR(VLOOKUP($S20, dropdown!$S$4:$T$15, 2, FALSE),
 "")))</f>
        <v/>
      </c>
      <c r="W20" s="28"/>
      <c r="AB20" s="11"/>
      <c r="AE20" s="11"/>
    </row>
    <row r="21" spans="2:31" ht="14" x14ac:dyDescent="0.2">
      <c r="B21" s="166" t="s">
        <v>191</v>
      </c>
      <c r="I21" s="18">
        <f t="shared" si="0"/>
        <v>13</v>
      </c>
      <c r="J21" s="434" t="s">
        <v>1444</v>
      </c>
      <c r="K21" s="57" t="s">
        <v>200</v>
      </c>
      <c r="L21" s="28">
        <v>1</v>
      </c>
      <c r="M21" s="264" t="s">
        <v>380</v>
      </c>
      <c r="N21" s="401" t="s">
        <v>352</v>
      </c>
      <c r="O21" s="397"/>
      <c r="P21" s="398"/>
      <c r="Q21" s="397"/>
      <c r="R21" s="399"/>
      <c r="S21" s="397"/>
      <c r="T21" s="399"/>
      <c r="U21" s="399"/>
      <c r="V21" s="429" t="str">
        <f>IFERROR(VLOOKUP($O21, dropdown!$S$4:$T$15, 2, FALSE),
 IFERROR(VLOOKUP($Q21, dropdown!$S$4:$T$15, 2, FALSE),
 IFERROR(VLOOKUP($S21, dropdown!$S$4:$T$15, 2, FALSE),
 "")))</f>
        <v/>
      </c>
      <c r="W21" s="28"/>
      <c r="AB21" s="11"/>
      <c r="AE21" s="11"/>
    </row>
    <row r="22" spans="2:31" ht="14" x14ac:dyDescent="0.2">
      <c r="B22" s="457" t="s">
        <v>192</v>
      </c>
      <c r="C22" s="448" t="s">
        <v>5</v>
      </c>
      <c r="D22" s="449"/>
      <c r="E22" s="448" t="s">
        <v>193</v>
      </c>
      <c r="F22" s="450"/>
      <c r="G22" s="450"/>
      <c r="I22" s="18">
        <f t="shared" si="0"/>
        <v>14</v>
      </c>
      <c r="J22" s="434" t="s">
        <v>1445</v>
      </c>
      <c r="K22" s="57" t="s">
        <v>200</v>
      </c>
      <c r="L22" s="28">
        <v>1</v>
      </c>
      <c r="M22" s="264" t="s">
        <v>380</v>
      </c>
      <c r="N22" s="401" t="s">
        <v>352</v>
      </c>
      <c r="O22" s="397"/>
      <c r="P22" s="398"/>
      <c r="Q22" s="397"/>
      <c r="R22" s="399"/>
      <c r="S22" s="397"/>
      <c r="T22" s="399"/>
      <c r="U22" s="399"/>
      <c r="V22" s="429" t="str">
        <f>IFERROR(VLOOKUP($O22, dropdown!$S$4:$T$15, 2, FALSE),
 IFERROR(VLOOKUP($Q22, dropdown!$S$4:$T$15, 2, FALSE),
 IFERROR(VLOOKUP($S22, dropdown!$S$4:$T$15, 2, FALSE),
 "")))</f>
        <v/>
      </c>
      <c r="W22" s="28"/>
      <c r="AB22" s="11"/>
      <c r="AE22" s="11"/>
    </row>
    <row r="23" spans="2:31" ht="14" x14ac:dyDescent="0.2">
      <c r="B23" s="458"/>
      <c r="C23" s="448"/>
      <c r="D23" s="449"/>
      <c r="E23" s="448"/>
      <c r="F23" s="450"/>
      <c r="G23" s="450"/>
      <c r="I23" s="18">
        <f t="shared" si="0"/>
        <v>15</v>
      </c>
      <c r="J23" s="434" t="s">
        <v>1446</v>
      </c>
      <c r="K23" s="57" t="s">
        <v>200</v>
      </c>
      <c r="L23" s="28">
        <v>1</v>
      </c>
      <c r="M23" s="264" t="s">
        <v>380</v>
      </c>
      <c r="N23" s="401" t="s">
        <v>86</v>
      </c>
      <c r="O23" s="397"/>
      <c r="P23" s="398"/>
      <c r="Q23" s="397"/>
      <c r="R23" s="399"/>
      <c r="S23" s="397" t="s">
        <v>386</v>
      </c>
      <c r="T23" s="399">
        <v>1.3</v>
      </c>
      <c r="U23" s="399">
        <v>1.3</v>
      </c>
      <c r="V23" s="429" t="str">
        <f>IFERROR(VLOOKUP($O23, dropdown!$S$4:$T$15, 2, FALSE),
 IFERROR(VLOOKUP($Q23, dropdown!$S$4:$T$15, 2, FALSE),
 IFERROR(VLOOKUP($S23, dropdown!$S$4:$T$15, 2, FALSE),
 "")))</f>
        <v>Q2</v>
      </c>
      <c r="W23" s="28" t="s">
        <v>1465</v>
      </c>
      <c r="AB23" s="11"/>
      <c r="AE23" s="11"/>
    </row>
    <row r="24" spans="2:31" ht="14" x14ac:dyDescent="0.2">
      <c r="B24" s="451" t="s">
        <v>194</v>
      </c>
      <c r="C24" s="451" t="s">
        <v>195</v>
      </c>
      <c r="D24" s="451"/>
      <c r="E24" s="451" t="s">
        <v>196</v>
      </c>
      <c r="F24" s="451"/>
      <c r="G24" s="451"/>
      <c r="I24" s="18">
        <f t="shared" si="0"/>
        <v>16</v>
      </c>
      <c r="J24" s="434" t="s">
        <v>1447</v>
      </c>
      <c r="K24" s="57" t="s">
        <v>200</v>
      </c>
      <c r="L24" s="28">
        <v>1</v>
      </c>
      <c r="M24" s="264" t="s">
        <v>380</v>
      </c>
      <c r="N24" s="401" t="s">
        <v>352</v>
      </c>
      <c r="O24" s="397"/>
      <c r="P24" s="398"/>
      <c r="Q24" s="397"/>
      <c r="R24" s="399"/>
      <c r="S24" s="397"/>
      <c r="T24" s="399"/>
      <c r="U24" s="399"/>
      <c r="V24" s="429" t="str">
        <f>IFERROR(VLOOKUP($O24, dropdown!$S$4:$T$15, 2, FALSE),
 IFERROR(VLOOKUP($Q24, dropdown!$S$4:$T$15, 2, FALSE),
 IFERROR(VLOOKUP($S24, dropdown!$S$4:$T$15, 2, FALSE),
 "")))</f>
        <v/>
      </c>
      <c r="W24" s="28"/>
      <c r="X24" s="56"/>
      <c r="AB24" s="11"/>
      <c r="AE24" s="11"/>
    </row>
    <row r="25" spans="2:31" ht="14" x14ac:dyDescent="0.2">
      <c r="B25" s="451"/>
      <c r="C25" s="451"/>
      <c r="D25" s="451"/>
      <c r="E25" s="451"/>
      <c r="F25" s="451"/>
      <c r="G25" s="451"/>
      <c r="I25" s="18">
        <f t="shared" si="0"/>
        <v>17</v>
      </c>
      <c r="J25" s="434" t="s">
        <v>1458</v>
      </c>
      <c r="K25" s="57" t="s">
        <v>200</v>
      </c>
      <c r="L25" s="28">
        <v>1</v>
      </c>
      <c r="M25" s="264" t="s">
        <v>380</v>
      </c>
      <c r="N25" s="401" t="s">
        <v>352</v>
      </c>
      <c r="O25" s="397"/>
      <c r="P25" s="398"/>
      <c r="Q25" s="397"/>
      <c r="R25" s="399"/>
      <c r="S25" s="397"/>
      <c r="T25" s="399"/>
      <c r="U25" s="399"/>
      <c r="V25" s="429" t="str">
        <f>IFERROR(VLOOKUP($O25, dropdown!$S$4:$T$15, 2, FALSE),
 IFERROR(VLOOKUP($Q25, dropdown!$S$4:$T$15, 2, FALSE),
 IFERROR(VLOOKUP($S25, dropdown!$S$4:$T$15, 2, FALSE),
 "")))</f>
        <v/>
      </c>
      <c r="W25" s="28"/>
      <c r="X25" s="56"/>
      <c r="AB25" s="11"/>
      <c r="AE25" s="11"/>
    </row>
    <row r="26" spans="2:31" ht="14" x14ac:dyDescent="0.2">
      <c r="B26" s="451" t="s">
        <v>197</v>
      </c>
      <c r="C26" s="451" t="s">
        <v>198</v>
      </c>
      <c r="D26" s="451"/>
      <c r="E26" s="451" t="s">
        <v>199</v>
      </c>
      <c r="F26" s="451"/>
      <c r="G26" s="451"/>
      <c r="I26" s="18">
        <f t="shared" si="0"/>
        <v>18</v>
      </c>
      <c r="J26" s="434" t="s">
        <v>1459</v>
      </c>
      <c r="K26" s="57" t="s">
        <v>200</v>
      </c>
      <c r="L26" s="28">
        <v>1</v>
      </c>
      <c r="M26" s="264" t="s">
        <v>380</v>
      </c>
      <c r="N26" s="401" t="s">
        <v>352</v>
      </c>
      <c r="O26" s="397"/>
      <c r="P26" s="398"/>
      <c r="Q26" s="397"/>
      <c r="R26" s="399"/>
      <c r="S26" s="397"/>
      <c r="T26" s="399"/>
      <c r="U26" s="399"/>
      <c r="V26" s="429" t="str">
        <f>IFERROR(VLOOKUP($O26, dropdown!$S$4:$T$15, 2, FALSE),
 IFERROR(VLOOKUP($Q26, dropdown!$S$4:$T$15, 2, FALSE),
 IFERROR(VLOOKUP($S26, dropdown!$S$4:$T$15, 2, FALSE),
 "")))</f>
        <v/>
      </c>
      <c r="W26" s="28"/>
      <c r="X26" s="56"/>
      <c r="AB26" s="11"/>
      <c r="AE26" s="11"/>
    </row>
    <row r="27" spans="2:31" ht="14" x14ac:dyDescent="0.2">
      <c r="B27" s="451"/>
      <c r="C27" s="451"/>
      <c r="D27" s="451"/>
      <c r="E27" s="451"/>
      <c r="F27" s="451"/>
      <c r="G27" s="451"/>
      <c r="I27" s="18">
        <f t="shared" si="0"/>
        <v>19</v>
      </c>
      <c r="J27" s="434" t="s">
        <v>1448</v>
      </c>
      <c r="K27" s="57" t="s">
        <v>200</v>
      </c>
      <c r="L27" s="28">
        <v>1</v>
      </c>
      <c r="M27" s="264" t="s">
        <v>380</v>
      </c>
      <c r="N27" s="401" t="s">
        <v>352</v>
      </c>
      <c r="O27" s="397"/>
      <c r="P27" s="398"/>
      <c r="Q27" s="397"/>
      <c r="R27" s="399"/>
      <c r="S27" s="397"/>
      <c r="T27" s="399"/>
      <c r="U27" s="399"/>
      <c r="V27" s="429" t="str">
        <f>IFERROR(VLOOKUP($O27, dropdown!$S$4:$T$15, 2, FALSE),
 IFERROR(VLOOKUP($Q27, dropdown!$S$4:$T$15, 2, FALSE),
 IFERROR(VLOOKUP($S27, dropdown!$S$4:$T$15, 2, FALSE),
 "")))</f>
        <v/>
      </c>
      <c r="W27" s="28"/>
      <c r="X27" s="56"/>
      <c r="AB27" s="11"/>
      <c r="AE27" s="11"/>
    </row>
    <row r="28" spans="2:31" ht="14" x14ac:dyDescent="0.2">
      <c r="B28" s="451" t="s">
        <v>200</v>
      </c>
      <c r="C28" s="451" t="s">
        <v>201</v>
      </c>
      <c r="D28" s="451"/>
      <c r="E28" s="451" t="s">
        <v>202</v>
      </c>
      <c r="F28" s="451"/>
      <c r="G28" s="451"/>
      <c r="I28" s="18">
        <f t="shared" si="0"/>
        <v>20</v>
      </c>
      <c r="J28" s="434" t="s">
        <v>1449</v>
      </c>
      <c r="K28" s="57" t="s">
        <v>200</v>
      </c>
      <c r="L28" s="28">
        <v>1</v>
      </c>
      <c r="M28" s="264" t="s">
        <v>380</v>
      </c>
      <c r="N28" s="401" t="s">
        <v>352</v>
      </c>
      <c r="O28" s="397"/>
      <c r="P28" s="398"/>
      <c r="Q28" s="397"/>
      <c r="R28" s="399"/>
      <c r="S28" s="397"/>
      <c r="T28" s="399"/>
      <c r="U28" s="399"/>
      <c r="V28" s="429" t="str">
        <f>IFERROR(VLOOKUP($O28, dropdown!$S$4:$T$15, 2, FALSE),
 IFERROR(VLOOKUP($Q28, dropdown!$S$4:$T$15, 2, FALSE),
 IFERROR(VLOOKUP($S28, dropdown!$S$4:$T$15, 2, FALSE),
 "")))</f>
        <v/>
      </c>
      <c r="W28" s="28"/>
      <c r="X28" s="56"/>
      <c r="AB28" s="11"/>
      <c r="AE28" s="11"/>
    </row>
    <row r="29" spans="2:31" ht="14" x14ac:dyDescent="0.2">
      <c r="B29" s="451"/>
      <c r="C29" s="451"/>
      <c r="D29" s="451"/>
      <c r="E29" s="451"/>
      <c r="F29" s="451"/>
      <c r="G29" s="451"/>
      <c r="I29" s="18">
        <f t="shared" si="0"/>
        <v>21</v>
      </c>
      <c r="J29" s="434" t="s">
        <v>1450</v>
      </c>
      <c r="K29" s="57" t="s">
        <v>200</v>
      </c>
      <c r="L29" s="28">
        <v>1</v>
      </c>
      <c r="M29" s="264" t="s">
        <v>380</v>
      </c>
      <c r="N29" s="401" t="s">
        <v>352</v>
      </c>
      <c r="O29" s="397"/>
      <c r="P29" s="398"/>
      <c r="Q29" s="397"/>
      <c r="R29" s="399"/>
      <c r="S29" s="397"/>
      <c r="T29" s="399"/>
      <c r="U29" s="399"/>
      <c r="V29" s="429" t="str">
        <f>IFERROR(VLOOKUP($O29, dropdown!$S$4:$T$15, 2, FALSE),
 IFERROR(VLOOKUP($Q29, dropdown!$S$4:$T$15, 2, FALSE),
 IFERROR(VLOOKUP($S29, dropdown!$S$4:$T$15, 2, FALSE),
 "")))</f>
        <v/>
      </c>
      <c r="W29" s="28"/>
      <c r="X29" s="56"/>
      <c r="AB29" s="11"/>
      <c r="AE29" s="11"/>
    </row>
    <row r="30" spans="2:31" ht="14" x14ac:dyDescent="0.2">
      <c r="B30" s="451" t="s">
        <v>203</v>
      </c>
      <c r="C30" s="451" t="s">
        <v>204</v>
      </c>
      <c r="D30" s="451"/>
      <c r="E30" s="451" t="s">
        <v>205</v>
      </c>
      <c r="F30" s="451"/>
      <c r="G30" s="451"/>
      <c r="I30" s="18">
        <f t="shared" si="0"/>
        <v>22</v>
      </c>
      <c r="J30" s="434" t="s">
        <v>1462</v>
      </c>
      <c r="K30" s="57" t="s">
        <v>200</v>
      </c>
      <c r="L30" s="28">
        <v>1</v>
      </c>
      <c r="M30" s="264" t="s">
        <v>380</v>
      </c>
      <c r="N30" s="401" t="s">
        <v>352</v>
      </c>
      <c r="O30" s="397"/>
      <c r="P30" s="398"/>
      <c r="Q30" s="397"/>
      <c r="R30" s="399"/>
      <c r="S30" s="397"/>
      <c r="T30" s="399"/>
      <c r="U30" s="399"/>
      <c r="V30" s="429" t="str">
        <f>IFERROR(VLOOKUP($O30, dropdown!$S$4:$T$15, 2, FALSE),
 IFERROR(VLOOKUP($Q30, dropdown!$S$4:$T$15, 2, FALSE),
 IFERROR(VLOOKUP($S30, dropdown!$S$4:$T$15, 2, FALSE),
 "")))</f>
        <v/>
      </c>
      <c r="W30" s="28"/>
      <c r="X30" s="56"/>
      <c r="AB30" s="11"/>
      <c r="AE30" s="11"/>
    </row>
    <row r="31" spans="2:31" ht="14" x14ac:dyDescent="0.2">
      <c r="B31" s="451"/>
      <c r="C31" s="451"/>
      <c r="D31" s="451"/>
      <c r="E31" s="451"/>
      <c r="F31" s="451"/>
      <c r="G31" s="451"/>
      <c r="I31" s="18">
        <f t="shared" si="0"/>
        <v>23</v>
      </c>
      <c r="J31" s="434" t="s">
        <v>1463</v>
      </c>
      <c r="K31" s="57" t="s">
        <v>200</v>
      </c>
      <c r="L31" s="28">
        <v>1</v>
      </c>
      <c r="M31" s="264" t="s">
        <v>380</v>
      </c>
      <c r="N31" s="401" t="s">
        <v>352</v>
      </c>
      <c r="O31" s="397"/>
      <c r="P31" s="398"/>
      <c r="Q31" s="397" t="s">
        <v>386</v>
      </c>
      <c r="R31" s="399">
        <v>6</v>
      </c>
      <c r="S31" s="397"/>
      <c r="T31" s="399"/>
      <c r="U31" s="399"/>
      <c r="V31" s="429" t="str">
        <f>IFERROR(VLOOKUP($O31, dropdown!$S$4:$T$15, 2, FALSE),
 IFERROR(VLOOKUP($Q31, dropdown!$S$4:$T$15, 2, FALSE),
 IFERROR(VLOOKUP($S31, dropdown!$S$4:$T$15, 2, FALSE),
 "")))</f>
        <v>Q2</v>
      </c>
      <c r="W31" s="28"/>
      <c r="X31" s="56"/>
      <c r="AB31" s="11"/>
      <c r="AE31" s="11"/>
    </row>
    <row r="32" spans="2:31" ht="22.5" customHeight="1" x14ac:dyDescent="0.2">
      <c r="I32" s="18">
        <f t="shared" si="0"/>
        <v>24</v>
      </c>
      <c r="J32" s="434" t="s">
        <v>1451</v>
      </c>
      <c r="K32" s="57" t="s">
        <v>200</v>
      </c>
      <c r="L32" s="28">
        <v>1</v>
      </c>
      <c r="M32" s="264" t="s">
        <v>380</v>
      </c>
      <c r="N32" s="401" t="s">
        <v>352</v>
      </c>
      <c r="O32" s="397"/>
      <c r="P32" s="398"/>
      <c r="Q32" s="397"/>
      <c r="R32" s="399"/>
      <c r="S32" s="397"/>
      <c r="T32" s="399"/>
      <c r="U32" s="399"/>
      <c r="V32" s="429" t="str">
        <f>IFERROR(VLOOKUP($O32, dropdown!$S$4:$T$15, 2, FALSE),
 IFERROR(VLOOKUP($Q32, dropdown!$S$4:$T$15, 2, FALSE),
 IFERROR(VLOOKUP($S32, dropdown!$S$4:$T$15, 2, FALSE),
 "")))</f>
        <v/>
      </c>
      <c r="W32" s="28"/>
      <c r="X32" s="56"/>
      <c r="AB32" s="11"/>
      <c r="AE32" s="11"/>
    </row>
    <row r="33" spans="9:31" ht="14" x14ac:dyDescent="0.2">
      <c r="I33" s="18">
        <f t="shared" si="0"/>
        <v>25</v>
      </c>
      <c r="J33" s="434" t="s">
        <v>1452</v>
      </c>
      <c r="K33" s="57" t="s">
        <v>200</v>
      </c>
      <c r="L33" s="28">
        <v>1</v>
      </c>
      <c r="M33" s="264" t="s">
        <v>380</v>
      </c>
      <c r="N33" s="401" t="s">
        <v>352</v>
      </c>
      <c r="O33" s="397"/>
      <c r="P33" s="398"/>
      <c r="Q33" s="397"/>
      <c r="R33" s="399"/>
      <c r="S33" s="397"/>
      <c r="T33" s="399"/>
      <c r="U33" s="399"/>
      <c r="V33" s="429" t="str">
        <f>IFERROR(VLOOKUP($O33, dropdown!$S$4:$T$15, 2, FALSE),
 IFERROR(VLOOKUP($Q33, dropdown!$S$4:$T$15, 2, FALSE),
 IFERROR(VLOOKUP($S33, dropdown!$S$4:$T$15, 2, FALSE),
 "")))</f>
        <v/>
      </c>
      <c r="W33" s="28"/>
      <c r="X33" s="56"/>
      <c r="AB33" s="11"/>
      <c r="AE33" s="11"/>
    </row>
    <row r="34" spans="9:31" ht="15" customHeight="1" x14ac:dyDescent="0.2">
      <c r="I34" s="18">
        <f t="shared" si="0"/>
        <v>26</v>
      </c>
      <c r="J34" s="434" t="s">
        <v>1453</v>
      </c>
      <c r="K34" s="57" t="s">
        <v>200</v>
      </c>
      <c r="L34" s="28">
        <v>1</v>
      </c>
      <c r="M34" s="264" t="s">
        <v>380</v>
      </c>
      <c r="N34" s="401" t="s">
        <v>352</v>
      </c>
      <c r="O34" s="397"/>
      <c r="P34" s="398"/>
      <c r="Q34" s="397"/>
      <c r="R34" s="399"/>
      <c r="S34" s="397"/>
      <c r="T34" s="399"/>
      <c r="U34" s="399"/>
      <c r="V34" s="429" t="str">
        <f>IFERROR(VLOOKUP($O34, dropdown!$S$4:$T$15, 2, FALSE),
 IFERROR(VLOOKUP($Q34, dropdown!$S$4:$T$15, 2, FALSE),
 IFERROR(VLOOKUP($S34, dropdown!$S$4:$T$15, 2, FALSE),
 "")))</f>
        <v/>
      </c>
      <c r="W34" s="28"/>
      <c r="X34" s="56"/>
      <c r="AB34" s="11"/>
      <c r="AE34" s="11"/>
    </row>
    <row r="35" spans="9:31" ht="14" x14ac:dyDescent="0.2">
      <c r="I35" s="18">
        <f t="shared" si="0"/>
        <v>27</v>
      </c>
      <c r="J35" s="434" t="s">
        <v>1454</v>
      </c>
      <c r="K35" s="57" t="s">
        <v>200</v>
      </c>
      <c r="L35" s="28">
        <v>1</v>
      </c>
      <c r="M35" s="264" t="s">
        <v>380</v>
      </c>
      <c r="N35" s="401" t="s">
        <v>352</v>
      </c>
      <c r="O35" s="397"/>
      <c r="P35" s="398"/>
      <c r="Q35" s="397"/>
      <c r="R35" s="399"/>
      <c r="S35" s="397"/>
      <c r="T35" s="399"/>
      <c r="U35" s="399"/>
      <c r="V35" s="429" t="str">
        <f>IFERROR(VLOOKUP($O35, dropdown!$S$4:$T$15, 2, FALSE),
 IFERROR(VLOOKUP($Q35, dropdown!$S$4:$T$15, 2, FALSE),
 IFERROR(VLOOKUP($S35, dropdown!$S$4:$T$15, 2, FALSE),
 "")))</f>
        <v/>
      </c>
      <c r="W35" s="28"/>
      <c r="X35" s="56"/>
      <c r="AB35" s="11"/>
      <c r="AE35" s="11"/>
    </row>
    <row r="36" spans="9:31" ht="14" x14ac:dyDescent="0.2">
      <c r="I36" s="18">
        <f t="shared" si="0"/>
        <v>28</v>
      </c>
      <c r="J36" s="434" t="s">
        <v>1460</v>
      </c>
      <c r="K36" s="57" t="s">
        <v>200</v>
      </c>
      <c r="L36" s="28">
        <v>1</v>
      </c>
      <c r="M36" s="264" t="s">
        <v>380</v>
      </c>
      <c r="N36" s="401" t="s">
        <v>352</v>
      </c>
      <c r="O36" s="397"/>
      <c r="P36" s="398"/>
      <c r="Q36" s="397"/>
      <c r="R36" s="399"/>
      <c r="S36" s="397"/>
      <c r="T36" s="399"/>
      <c r="U36" s="399"/>
      <c r="V36" s="429" t="str">
        <f>IFERROR(VLOOKUP($O36, dropdown!$S$4:$T$15, 2, FALSE),
 IFERROR(VLOOKUP($Q36, dropdown!$S$4:$T$15, 2, FALSE),
 IFERROR(VLOOKUP($S36, dropdown!$S$4:$T$15, 2, FALSE),
 "")))</f>
        <v/>
      </c>
      <c r="W36" s="28"/>
      <c r="X36" s="56"/>
      <c r="AB36" s="11"/>
      <c r="AE36" s="11"/>
    </row>
    <row r="37" spans="9:31" ht="14" x14ac:dyDescent="0.2">
      <c r="I37" s="18">
        <f t="shared" si="0"/>
        <v>29</v>
      </c>
      <c r="J37" s="434" t="s">
        <v>1461</v>
      </c>
      <c r="K37" s="57" t="s">
        <v>200</v>
      </c>
      <c r="L37" s="28">
        <v>1</v>
      </c>
      <c r="M37" s="264" t="s">
        <v>380</v>
      </c>
      <c r="N37" s="401" t="s">
        <v>352</v>
      </c>
      <c r="O37" s="397"/>
      <c r="P37" s="398"/>
      <c r="Q37" s="397"/>
      <c r="R37" s="399"/>
      <c r="S37" s="397"/>
      <c r="T37" s="399"/>
      <c r="U37" s="399"/>
      <c r="V37" s="429" t="str">
        <f>IFERROR(VLOOKUP($O37, dropdown!$S$4:$T$15, 2, FALSE),
 IFERROR(VLOOKUP($Q37, dropdown!$S$4:$T$15, 2, FALSE),
 IFERROR(VLOOKUP($S37, dropdown!$S$4:$T$15, 2, FALSE),
 "")))</f>
        <v/>
      </c>
      <c r="W37" s="28"/>
      <c r="X37" s="56"/>
      <c r="AB37" s="11"/>
      <c r="AE37" s="11"/>
    </row>
    <row r="38" spans="9:31" ht="14" x14ac:dyDescent="0.2">
      <c r="I38" s="18">
        <f t="shared" si="0"/>
        <v>30</v>
      </c>
      <c r="J38" s="434" t="s">
        <v>1455</v>
      </c>
      <c r="K38" s="57" t="s">
        <v>200</v>
      </c>
      <c r="L38" s="28">
        <v>1</v>
      </c>
      <c r="M38" s="264" t="s">
        <v>380</v>
      </c>
      <c r="N38" s="401" t="s">
        <v>352</v>
      </c>
      <c r="O38" s="397"/>
      <c r="P38" s="398"/>
      <c r="Q38" s="397"/>
      <c r="R38" s="399"/>
      <c r="S38" s="397"/>
      <c r="T38" s="399"/>
      <c r="U38" s="399"/>
      <c r="V38" s="429" t="str">
        <f>IFERROR(VLOOKUP($O38, dropdown!$S$4:$T$15, 2, FALSE),
 IFERROR(VLOOKUP($Q38, dropdown!$S$4:$T$15, 2, FALSE),
 IFERROR(VLOOKUP($S38, dropdown!$S$4:$T$15, 2, FALSE),
 "")))</f>
        <v/>
      </c>
      <c r="W38" s="28"/>
      <c r="X38" s="56"/>
      <c r="AB38" s="11"/>
      <c r="AE38" s="11"/>
    </row>
    <row r="39" spans="9:31" ht="14" x14ac:dyDescent="0.2">
      <c r="I39" s="18">
        <f t="shared" si="0"/>
        <v>31</v>
      </c>
      <c r="J39" s="434" t="s">
        <v>1456</v>
      </c>
      <c r="K39" s="57" t="s">
        <v>200</v>
      </c>
      <c r="L39" s="28">
        <v>1</v>
      </c>
      <c r="M39" s="264" t="s">
        <v>363</v>
      </c>
      <c r="N39" s="401" t="s">
        <v>86</v>
      </c>
      <c r="O39" s="397"/>
      <c r="P39" s="398"/>
      <c r="Q39" s="397"/>
      <c r="R39" s="399"/>
      <c r="S39" s="397" t="s">
        <v>390</v>
      </c>
      <c r="T39" s="399">
        <v>0.5</v>
      </c>
      <c r="U39" s="399">
        <v>0.5</v>
      </c>
      <c r="V39" s="429" t="str">
        <f>IFERROR(VLOOKUP($O39, dropdown!$S$4:$T$15, 2, FALSE),
 IFERROR(VLOOKUP($Q39, dropdown!$S$4:$T$15, 2, FALSE),
 IFERROR(VLOOKUP($S39, dropdown!$S$4:$T$15, 2, FALSE),
 "")))</f>
        <v>Q3</v>
      </c>
      <c r="W39" s="28" t="s">
        <v>1464</v>
      </c>
      <c r="X39" s="56"/>
      <c r="AB39" s="11"/>
      <c r="AE39" s="11"/>
    </row>
    <row r="40" spans="9:31" ht="14" x14ac:dyDescent="0.2">
      <c r="I40" s="18">
        <f t="shared" si="0"/>
        <v>32</v>
      </c>
      <c r="J40" s="434" t="s">
        <v>1457</v>
      </c>
      <c r="K40" s="57" t="s">
        <v>200</v>
      </c>
      <c r="L40" s="28">
        <v>1</v>
      </c>
      <c r="M40" s="264" t="s">
        <v>363</v>
      </c>
      <c r="N40" s="401" t="s">
        <v>86</v>
      </c>
      <c r="O40" s="397"/>
      <c r="P40" s="398"/>
      <c r="Q40" s="397"/>
      <c r="R40" s="399"/>
      <c r="S40" s="397" t="s">
        <v>390</v>
      </c>
      <c r="T40" s="399">
        <v>0.5</v>
      </c>
      <c r="U40" s="399">
        <v>0.5</v>
      </c>
      <c r="V40" s="429" t="str">
        <f>IFERROR(VLOOKUP($O40, dropdown!$S$4:$T$15, 2, FALSE),
 IFERROR(VLOOKUP($Q40, dropdown!$S$4:$T$15, 2, FALSE),
 IFERROR(VLOOKUP($S40, dropdown!$S$4:$T$15, 2, FALSE),
 "")))</f>
        <v>Q3</v>
      </c>
      <c r="W40" s="28"/>
      <c r="X40" s="56"/>
      <c r="AB40" s="11"/>
      <c r="AE40" s="11"/>
    </row>
    <row r="41" spans="9:31" ht="14" x14ac:dyDescent="0.2">
      <c r="I41" s="18">
        <f t="shared" si="0"/>
        <v>33</v>
      </c>
      <c r="J41" s="434" t="s">
        <v>1456</v>
      </c>
      <c r="K41" s="57" t="s">
        <v>200</v>
      </c>
      <c r="L41" s="28">
        <v>1</v>
      </c>
      <c r="M41" s="264" t="s">
        <v>363</v>
      </c>
      <c r="N41" s="401" t="s">
        <v>86</v>
      </c>
      <c r="O41" s="397"/>
      <c r="P41" s="398"/>
      <c r="Q41" s="397"/>
      <c r="R41" s="399"/>
      <c r="S41" s="397" t="s">
        <v>390</v>
      </c>
      <c r="T41" s="399">
        <v>0.5</v>
      </c>
      <c r="U41" s="399">
        <v>0.5</v>
      </c>
      <c r="V41" s="429" t="str">
        <f>IFERROR(VLOOKUP($O41, dropdown!$S$4:$T$15, 2, FALSE),
 IFERROR(VLOOKUP($Q41, dropdown!$S$4:$T$15, 2, FALSE),
 IFERROR(VLOOKUP($S41, dropdown!$S$4:$T$15, 2, FALSE),
 "")))</f>
        <v>Q3</v>
      </c>
      <c r="W41" s="28"/>
      <c r="X41" s="56"/>
      <c r="AB41" s="11"/>
      <c r="AE41" s="11"/>
    </row>
    <row r="42" spans="9:31" ht="14" x14ac:dyDescent="0.2">
      <c r="I42" s="18" t="str">
        <f t="shared" ref="I42:I73" si="2">IF($K42="","",$I41+1)</f>
        <v/>
      </c>
      <c r="J42" s="434"/>
      <c r="K42" s="57"/>
      <c r="L42" s="28"/>
      <c r="M42" s="264"/>
      <c r="N42" s="401"/>
      <c r="O42" s="397"/>
      <c r="P42" s="398"/>
      <c r="Q42" s="397"/>
      <c r="R42" s="399"/>
      <c r="S42" s="397"/>
      <c r="T42" s="399"/>
      <c r="U42" s="399"/>
      <c r="V42" s="429" t="str">
        <f>IFERROR(VLOOKUP($O42, dropdown!$S$4:$T$15, 2, FALSE),
 IFERROR(VLOOKUP($Q42, dropdown!$S$4:$T$15, 2, FALSE),
 IFERROR(VLOOKUP($S42, dropdown!$S$4:$T$15, 2, FALSE),
 "")))</f>
        <v/>
      </c>
      <c r="W42" s="28"/>
      <c r="X42" s="56"/>
      <c r="AB42" s="11"/>
      <c r="AE42" s="11"/>
    </row>
    <row r="43" spans="9:31" ht="14" x14ac:dyDescent="0.2">
      <c r="I43" s="18" t="str">
        <f t="shared" si="2"/>
        <v/>
      </c>
      <c r="J43" s="434"/>
      <c r="K43" s="57"/>
      <c r="L43" s="28"/>
      <c r="M43" s="264"/>
      <c r="N43" s="401"/>
      <c r="O43" s="397"/>
      <c r="P43" s="398"/>
      <c r="Q43" s="397"/>
      <c r="R43" s="399"/>
      <c r="S43" s="397"/>
      <c r="T43" s="399"/>
      <c r="U43" s="399"/>
      <c r="V43" s="429" t="str">
        <f>IFERROR(VLOOKUP($O43, dropdown!$S$4:$T$15, 2, FALSE),
 IFERROR(VLOOKUP($Q43, dropdown!$S$4:$T$15, 2, FALSE),
 IFERROR(VLOOKUP($S43, dropdown!$S$4:$T$15, 2, FALSE),
 "")))</f>
        <v/>
      </c>
      <c r="W43" s="28"/>
      <c r="X43" s="56"/>
      <c r="AB43" s="11"/>
      <c r="AE43" s="11"/>
    </row>
    <row r="44" spans="9:31" ht="14" x14ac:dyDescent="0.2">
      <c r="I44" s="18" t="str">
        <f t="shared" si="2"/>
        <v/>
      </c>
      <c r="J44" s="434"/>
      <c r="K44" s="57"/>
      <c r="L44" s="28"/>
      <c r="M44" s="264"/>
      <c r="N44" s="401"/>
      <c r="O44" s="397"/>
      <c r="P44" s="398"/>
      <c r="Q44" s="397"/>
      <c r="R44" s="399"/>
      <c r="S44" s="397"/>
      <c r="T44" s="399"/>
      <c r="U44" s="399"/>
      <c r="V44" s="429" t="str">
        <f>IFERROR(VLOOKUP($O44, dropdown!$S$4:$T$15, 2, FALSE),
 IFERROR(VLOOKUP($Q44, dropdown!$S$4:$T$15, 2, FALSE),
 IFERROR(VLOOKUP($S44, dropdown!$S$4:$T$15, 2, FALSE),
 "")))</f>
        <v/>
      </c>
      <c r="W44" s="28"/>
      <c r="X44" s="56"/>
      <c r="AB44" s="11"/>
      <c r="AE44" s="11"/>
    </row>
    <row r="45" spans="9:31" ht="14" x14ac:dyDescent="0.2">
      <c r="I45" s="18" t="str">
        <f t="shared" si="2"/>
        <v/>
      </c>
      <c r="J45" s="434"/>
      <c r="K45" s="57"/>
      <c r="L45" s="28"/>
      <c r="M45" s="264"/>
      <c r="N45" s="401"/>
      <c r="O45" s="397"/>
      <c r="P45" s="398"/>
      <c r="Q45" s="397"/>
      <c r="R45" s="399"/>
      <c r="S45" s="397"/>
      <c r="T45" s="399"/>
      <c r="U45" s="399"/>
      <c r="V45" s="429" t="str">
        <f>IFERROR(VLOOKUP($O45, dropdown!$S$4:$T$15, 2, FALSE),
 IFERROR(VLOOKUP($Q45, dropdown!$S$4:$T$15, 2, FALSE),
 IFERROR(VLOOKUP($S45, dropdown!$S$4:$T$15, 2, FALSE),
 "")))</f>
        <v/>
      </c>
      <c r="W45" s="28"/>
      <c r="X45" s="56"/>
      <c r="AB45" s="11"/>
      <c r="AE45" s="11"/>
    </row>
    <row r="46" spans="9:31" ht="14" x14ac:dyDescent="0.2">
      <c r="I46" s="18" t="str">
        <f t="shared" si="2"/>
        <v/>
      </c>
      <c r="J46" s="434"/>
      <c r="K46" s="57"/>
      <c r="L46" s="28"/>
      <c r="M46" s="264"/>
      <c r="N46" s="401"/>
      <c r="O46" s="397"/>
      <c r="P46" s="398"/>
      <c r="Q46" s="397"/>
      <c r="R46" s="399"/>
      <c r="S46" s="397"/>
      <c r="T46" s="399"/>
      <c r="U46" s="399"/>
      <c r="V46" s="429" t="str">
        <f>IFERROR(VLOOKUP($O46, dropdown!$S$4:$T$15, 2, FALSE),
 IFERROR(VLOOKUP($Q46, dropdown!$S$4:$T$15, 2, FALSE),
 IFERROR(VLOOKUP($S46, dropdown!$S$4:$T$15, 2, FALSE),
 "")))</f>
        <v/>
      </c>
      <c r="W46" s="28"/>
      <c r="X46" s="56"/>
      <c r="AB46" s="11"/>
      <c r="AE46" s="11"/>
    </row>
    <row r="47" spans="9:31" ht="14" x14ac:dyDescent="0.2">
      <c r="I47" s="18" t="str">
        <f t="shared" si="2"/>
        <v/>
      </c>
      <c r="J47" s="434"/>
      <c r="K47" s="57"/>
      <c r="L47" s="28"/>
      <c r="M47" s="264"/>
      <c r="N47" s="401"/>
      <c r="O47" s="397"/>
      <c r="P47" s="398"/>
      <c r="Q47" s="397"/>
      <c r="R47" s="399"/>
      <c r="S47" s="397"/>
      <c r="T47" s="399"/>
      <c r="U47" s="399"/>
      <c r="V47" s="429" t="str">
        <f>IFERROR(VLOOKUP($O47, dropdown!$S$4:$T$15, 2, FALSE),
 IFERROR(VLOOKUP($Q47, dropdown!$S$4:$T$15, 2, FALSE),
 IFERROR(VLOOKUP($S47, dropdown!$S$4:$T$15, 2, FALSE),
 "")))</f>
        <v/>
      </c>
      <c r="W47" s="28"/>
      <c r="X47" s="56"/>
      <c r="AB47" s="11"/>
      <c r="AE47" s="11"/>
    </row>
    <row r="48" spans="9:31" ht="14" x14ac:dyDescent="0.2">
      <c r="I48" s="18" t="str">
        <f t="shared" si="2"/>
        <v/>
      </c>
      <c r="J48" s="434"/>
      <c r="K48" s="57"/>
      <c r="L48" s="28"/>
      <c r="M48" s="264"/>
      <c r="N48" s="401"/>
      <c r="O48" s="397"/>
      <c r="P48" s="398"/>
      <c r="Q48" s="397"/>
      <c r="R48" s="399"/>
      <c r="S48" s="397"/>
      <c r="T48" s="399"/>
      <c r="U48" s="399"/>
      <c r="V48" s="429" t="str">
        <f>IFERROR(VLOOKUP($O48, dropdown!$S$4:$T$15, 2, FALSE),
 IFERROR(VLOOKUP($Q48, dropdown!$S$4:$T$15, 2, FALSE),
 IFERROR(VLOOKUP($S48, dropdown!$S$4:$T$15, 2, FALSE),
 "")))</f>
        <v/>
      </c>
      <c r="W48" s="28"/>
      <c r="X48" s="56"/>
      <c r="AB48" s="11"/>
      <c r="AE48" s="11"/>
    </row>
    <row r="49" spans="9:31" ht="14" x14ac:dyDescent="0.2">
      <c r="I49" s="18" t="str">
        <f t="shared" si="2"/>
        <v/>
      </c>
      <c r="J49" s="434"/>
      <c r="K49" s="57"/>
      <c r="L49" s="28"/>
      <c r="M49" s="264"/>
      <c r="N49" s="401"/>
      <c r="O49" s="397"/>
      <c r="P49" s="398"/>
      <c r="Q49" s="397"/>
      <c r="R49" s="399"/>
      <c r="S49" s="397"/>
      <c r="T49" s="399"/>
      <c r="U49" s="399"/>
      <c r="V49" s="429" t="str">
        <f>IFERROR(VLOOKUP($O49, dropdown!$S$4:$T$15, 2, FALSE),
 IFERROR(VLOOKUP($Q49, dropdown!$S$4:$T$15, 2, FALSE),
 IFERROR(VLOOKUP($S49, dropdown!$S$4:$T$15, 2, FALSE),
 "")))</f>
        <v/>
      </c>
      <c r="W49" s="28"/>
      <c r="X49" s="56"/>
      <c r="AB49" s="11"/>
      <c r="AE49" s="11"/>
    </row>
    <row r="50" spans="9:31" ht="14" x14ac:dyDescent="0.2">
      <c r="I50" s="18" t="str">
        <f t="shared" si="2"/>
        <v/>
      </c>
      <c r="J50" s="434"/>
      <c r="K50" s="57"/>
      <c r="L50" s="28"/>
      <c r="M50" s="264"/>
      <c r="N50" s="401"/>
      <c r="O50" s="397"/>
      <c r="P50" s="398"/>
      <c r="Q50" s="397"/>
      <c r="R50" s="399"/>
      <c r="S50" s="397"/>
      <c r="T50" s="399"/>
      <c r="U50" s="399"/>
      <c r="V50" s="429" t="str">
        <f>IFERROR(VLOOKUP($O50, dropdown!$S$4:$T$15, 2, FALSE),
 IFERROR(VLOOKUP($Q50, dropdown!$S$4:$T$15, 2, FALSE),
 IFERROR(VLOOKUP($S50, dropdown!$S$4:$T$15, 2, FALSE),
 "")))</f>
        <v/>
      </c>
      <c r="W50" s="28"/>
      <c r="X50" s="56"/>
      <c r="AB50" s="11"/>
      <c r="AE50" s="11"/>
    </row>
    <row r="51" spans="9:31" ht="14" x14ac:dyDescent="0.2">
      <c r="I51" s="18" t="str">
        <f t="shared" si="2"/>
        <v/>
      </c>
      <c r="J51" s="434"/>
      <c r="K51" s="57"/>
      <c r="L51" s="28"/>
      <c r="M51" s="264"/>
      <c r="N51" s="401"/>
      <c r="O51" s="397"/>
      <c r="P51" s="398"/>
      <c r="Q51" s="397"/>
      <c r="R51" s="399"/>
      <c r="S51" s="397"/>
      <c r="T51" s="399"/>
      <c r="U51" s="399"/>
      <c r="V51" s="429" t="str">
        <f>IFERROR(VLOOKUP($O51, dropdown!$S$4:$T$15, 2, FALSE),
 IFERROR(VLOOKUP($Q51, dropdown!$S$4:$T$15, 2, FALSE),
 IFERROR(VLOOKUP($S51, dropdown!$S$4:$T$15, 2, FALSE),
 "")))</f>
        <v/>
      </c>
      <c r="W51" s="28"/>
      <c r="X51" s="56"/>
      <c r="AB51" s="11"/>
      <c r="AE51" s="11"/>
    </row>
    <row r="52" spans="9:31" ht="14" x14ac:dyDescent="0.2">
      <c r="I52" s="18" t="str">
        <f t="shared" si="2"/>
        <v/>
      </c>
      <c r="J52" s="434"/>
      <c r="K52" s="57"/>
      <c r="L52" s="28"/>
      <c r="M52" s="264"/>
      <c r="N52" s="401"/>
      <c r="O52" s="397"/>
      <c r="P52" s="398"/>
      <c r="Q52" s="397"/>
      <c r="R52" s="399"/>
      <c r="S52" s="397"/>
      <c r="T52" s="399"/>
      <c r="U52" s="399"/>
      <c r="V52" s="429" t="str">
        <f>IFERROR(VLOOKUP($O52, dropdown!$S$4:$T$15, 2, FALSE),
 IFERROR(VLOOKUP($Q52, dropdown!$S$4:$T$15, 2, FALSE),
 IFERROR(VLOOKUP($S52, dropdown!$S$4:$T$15, 2, FALSE),
 "")))</f>
        <v/>
      </c>
      <c r="W52" s="28"/>
      <c r="X52" s="56"/>
      <c r="AB52" s="11"/>
      <c r="AE52" s="11"/>
    </row>
    <row r="53" spans="9:31" ht="14" x14ac:dyDescent="0.2">
      <c r="I53" s="18" t="str">
        <f t="shared" si="2"/>
        <v/>
      </c>
      <c r="J53" s="434"/>
      <c r="K53" s="57"/>
      <c r="L53" s="28"/>
      <c r="M53" s="264"/>
      <c r="N53" s="401"/>
      <c r="O53" s="397"/>
      <c r="P53" s="398"/>
      <c r="Q53" s="397"/>
      <c r="R53" s="399"/>
      <c r="S53" s="397"/>
      <c r="T53" s="399"/>
      <c r="U53" s="399"/>
      <c r="V53" s="429" t="str">
        <f>IFERROR(VLOOKUP($O53, dropdown!$S$4:$T$15, 2, FALSE),
 IFERROR(VLOOKUP($Q53, dropdown!$S$4:$T$15, 2, FALSE),
 IFERROR(VLOOKUP($S53, dropdown!$S$4:$T$15, 2, FALSE),
 "")))</f>
        <v/>
      </c>
      <c r="W53" s="28"/>
      <c r="X53" s="56"/>
      <c r="AB53" s="11"/>
      <c r="AE53" s="11"/>
    </row>
    <row r="54" spans="9:31" ht="14" x14ac:dyDescent="0.2">
      <c r="I54" s="18" t="str">
        <f t="shared" si="2"/>
        <v/>
      </c>
      <c r="J54" s="434"/>
      <c r="K54" s="57"/>
      <c r="L54" s="28"/>
      <c r="M54" s="264"/>
      <c r="N54" s="401"/>
      <c r="O54" s="397"/>
      <c r="P54" s="398"/>
      <c r="Q54" s="397"/>
      <c r="R54" s="399"/>
      <c r="S54" s="397"/>
      <c r="T54" s="399"/>
      <c r="U54" s="399"/>
      <c r="V54" s="429" t="str">
        <f>IFERROR(VLOOKUP($O54, dropdown!$S$4:$T$15, 2, FALSE),
 IFERROR(VLOOKUP($Q54, dropdown!$S$4:$T$15, 2, FALSE),
 IFERROR(VLOOKUP($S54, dropdown!$S$4:$T$15, 2, FALSE),
 "")))</f>
        <v/>
      </c>
      <c r="W54" s="28"/>
      <c r="X54" s="56"/>
      <c r="AB54" s="11"/>
      <c r="AE54" s="11"/>
    </row>
    <row r="55" spans="9:31" ht="14" x14ac:dyDescent="0.2">
      <c r="I55" s="18" t="str">
        <f t="shared" si="2"/>
        <v/>
      </c>
      <c r="J55" s="434"/>
      <c r="K55" s="57"/>
      <c r="L55" s="28"/>
      <c r="M55" s="264"/>
      <c r="N55" s="401"/>
      <c r="O55" s="397"/>
      <c r="P55" s="398"/>
      <c r="Q55" s="397"/>
      <c r="R55" s="399"/>
      <c r="S55" s="397"/>
      <c r="T55" s="399"/>
      <c r="U55" s="399"/>
      <c r="V55" s="429" t="str">
        <f>IFERROR(VLOOKUP($O55, dropdown!$S$4:$T$15, 2, FALSE),
 IFERROR(VLOOKUP($Q55, dropdown!$S$4:$T$15, 2, FALSE),
 IFERROR(VLOOKUP($S55, dropdown!$S$4:$T$15, 2, FALSE),
 "")))</f>
        <v/>
      </c>
      <c r="W55" s="28"/>
      <c r="X55" s="56"/>
      <c r="AB55" s="11"/>
      <c r="AE55" s="11"/>
    </row>
    <row r="56" spans="9:31" ht="14" x14ac:dyDescent="0.2">
      <c r="I56" s="18" t="str">
        <f t="shared" si="2"/>
        <v/>
      </c>
      <c r="J56" s="434"/>
      <c r="K56" s="57"/>
      <c r="L56" s="28"/>
      <c r="M56" s="264"/>
      <c r="N56" s="401"/>
      <c r="O56" s="397"/>
      <c r="P56" s="398"/>
      <c r="Q56" s="397"/>
      <c r="R56" s="399"/>
      <c r="S56" s="397"/>
      <c r="T56" s="399"/>
      <c r="U56" s="399"/>
      <c r="V56" s="429" t="str">
        <f>IFERROR(VLOOKUP($O56, dropdown!$S$4:$T$15, 2, FALSE),
 IFERROR(VLOOKUP($Q56, dropdown!$S$4:$T$15, 2, FALSE),
 IFERROR(VLOOKUP($S56, dropdown!$S$4:$T$15, 2, FALSE),
 "")))</f>
        <v/>
      </c>
      <c r="W56" s="28"/>
      <c r="X56" s="56"/>
      <c r="AB56" s="11"/>
      <c r="AE56" s="11"/>
    </row>
    <row r="57" spans="9:31" ht="14" x14ac:dyDescent="0.2">
      <c r="I57" s="18" t="str">
        <f t="shared" si="2"/>
        <v/>
      </c>
      <c r="J57" s="434"/>
      <c r="K57" s="57"/>
      <c r="L57" s="28"/>
      <c r="M57" s="264"/>
      <c r="N57" s="401"/>
      <c r="O57" s="397"/>
      <c r="P57" s="398"/>
      <c r="Q57" s="397"/>
      <c r="R57" s="399"/>
      <c r="S57" s="397"/>
      <c r="T57" s="399"/>
      <c r="U57" s="399"/>
      <c r="V57" s="429" t="str">
        <f>IFERROR(VLOOKUP($O57, dropdown!$S$4:$T$15, 2, FALSE),
 IFERROR(VLOOKUP($Q57, dropdown!$S$4:$T$15, 2, FALSE),
 IFERROR(VLOOKUP($S57, dropdown!$S$4:$T$15, 2, FALSE),
 "")))</f>
        <v/>
      </c>
      <c r="W57" s="28"/>
      <c r="X57" s="56"/>
      <c r="AB57" s="11"/>
      <c r="AE57" s="11"/>
    </row>
    <row r="58" spans="9:31" ht="14" x14ac:dyDescent="0.2">
      <c r="I58" s="18" t="str">
        <f t="shared" si="2"/>
        <v/>
      </c>
      <c r="J58" s="434"/>
      <c r="K58" s="57"/>
      <c r="L58" s="28"/>
      <c r="M58" s="264"/>
      <c r="N58" s="401"/>
      <c r="O58" s="397"/>
      <c r="P58" s="398"/>
      <c r="Q58" s="397"/>
      <c r="R58" s="399"/>
      <c r="S58" s="397"/>
      <c r="T58" s="399"/>
      <c r="U58" s="399"/>
      <c r="V58" s="429" t="str">
        <f>IFERROR(VLOOKUP($O58, dropdown!$S$4:$T$15, 2, FALSE),
 IFERROR(VLOOKUP($Q58, dropdown!$S$4:$T$15, 2, FALSE),
 IFERROR(VLOOKUP($S58, dropdown!$S$4:$T$15, 2, FALSE),
 "")))</f>
        <v/>
      </c>
      <c r="W58" s="28"/>
      <c r="X58" s="56"/>
      <c r="AB58" s="11"/>
      <c r="AE58" s="11"/>
    </row>
    <row r="59" spans="9:31" ht="14" x14ac:dyDescent="0.2">
      <c r="I59" s="18" t="str">
        <f t="shared" si="2"/>
        <v/>
      </c>
      <c r="J59" s="434"/>
      <c r="K59" s="57"/>
      <c r="L59" s="28"/>
      <c r="M59" s="264"/>
      <c r="N59" s="401"/>
      <c r="O59" s="397"/>
      <c r="P59" s="398"/>
      <c r="Q59" s="397"/>
      <c r="R59" s="399"/>
      <c r="S59" s="397"/>
      <c r="T59" s="399"/>
      <c r="U59" s="399"/>
      <c r="V59" s="429" t="str">
        <f>IFERROR(VLOOKUP($O59, dropdown!$S$4:$T$15, 2, FALSE),
 IFERROR(VLOOKUP($Q59, dropdown!$S$4:$T$15, 2, FALSE),
 IFERROR(VLOOKUP($S59, dropdown!$S$4:$T$15, 2, FALSE),
 "")))</f>
        <v/>
      </c>
      <c r="W59" s="28"/>
      <c r="X59" s="56"/>
      <c r="AB59" s="11"/>
      <c r="AE59" s="11"/>
    </row>
    <row r="60" spans="9:31" ht="14" x14ac:dyDescent="0.2">
      <c r="I60" s="18" t="str">
        <f t="shared" si="2"/>
        <v/>
      </c>
      <c r="J60" s="434"/>
      <c r="K60" s="57"/>
      <c r="L60" s="28"/>
      <c r="M60" s="264"/>
      <c r="N60" s="401"/>
      <c r="O60" s="397"/>
      <c r="P60" s="398"/>
      <c r="Q60" s="397"/>
      <c r="R60" s="399"/>
      <c r="S60" s="397"/>
      <c r="T60" s="399"/>
      <c r="U60" s="399"/>
      <c r="V60" s="429" t="str">
        <f>IFERROR(VLOOKUP($O60, dropdown!$S$4:$T$15, 2, FALSE),
 IFERROR(VLOOKUP($Q60, dropdown!$S$4:$T$15, 2, FALSE),
 IFERROR(VLOOKUP($S60, dropdown!$S$4:$T$15, 2, FALSE),
 "")))</f>
        <v/>
      </c>
      <c r="W60" s="28"/>
      <c r="X60" s="56"/>
      <c r="AB60" s="11"/>
      <c r="AE60" s="11"/>
    </row>
    <row r="61" spans="9:31" ht="14" x14ac:dyDescent="0.2">
      <c r="I61" s="18" t="str">
        <f t="shared" si="2"/>
        <v/>
      </c>
      <c r="J61" s="434"/>
      <c r="K61" s="57"/>
      <c r="L61" s="28"/>
      <c r="M61" s="264"/>
      <c r="N61" s="401"/>
      <c r="O61" s="397"/>
      <c r="P61" s="398"/>
      <c r="Q61" s="397"/>
      <c r="R61" s="399"/>
      <c r="S61" s="397"/>
      <c r="T61" s="399"/>
      <c r="U61" s="399"/>
      <c r="V61" s="429" t="str">
        <f>IFERROR(VLOOKUP($O61, dropdown!$S$4:$T$15, 2, FALSE),
 IFERROR(VLOOKUP($Q61, dropdown!$S$4:$T$15, 2, FALSE),
 IFERROR(VLOOKUP($S61, dropdown!$S$4:$T$15, 2, FALSE),
 "")))</f>
        <v/>
      </c>
      <c r="W61" s="28"/>
      <c r="X61" s="56"/>
      <c r="AB61" s="11"/>
      <c r="AE61" s="11"/>
    </row>
    <row r="62" spans="9:31" ht="14" x14ac:dyDescent="0.2">
      <c r="I62" s="18" t="str">
        <f t="shared" si="2"/>
        <v/>
      </c>
      <c r="J62" s="434"/>
      <c r="K62" s="57"/>
      <c r="L62" s="28"/>
      <c r="M62" s="264"/>
      <c r="N62" s="401"/>
      <c r="O62" s="397"/>
      <c r="P62" s="398"/>
      <c r="Q62" s="397"/>
      <c r="R62" s="399"/>
      <c r="S62" s="397"/>
      <c r="T62" s="399"/>
      <c r="U62" s="399"/>
      <c r="V62" s="429" t="str">
        <f>IFERROR(VLOOKUP($O62, dropdown!$S$4:$T$15, 2, FALSE),
 IFERROR(VLOOKUP($Q62, dropdown!$S$4:$T$15, 2, FALSE),
 IFERROR(VLOOKUP($S62, dropdown!$S$4:$T$15, 2, FALSE),
 "")))</f>
        <v/>
      </c>
      <c r="W62" s="28"/>
      <c r="X62" s="56"/>
      <c r="AB62" s="11"/>
      <c r="AE62" s="11"/>
    </row>
    <row r="63" spans="9:31" ht="14" x14ac:dyDescent="0.2">
      <c r="I63" s="18" t="str">
        <f t="shared" si="2"/>
        <v/>
      </c>
      <c r="J63" s="434"/>
      <c r="K63" s="57"/>
      <c r="L63" s="28"/>
      <c r="M63" s="264"/>
      <c r="N63" s="401"/>
      <c r="O63" s="397"/>
      <c r="P63" s="398"/>
      <c r="Q63" s="397"/>
      <c r="R63" s="399"/>
      <c r="S63" s="397"/>
      <c r="T63" s="399"/>
      <c r="U63" s="399"/>
      <c r="V63" s="429" t="str">
        <f>IFERROR(VLOOKUP($O63, dropdown!$S$4:$T$15, 2, FALSE),
 IFERROR(VLOOKUP($Q63, dropdown!$S$4:$T$15, 2, FALSE),
 IFERROR(VLOOKUP($S63, dropdown!$S$4:$T$15, 2, FALSE),
 "")))</f>
        <v/>
      </c>
      <c r="W63" s="28"/>
      <c r="X63" s="56"/>
      <c r="AB63" s="11"/>
      <c r="AE63" s="11"/>
    </row>
    <row r="64" spans="9:31" ht="14" x14ac:dyDescent="0.2">
      <c r="I64" s="18" t="str">
        <f t="shared" si="2"/>
        <v/>
      </c>
      <c r="J64" s="434"/>
      <c r="K64" s="57"/>
      <c r="L64" s="28"/>
      <c r="M64" s="264"/>
      <c r="N64" s="401"/>
      <c r="O64" s="397"/>
      <c r="P64" s="398"/>
      <c r="Q64" s="397"/>
      <c r="R64" s="399"/>
      <c r="S64" s="397"/>
      <c r="T64" s="399"/>
      <c r="U64" s="399"/>
      <c r="V64" s="429" t="str">
        <f>IFERROR(VLOOKUP($O64, dropdown!$S$4:$T$15, 2, FALSE),
 IFERROR(VLOOKUP($Q64, dropdown!$S$4:$T$15, 2, FALSE),
 IFERROR(VLOOKUP($S64, dropdown!$S$4:$T$15, 2, FALSE),
 "")))</f>
        <v/>
      </c>
      <c r="W64" s="28"/>
      <c r="X64" s="56"/>
      <c r="AB64" s="11"/>
      <c r="AE64" s="11"/>
    </row>
    <row r="65" spans="9:31" ht="14" x14ac:dyDescent="0.2">
      <c r="I65" s="18" t="str">
        <f t="shared" si="2"/>
        <v/>
      </c>
      <c r="J65" s="434"/>
      <c r="K65" s="57"/>
      <c r="L65" s="28"/>
      <c r="M65" s="264"/>
      <c r="N65" s="401"/>
      <c r="O65" s="397"/>
      <c r="P65" s="398"/>
      <c r="Q65" s="397"/>
      <c r="R65" s="399"/>
      <c r="S65" s="397"/>
      <c r="T65" s="399"/>
      <c r="U65" s="399"/>
      <c r="V65" s="429" t="str">
        <f>IFERROR(VLOOKUP($O65, dropdown!$S$4:$T$15, 2, FALSE),
 IFERROR(VLOOKUP($Q65, dropdown!$S$4:$T$15, 2, FALSE),
 IFERROR(VLOOKUP($S65, dropdown!$S$4:$T$15, 2, FALSE),
 "")))</f>
        <v/>
      </c>
      <c r="W65" s="28"/>
      <c r="X65" s="56"/>
      <c r="AB65" s="11"/>
      <c r="AE65" s="11"/>
    </row>
    <row r="66" spans="9:31" ht="14" x14ac:dyDescent="0.2">
      <c r="I66" s="18" t="str">
        <f t="shared" si="2"/>
        <v/>
      </c>
      <c r="J66" s="434"/>
      <c r="K66" s="57"/>
      <c r="L66" s="28"/>
      <c r="M66" s="264"/>
      <c r="N66" s="401"/>
      <c r="O66" s="397"/>
      <c r="P66" s="398"/>
      <c r="Q66" s="397"/>
      <c r="R66" s="399"/>
      <c r="S66" s="397"/>
      <c r="T66" s="399"/>
      <c r="U66" s="399"/>
      <c r="V66" s="429" t="str">
        <f>IFERROR(VLOOKUP($O66, dropdown!$S$4:$T$15, 2, FALSE),
 IFERROR(VLOOKUP($Q66, dropdown!$S$4:$T$15, 2, FALSE),
 IFERROR(VLOOKUP($S66, dropdown!$S$4:$T$15, 2, FALSE),
 "")))</f>
        <v/>
      </c>
      <c r="W66" s="28"/>
      <c r="X66" s="56"/>
      <c r="AB66" s="11"/>
      <c r="AE66" s="11"/>
    </row>
    <row r="67" spans="9:31" ht="14" x14ac:dyDescent="0.2">
      <c r="I67" s="18" t="str">
        <f t="shared" si="2"/>
        <v/>
      </c>
      <c r="J67" s="434"/>
      <c r="K67" s="57"/>
      <c r="L67" s="28"/>
      <c r="M67" s="264"/>
      <c r="N67" s="401"/>
      <c r="O67" s="397"/>
      <c r="P67" s="398"/>
      <c r="Q67" s="397"/>
      <c r="R67" s="399"/>
      <c r="S67" s="397"/>
      <c r="T67" s="399"/>
      <c r="U67" s="399"/>
      <c r="V67" s="429" t="str">
        <f>IFERROR(VLOOKUP($O67, dropdown!$S$4:$T$15, 2, FALSE),
 IFERROR(VLOOKUP($Q67, dropdown!$S$4:$T$15, 2, FALSE),
 IFERROR(VLOOKUP($S67, dropdown!$S$4:$T$15, 2, FALSE),
 "")))</f>
        <v/>
      </c>
      <c r="W67" s="28"/>
      <c r="X67" s="56"/>
      <c r="AB67" s="11"/>
      <c r="AE67" s="11"/>
    </row>
    <row r="68" spans="9:31" ht="14" x14ac:dyDescent="0.2">
      <c r="I68" s="18" t="str">
        <f t="shared" si="2"/>
        <v/>
      </c>
      <c r="J68" s="434"/>
      <c r="K68" s="57"/>
      <c r="L68" s="28"/>
      <c r="M68" s="264"/>
      <c r="N68" s="401"/>
      <c r="O68" s="397"/>
      <c r="P68" s="398"/>
      <c r="Q68" s="397"/>
      <c r="R68" s="399"/>
      <c r="S68" s="397"/>
      <c r="T68" s="399"/>
      <c r="U68" s="399"/>
      <c r="V68" s="429" t="str">
        <f>IFERROR(VLOOKUP($O68, dropdown!$S$4:$T$15, 2, FALSE),
 IFERROR(VLOOKUP($Q68, dropdown!$S$4:$T$15, 2, FALSE),
 IFERROR(VLOOKUP($S68, dropdown!$S$4:$T$15, 2, FALSE),
 "")))</f>
        <v/>
      </c>
      <c r="W68" s="28"/>
      <c r="X68" s="56"/>
      <c r="AB68" s="11"/>
      <c r="AE68" s="11"/>
    </row>
    <row r="69" spans="9:31" ht="14" x14ac:dyDescent="0.2">
      <c r="I69" s="18" t="str">
        <f t="shared" si="2"/>
        <v/>
      </c>
      <c r="J69" s="434"/>
      <c r="K69" s="57"/>
      <c r="L69" s="28"/>
      <c r="M69" s="264"/>
      <c r="N69" s="401"/>
      <c r="O69" s="397"/>
      <c r="P69" s="398"/>
      <c r="Q69" s="397"/>
      <c r="R69" s="399"/>
      <c r="S69" s="397"/>
      <c r="T69" s="399"/>
      <c r="U69" s="399"/>
      <c r="V69" s="429" t="str">
        <f>IFERROR(VLOOKUP($O69, dropdown!$S$4:$T$15, 2, FALSE),
 IFERROR(VLOOKUP($Q69, dropdown!$S$4:$T$15, 2, FALSE),
 IFERROR(VLOOKUP($S69, dropdown!$S$4:$T$15, 2, FALSE),
 "")))</f>
        <v/>
      </c>
      <c r="W69" s="28"/>
      <c r="X69" s="56"/>
      <c r="AB69" s="11"/>
      <c r="AE69" s="11"/>
    </row>
    <row r="70" spans="9:31" ht="14" x14ac:dyDescent="0.2">
      <c r="I70" s="18" t="str">
        <f t="shared" si="2"/>
        <v/>
      </c>
      <c r="J70" s="434"/>
      <c r="K70" s="57"/>
      <c r="L70" s="28"/>
      <c r="M70" s="264"/>
      <c r="N70" s="401"/>
      <c r="O70" s="397"/>
      <c r="P70" s="398"/>
      <c r="Q70" s="397"/>
      <c r="R70" s="399"/>
      <c r="S70" s="397"/>
      <c r="T70" s="399"/>
      <c r="U70" s="399"/>
      <c r="V70" s="429" t="str">
        <f>IFERROR(VLOOKUP($O70, dropdown!$S$4:$T$15, 2, FALSE),
 IFERROR(VLOOKUP($Q70, dropdown!$S$4:$T$15, 2, FALSE),
 IFERROR(VLOOKUP($S70, dropdown!$S$4:$T$15, 2, FALSE),
 "")))</f>
        <v/>
      </c>
      <c r="W70" s="28"/>
      <c r="X70" s="56"/>
      <c r="AB70" s="11"/>
      <c r="AE70" s="11"/>
    </row>
    <row r="71" spans="9:31" ht="14" x14ac:dyDescent="0.2">
      <c r="I71" s="18" t="str">
        <f t="shared" si="2"/>
        <v/>
      </c>
      <c r="J71" s="434"/>
      <c r="K71" s="57"/>
      <c r="L71" s="28"/>
      <c r="M71" s="264"/>
      <c r="N71" s="401"/>
      <c r="O71" s="397"/>
      <c r="P71" s="398"/>
      <c r="Q71" s="397"/>
      <c r="R71" s="399"/>
      <c r="S71" s="397"/>
      <c r="T71" s="399"/>
      <c r="U71" s="399"/>
      <c r="V71" s="429" t="str">
        <f>IFERROR(VLOOKUP($O71, dropdown!$S$4:$T$15, 2, FALSE),
 IFERROR(VLOOKUP($Q71, dropdown!$S$4:$T$15, 2, FALSE),
 IFERROR(VLOOKUP($S71, dropdown!$S$4:$T$15, 2, FALSE),
 "")))</f>
        <v/>
      </c>
      <c r="W71" s="28"/>
      <c r="X71" s="56"/>
      <c r="AB71" s="11"/>
      <c r="AE71" s="11"/>
    </row>
    <row r="72" spans="9:31" ht="14" x14ac:dyDescent="0.2">
      <c r="I72" s="18" t="str">
        <f t="shared" si="2"/>
        <v/>
      </c>
      <c r="J72" s="434"/>
      <c r="K72" s="57"/>
      <c r="L72" s="28"/>
      <c r="M72" s="264"/>
      <c r="N72" s="401"/>
      <c r="O72" s="397"/>
      <c r="P72" s="398"/>
      <c r="Q72" s="397"/>
      <c r="R72" s="399"/>
      <c r="S72" s="397"/>
      <c r="T72" s="399"/>
      <c r="U72" s="399"/>
      <c r="V72" s="429" t="str">
        <f>IFERROR(VLOOKUP($O72, dropdown!$S$4:$T$15, 2, FALSE),
 IFERROR(VLOOKUP($Q72, dropdown!$S$4:$T$15, 2, FALSE),
 IFERROR(VLOOKUP($S72, dropdown!$S$4:$T$15, 2, FALSE),
 "")))</f>
        <v/>
      </c>
      <c r="W72" s="28"/>
      <c r="X72" s="56"/>
      <c r="AB72" s="11"/>
      <c r="AE72" s="11"/>
    </row>
    <row r="73" spans="9:31" ht="14" x14ac:dyDescent="0.2">
      <c r="I73" s="18" t="str">
        <f t="shared" si="2"/>
        <v/>
      </c>
      <c r="J73" s="434"/>
      <c r="K73" s="57"/>
      <c r="L73" s="28"/>
      <c r="M73" s="264"/>
      <c r="N73" s="401"/>
      <c r="O73" s="397"/>
      <c r="P73" s="398"/>
      <c r="Q73" s="397"/>
      <c r="R73" s="399"/>
      <c r="S73" s="397"/>
      <c r="T73" s="399"/>
      <c r="U73" s="399"/>
      <c r="V73" s="429"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4"/>
      <c r="K74" s="57"/>
      <c r="L74" s="28"/>
      <c r="M74" s="264"/>
      <c r="N74" s="401"/>
      <c r="O74" s="397"/>
      <c r="P74" s="398"/>
      <c r="Q74" s="397"/>
      <c r="R74" s="399"/>
      <c r="S74" s="397"/>
      <c r="T74" s="399"/>
      <c r="U74" s="399"/>
      <c r="V74" s="429" t="str">
        <f>IFERROR(VLOOKUP($O74, dropdown!$S$4:$T$15, 2, FALSE),
 IFERROR(VLOOKUP($Q74, dropdown!$S$4:$T$15, 2, FALSE),
 IFERROR(VLOOKUP($S74, dropdown!$S$4:$T$15, 2, FALSE),
 "")))</f>
        <v/>
      </c>
      <c r="W74" s="28"/>
      <c r="X74" s="56"/>
      <c r="AB74" s="11"/>
      <c r="AE74" s="11"/>
    </row>
    <row r="75" spans="9:31" ht="14" x14ac:dyDescent="0.2">
      <c r="I75" s="18" t="str">
        <f t="shared" si="3"/>
        <v/>
      </c>
      <c r="J75" s="434"/>
      <c r="K75" s="57"/>
      <c r="L75" s="28"/>
      <c r="M75" s="264"/>
      <c r="N75" s="401"/>
      <c r="O75" s="397"/>
      <c r="P75" s="398"/>
      <c r="Q75" s="397"/>
      <c r="R75" s="399"/>
      <c r="S75" s="397"/>
      <c r="T75" s="399"/>
      <c r="U75" s="399"/>
      <c r="V75" s="429" t="str">
        <f>IFERROR(VLOOKUP($O75, dropdown!$S$4:$T$15, 2, FALSE),
 IFERROR(VLOOKUP($Q75, dropdown!$S$4:$T$15, 2, FALSE),
 IFERROR(VLOOKUP($S75, dropdown!$S$4:$T$15, 2, FALSE),
 "")))</f>
        <v/>
      </c>
      <c r="W75" s="28"/>
      <c r="X75" s="56"/>
      <c r="AB75" s="11"/>
      <c r="AE75" s="11"/>
    </row>
    <row r="76" spans="9:31" ht="14" x14ac:dyDescent="0.2">
      <c r="I76" s="18" t="str">
        <f t="shared" si="3"/>
        <v/>
      </c>
      <c r="J76" s="434"/>
      <c r="K76" s="57"/>
      <c r="L76" s="28"/>
      <c r="M76" s="264"/>
      <c r="N76" s="401"/>
      <c r="O76" s="397"/>
      <c r="P76" s="398"/>
      <c r="Q76" s="397"/>
      <c r="R76" s="399"/>
      <c r="S76" s="397"/>
      <c r="T76" s="399"/>
      <c r="U76" s="399"/>
      <c r="V76" s="429" t="str">
        <f>IFERROR(VLOOKUP($O76, dropdown!$S$4:$T$15, 2, FALSE),
 IFERROR(VLOOKUP($Q76, dropdown!$S$4:$T$15, 2, FALSE),
 IFERROR(VLOOKUP($S76, dropdown!$S$4:$T$15, 2, FALSE),
 "")))</f>
        <v/>
      </c>
      <c r="W76" s="28"/>
      <c r="X76" s="56"/>
      <c r="AB76" s="11"/>
      <c r="AE76" s="11"/>
    </row>
    <row r="77" spans="9:31" ht="14" x14ac:dyDescent="0.2">
      <c r="I77" s="18" t="str">
        <f t="shared" si="3"/>
        <v/>
      </c>
      <c r="J77" s="434"/>
      <c r="K77" s="57"/>
      <c r="L77" s="28"/>
      <c r="M77" s="264"/>
      <c r="N77" s="401"/>
      <c r="O77" s="397"/>
      <c r="P77" s="398"/>
      <c r="Q77" s="397"/>
      <c r="R77" s="399"/>
      <c r="S77" s="397"/>
      <c r="T77" s="399"/>
      <c r="U77" s="399"/>
      <c r="V77" s="429" t="str">
        <f>IFERROR(VLOOKUP($O77, dropdown!$S$4:$T$15, 2, FALSE),
 IFERROR(VLOOKUP($Q77, dropdown!$S$4:$T$15, 2, FALSE),
 IFERROR(VLOOKUP($S77, dropdown!$S$4:$T$15, 2, FALSE),
 "")))</f>
        <v/>
      </c>
      <c r="W77" s="28"/>
      <c r="X77" s="56"/>
      <c r="AB77" s="11"/>
      <c r="AE77" s="11"/>
    </row>
    <row r="78" spans="9:31" ht="14" x14ac:dyDescent="0.2">
      <c r="I78" s="18" t="str">
        <f t="shared" si="3"/>
        <v/>
      </c>
      <c r="J78" s="434"/>
      <c r="K78" s="57"/>
      <c r="L78" s="28"/>
      <c r="M78" s="264"/>
      <c r="N78" s="401"/>
      <c r="O78" s="397"/>
      <c r="P78" s="398"/>
      <c r="Q78" s="397"/>
      <c r="R78" s="399"/>
      <c r="S78" s="397"/>
      <c r="T78" s="399"/>
      <c r="U78" s="399"/>
      <c r="V78" s="429" t="str">
        <f>IFERROR(VLOOKUP($O78, dropdown!$S$4:$T$15, 2, FALSE),
 IFERROR(VLOOKUP($Q78, dropdown!$S$4:$T$15, 2, FALSE),
 IFERROR(VLOOKUP($S78, dropdown!$S$4:$T$15, 2, FALSE),
 "")))</f>
        <v/>
      </c>
      <c r="W78" s="28"/>
      <c r="X78" s="56"/>
      <c r="AB78" s="11"/>
      <c r="AE78" s="11"/>
    </row>
    <row r="79" spans="9:31" ht="14" x14ac:dyDescent="0.2">
      <c r="I79" s="18" t="str">
        <f t="shared" si="3"/>
        <v/>
      </c>
      <c r="J79" s="434"/>
      <c r="K79" s="57"/>
      <c r="L79" s="28"/>
      <c r="M79" s="264"/>
      <c r="N79" s="401"/>
      <c r="O79" s="397"/>
      <c r="P79" s="398"/>
      <c r="Q79" s="397"/>
      <c r="R79" s="399"/>
      <c r="S79" s="397"/>
      <c r="T79" s="399"/>
      <c r="U79" s="399"/>
      <c r="V79" s="429" t="str">
        <f>IFERROR(VLOOKUP($O79, dropdown!$S$4:$T$15, 2, FALSE),
 IFERROR(VLOOKUP($Q79, dropdown!$S$4:$T$15, 2, FALSE),
 IFERROR(VLOOKUP($S79, dropdown!$S$4:$T$15, 2, FALSE),
 "")))</f>
        <v/>
      </c>
      <c r="W79" s="28"/>
      <c r="X79" s="56"/>
      <c r="AB79" s="11"/>
      <c r="AE79" s="11"/>
    </row>
    <row r="80" spans="9:31" ht="14" x14ac:dyDescent="0.2">
      <c r="I80" s="18" t="str">
        <f t="shared" si="3"/>
        <v/>
      </c>
      <c r="J80" s="434"/>
      <c r="K80" s="57"/>
      <c r="L80" s="28"/>
      <c r="M80" s="264"/>
      <c r="N80" s="401"/>
      <c r="O80" s="397"/>
      <c r="P80" s="398"/>
      <c r="Q80" s="397"/>
      <c r="R80" s="399"/>
      <c r="S80" s="397"/>
      <c r="T80" s="399"/>
      <c r="U80" s="399"/>
      <c r="V80" s="429" t="str">
        <f>IFERROR(VLOOKUP($O80, dropdown!$S$4:$T$15, 2, FALSE),
 IFERROR(VLOOKUP($Q80, dropdown!$S$4:$T$15, 2, FALSE),
 IFERROR(VLOOKUP($S80, dropdown!$S$4:$T$15, 2, FALSE),
 "")))</f>
        <v/>
      </c>
      <c r="W80" s="28"/>
      <c r="X80" s="56"/>
      <c r="AB80" s="11"/>
      <c r="AE80" s="11"/>
    </row>
    <row r="81" spans="9:31" ht="14" x14ac:dyDescent="0.2">
      <c r="I81" s="18" t="str">
        <f t="shared" si="3"/>
        <v/>
      </c>
      <c r="J81" s="434"/>
      <c r="K81" s="57"/>
      <c r="L81" s="28"/>
      <c r="M81" s="264"/>
      <c r="N81" s="401"/>
      <c r="O81" s="397"/>
      <c r="P81" s="398"/>
      <c r="Q81" s="397"/>
      <c r="R81" s="399"/>
      <c r="S81" s="397"/>
      <c r="T81" s="399"/>
      <c r="U81" s="399"/>
      <c r="V81" s="429" t="str">
        <f>IFERROR(VLOOKUP($O81, dropdown!$S$4:$T$15, 2, FALSE),
 IFERROR(VLOOKUP($Q81, dropdown!$S$4:$T$15, 2, FALSE),
 IFERROR(VLOOKUP($S81, dropdown!$S$4:$T$15, 2, FALSE),
 "")))</f>
        <v/>
      </c>
      <c r="W81" s="28"/>
      <c r="X81" s="56"/>
      <c r="AB81" s="11"/>
      <c r="AE81" s="11"/>
    </row>
    <row r="82" spans="9:31" ht="14" x14ac:dyDescent="0.2">
      <c r="I82" s="18" t="str">
        <f t="shared" si="3"/>
        <v/>
      </c>
      <c r="J82" s="434"/>
      <c r="K82" s="57"/>
      <c r="L82" s="28"/>
      <c r="M82" s="264"/>
      <c r="N82" s="401"/>
      <c r="O82" s="397"/>
      <c r="P82" s="398"/>
      <c r="Q82" s="397"/>
      <c r="R82" s="399"/>
      <c r="S82" s="397"/>
      <c r="T82" s="399"/>
      <c r="U82" s="399"/>
      <c r="V82" s="429" t="str">
        <f>IFERROR(VLOOKUP($O82, dropdown!$S$4:$T$15, 2, FALSE),
 IFERROR(VLOOKUP($Q82, dropdown!$S$4:$T$15, 2, FALSE),
 IFERROR(VLOOKUP($S82, dropdown!$S$4:$T$15, 2, FALSE),
 "")))</f>
        <v/>
      </c>
      <c r="W82" s="28"/>
      <c r="X82" s="56"/>
      <c r="AB82" s="11"/>
      <c r="AE82" s="11"/>
    </row>
    <row r="83" spans="9:31" ht="14" x14ac:dyDescent="0.2">
      <c r="I83" s="18" t="str">
        <f t="shared" si="3"/>
        <v/>
      </c>
      <c r="J83" s="434"/>
      <c r="K83" s="57"/>
      <c r="L83" s="28"/>
      <c r="M83" s="264"/>
      <c r="N83" s="401"/>
      <c r="O83" s="397"/>
      <c r="P83" s="398"/>
      <c r="Q83" s="397"/>
      <c r="R83" s="399"/>
      <c r="S83" s="397"/>
      <c r="T83" s="399"/>
      <c r="U83" s="399"/>
      <c r="V83" s="429" t="str">
        <f>IFERROR(VLOOKUP($O83, dropdown!$S$4:$T$15, 2, FALSE),
 IFERROR(VLOOKUP($Q83, dropdown!$S$4:$T$15, 2, FALSE),
 IFERROR(VLOOKUP($S83, dropdown!$S$4:$T$15, 2, FALSE),
 "")))</f>
        <v/>
      </c>
      <c r="W83" s="28"/>
      <c r="X83" s="56"/>
      <c r="AB83" s="11"/>
      <c r="AE83" s="11"/>
    </row>
    <row r="84" spans="9:31" ht="14" x14ac:dyDescent="0.2">
      <c r="I84" s="18" t="str">
        <f t="shared" si="3"/>
        <v/>
      </c>
      <c r="J84" s="434"/>
      <c r="K84" s="57"/>
      <c r="L84" s="28"/>
      <c r="M84" s="264"/>
      <c r="N84" s="401"/>
      <c r="O84" s="397"/>
      <c r="P84" s="398"/>
      <c r="Q84" s="397"/>
      <c r="R84" s="399"/>
      <c r="S84" s="397"/>
      <c r="T84" s="399"/>
      <c r="U84" s="399"/>
      <c r="V84" s="429" t="str">
        <f>IFERROR(VLOOKUP($O84, dropdown!$S$4:$T$15, 2, FALSE),
 IFERROR(VLOOKUP($Q84, dropdown!$S$4:$T$15, 2, FALSE),
 IFERROR(VLOOKUP($S84, dropdown!$S$4:$T$15, 2, FALSE),
 "")))</f>
        <v/>
      </c>
      <c r="W84" s="28"/>
      <c r="X84" s="56"/>
      <c r="AB84" s="11"/>
      <c r="AE84" s="11"/>
    </row>
    <row r="85" spans="9:31" ht="14" x14ac:dyDescent="0.2">
      <c r="I85" s="18" t="str">
        <f t="shared" si="3"/>
        <v/>
      </c>
      <c r="J85" s="434"/>
      <c r="K85" s="57"/>
      <c r="L85" s="28"/>
      <c r="M85" s="264"/>
      <c r="N85" s="401"/>
      <c r="O85" s="397"/>
      <c r="P85" s="398"/>
      <c r="Q85" s="397"/>
      <c r="R85" s="399"/>
      <c r="S85" s="397"/>
      <c r="T85" s="399"/>
      <c r="U85" s="399"/>
      <c r="V85" s="429" t="str">
        <f>IFERROR(VLOOKUP($O85, dropdown!$S$4:$T$15, 2, FALSE),
 IFERROR(VLOOKUP($Q85, dropdown!$S$4:$T$15, 2, FALSE),
 IFERROR(VLOOKUP($S85, dropdown!$S$4:$T$15, 2, FALSE),
 "")))</f>
        <v/>
      </c>
      <c r="W85" s="28"/>
      <c r="X85" s="56"/>
      <c r="AB85" s="11"/>
      <c r="AE85" s="11"/>
    </row>
    <row r="86" spans="9:31" ht="14" x14ac:dyDescent="0.2">
      <c r="I86" s="18" t="str">
        <f t="shared" si="3"/>
        <v/>
      </c>
      <c r="J86" s="434"/>
      <c r="K86" s="57"/>
      <c r="L86" s="28"/>
      <c r="M86" s="264"/>
      <c r="N86" s="401"/>
      <c r="O86" s="397"/>
      <c r="P86" s="398"/>
      <c r="Q86" s="397"/>
      <c r="R86" s="399"/>
      <c r="S86" s="397"/>
      <c r="T86" s="399"/>
      <c r="U86" s="399"/>
      <c r="V86" s="429" t="str">
        <f>IFERROR(VLOOKUP($O86, dropdown!$S$4:$T$15, 2, FALSE),
 IFERROR(VLOOKUP($Q86, dropdown!$S$4:$T$15, 2, FALSE),
 IFERROR(VLOOKUP($S86, dropdown!$S$4:$T$15, 2, FALSE),
 "")))</f>
        <v/>
      </c>
      <c r="W86" s="28"/>
      <c r="X86" s="56"/>
      <c r="AB86" s="11"/>
      <c r="AE86" s="11"/>
    </row>
    <row r="87" spans="9:31" ht="14" x14ac:dyDescent="0.2">
      <c r="I87" s="18" t="str">
        <f t="shared" si="3"/>
        <v/>
      </c>
      <c r="J87" s="434"/>
      <c r="K87" s="57"/>
      <c r="L87" s="28"/>
      <c r="M87" s="264"/>
      <c r="N87" s="401"/>
      <c r="O87" s="397"/>
      <c r="P87" s="398"/>
      <c r="Q87" s="397"/>
      <c r="R87" s="399"/>
      <c r="S87" s="397"/>
      <c r="T87" s="399"/>
      <c r="U87" s="399"/>
      <c r="V87" s="429" t="str">
        <f>IFERROR(VLOOKUP($O87, dropdown!$S$4:$T$15, 2, FALSE),
 IFERROR(VLOOKUP($Q87, dropdown!$S$4:$T$15, 2, FALSE),
 IFERROR(VLOOKUP($S87, dropdown!$S$4:$T$15, 2, FALSE),
 "")))</f>
        <v/>
      </c>
      <c r="W87" s="28"/>
      <c r="X87" s="56"/>
      <c r="AB87" s="11"/>
      <c r="AE87" s="11"/>
    </row>
    <row r="88" spans="9:31" ht="14" x14ac:dyDescent="0.2">
      <c r="I88" s="18" t="str">
        <f t="shared" si="3"/>
        <v/>
      </c>
      <c r="J88" s="434"/>
      <c r="K88" s="57"/>
      <c r="L88" s="28"/>
      <c r="M88" s="264"/>
      <c r="N88" s="401"/>
      <c r="O88" s="397"/>
      <c r="P88" s="398"/>
      <c r="Q88" s="397"/>
      <c r="R88" s="399"/>
      <c r="S88" s="397"/>
      <c r="T88" s="399"/>
      <c r="U88" s="399"/>
      <c r="V88" s="429" t="str">
        <f>IFERROR(VLOOKUP($O88, dropdown!$S$4:$T$15, 2, FALSE),
 IFERROR(VLOOKUP($Q88, dropdown!$S$4:$T$15, 2, FALSE),
 IFERROR(VLOOKUP($S88, dropdown!$S$4:$T$15, 2, FALSE),
 "")))</f>
        <v/>
      </c>
      <c r="W88" s="28"/>
      <c r="X88" s="56"/>
      <c r="AB88" s="11"/>
      <c r="AE88" s="11"/>
    </row>
    <row r="89" spans="9:31" ht="14" x14ac:dyDescent="0.2">
      <c r="I89" s="18" t="str">
        <f t="shared" si="3"/>
        <v/>
      </c>
      <c r="J89" s="434"/>
      <c r="K89" s="57"/>
      <c r="L89" s="28"/>
      <c r="M89" s="264"/>
      <c r="N89" s="401"/>
      <c r="O89" s="397"/>
      <c r="P89" s="398"/>
      <c r="Q89" s="397"/>
      <c r="R89" s="399"/>
      <c r="S89" s="397"/>
      <c r="T89" s="399"/>
      <c r="U89" s="399"/>
      <c r="V89" s="429" t="str">
        <f>IFERROR(VLOOKUP($O89, dropdown!$S$4:$T$15, 2, FALSE),
 IFERROR(VLOOKUP($Q89, dropdown!$S$4:$T$15, 2, FALSE),
 IFERROR(VLOOKUP($S89, dropdown!$S$4:$T$15, 2, FALSE),
 "")))</f>
        <v/>
      </c>
      <c r="W89" s="28"/>
      <c r="X89" s="56"/>
      <c r="AB89" s="11"/>
      <c r="AE89" s="11"/>
    </row>
    <row r="90" spans="9:31" ht="14" x14ac:dyDescent="0.2">
      <c r="I90" s="18" t="str">
        <f t="shared" si="3"/>
        <v/>
      </c>
      <c r="J90" s="434"/>
      <c r="K90" s="57"/>
      <c r="L90" s="28"/>
      <c r="M90" s="264"/>
      <c r="N90" s="401"/>
      <c r="O90" s="397"/>
      <c r="P90" s="398"/>
      <c r="Q90" s="397"/>
      <c r="R90" s="399"/>
      <c r="S90" s="397"/>
      <c r="T90" s="399"/>
      <c r="U90" s="399"/>
      <c r="V90" s="429" t="str">
        <f>IFERROR(VLOOKUP($O90, dropdown!$S$4:$T$15, 2, FALSE),
 IFERROR(VLOOKUP($Q90, dropdown!$S$4:$T$15, 2, FALSE),
 IFERROR(VLOOKUP($S90, dropdown!$S$4:$T$15, 2, FALSE),
 "")))</f>
        <v/>
      </c>
      <c r="W90" s="28"/>
      <c r="X90" s="56"/>
      <c r="AB90" s="11"/>
      <c r="AE90" s="11"/>
    </row>
    <row r="91" spans="9:31" ht="14" x14ac:dyDescent="0.2">
      <c r="I91" s="18" t="str">
        <f t="shared" si="3"/>
        <v/>
      </c>
      <c r="J91" s="434"/>
      <c r="K91" s="57"/>
      <c r="L91" s="28"/>
      <c r="M91" s="264"/>
      <c r="N91" s="401"/>
      <c r="O91" s="397"/>
      <c r="P91" s="398"/>
      <c r="Q91" s="397"/>
      <c r="R91" s="399"/>
      <c r="S91" s="397"/>
      <c r="T91" s="399"/>
      <c r="U91" s="399"/>
      <c r="V91" s="429" t="str">
        <f>IFERROR(VLOOKUP($O91, dropdown!$S$4:$T$15, 2, FALSE),
 IFERROR(VLOOKUP($Q91, dropdown!$S$4:$T$15, 2, FALSE),
 IFERROR(VLOOKUP($S91, dropdown!$S$4:$T$15, 2, FALSE),
 "")))</f>
        <v/>
      </c>
      <c r="W91" s="28"/>
      <c r="X91" s="56"/>
      <c r="AB91" s="11"/>
      <c r="AE91" s="11"/>
    </row>
    <row r="92" spans="9:31" ht="14" x14ac:dyDescent="0.2">
      <c r="I92" s="18" t="str">
        <f t="shared" si="3"/>
        <v/>
      </c>
      <c r="J92" s="434"/>
      <c r="K92" s="57"/>
      <c r="L92" s="28"/>
      <c r="M92" s="264"/>
      <c r="N92" s="401"/>
      <c r="O92" s="397"/>
      <c r="P92" s="398"/>
      <c r="Q92" s="397"/>
      <c r="R92" s="399"/>
      <c r="S92" s="397"/>
      <c r="T92" s="399"/>
      <c r="U92" s="399"/>
      <c r="V92" s="429" t="str">
        <f>IFERROR(VLOOKUP($O92, dropdown!$S$4:$T$15, 2, FALSE),
 IFERROR(VLOOKUP($Q92, dropdown!$S$4:$T$15, 2, FALSE),
 IFERROR(VLOOKUP($S92, dropdown!$S$4:$T$15, 2, FALSE),
 "")))</f>
        <v/>
      </c>
      <c r="W92" s="28"/>
      <c r="X92" s="56"/>
      <c r="AB92" s="11"/>
      <c r="AE92" s="11"/>
    </row>
    <row r="93" spans="9:31" ht="14" x14ac:dyDescent="0.2">
      <c r="I93" s="18" t="str">
        <f t="shared" si="3"/>
        <v/>
      </c>
      <c r="J93" s="434"/>
      <c r="K93" s="57"/>
      <c r="L93" s="28"/>
      <c r="M93" s="264"/>
      <c r="N93" s="401"/>
      <c r="O93" s="397"/>
      <c r="P93" s="398"/>
      <c r="Q93" s="397"/>
      <c r="R93" s="399"/>
      <c r="S93" s="397"/>
      <c r="T93" s="399"/>
      <c r="U93" s="399"/>
      <c r="V93" s="429" t="str">
        <f>IFERROR(VLOOKUP($O93, dropdown!$S$4:$T$15, 2, FALSE),
 IFERROR(VLOOKUP($Q93, dropdown!$S$4:$T$15, 2, FALSE),
 IFERROR(VLOOKUP($S93, dropdown!$S$4:$T$15, 2, FALSE),
 "")))</f>
        <v/>
      </c>
      <c r="W93" s="28"/>
      <c r="X93" s="56"/>
      <c r="AB93" s="11"/>
      <c r="AE93" s="11"/>
    </row>
    <row r="94" spans="9:31" ht="14" x14ac:dyDescent="0.2">
      <c r="I94" s="18" t="str">
        <f t="shared" si="3"/>
        <v/>
      </c>
      <c r="J94" s="434"/>
      <c r="K94" s="57"/>
      <c r="L94" s="28"/>
      <c r="M94" s="264"/>
      <c r="N94" s="401"/>
      <c r="O94" s="397"/>
      <c r="P94" s="398"/>
      <c r="Q94" s="397"/>
      <c r="R94" s="399"/>
      <c r="S94" s="397"/>
      <c r="T94" s="399"/>
      <c r="U94" s="399"/>
      <c r="V94" s="429" t="str">
        <f>IFERROR(VLOOKUP($O94, dropdown!$S$4:$T$15, 2, FALSE),
 IFERROR(VLOOKUP($Q94, dropdown!$S$4:$T$15, 2, FALSE),
 IFERROR(VLOOKUP($S94, dropdown!$S$4:$T$15, 2, FALSE),
 "")))</f>
        <v/>
      </c>
      <c r="W94" s="28"/>
      <c r="X94" s="56"/>
      <c r="AB94" s="11"/>
      <c r="AE94" s="11"/>
    </row>
    <row r="95" spans="9:31" ht="14" x14ac:dyDescent="0.2">
      <c r="I95" s="18" t="str">
        <f t="shared" si="3"/>
        <v/>
      </c>
      <c r="J95" s="434"/>
      <c r="K95" s="57"/>
      <c r="L95" s="28"/>
      <c r="M95" s="264"/>
      <c r="N95" s="401"/>
      <c r="O95" s="397"/>
      <c r="P95" s="398"/>
      <c r="Q95" s="397"/>
      <c r="R95" s="399"/>
      <c r="S95" s="397"/>
      <c r="T95" s="399"/>
      <c r="U95" s="399"/>
      <c r="V95" s="429" t="str">
        <f>IFERROR(VLOOKUP($O95, dropdown!$S$4:$T$15, 2, FALSE),
 IFERROR(VLOOKUP($Q95, dropdown!$S$4:$T$15, 2, FALSE),
 IFERROR(VLOOKUP($S95, dropdown!$S$4:$T$15, 2, FALSE),
 "")))</f>
        <v/>
      </c>
      <c r="W95" s="28"/>
      <c r="X95" s="56"/>
      <c r="AB95" s="11"/>
      <c r="AE95" s="11"/>
    </row>
    <row r="96" spans="9:31" ht="14" x14ac:dyDescent="0.2">
      <c r="I96" s="18" t="str">
        <f t="shared" si="3"/>
        <v/>
      </c>
      <c r="J96" s="434"/>
      <c r="K96" s="57"/>
      <c r="L96" s="28"/>
      <c r="M96" s="264"/>
      <c r="N96" s="401"/>
      <c r="O96" s="397"/>
      <c r="P96" s="398"/>
      <c r="Q96" s="397"/>
      <c r="R96" s="399"/>
      <c r="S96" s="397"/>
      <c r="T96" s="399"/>
      <c r="U96" s="399"/>
      <c r="V96" s="429" t="str">
        <f>IFERROR(VLOOKUP($O96, dropdown!$S$4:$T$15, 2, FALSE),
 IFERROR(VLOOKUP($Q96, dropdown!$S$4:$T$15, 2, FALSE),
 IFERROR(VLOOKUP($S96, dropdown!$S$4:$T$15, 2, FALSE),
 "")))</f>
        <v/>
      </c>
      <c r="W96" s="28"/>
      <c r="X96" s="56"/>
      <c r="AB96" s="11"/>
      <c r="AE96" s="11"/>
    </row>
    <row r="97" spans="9:31" ht="14" x14ac:dyDescent="0.2">
      <c r="I97" s="18" t="str">
        <f t="shared" si="3"/>
        <v/>
      </c>
      <c r="J97" s="434"/>
      <c r="K97" s="57"/>
      <c r="L97" s="28"/>
      <c r="M97" s="264"/>
      <c r="N97" s="401"/>
      <c r="O97" s="397"/>
      <c r="P97" s="398"/>
      <c r="Q97" s="397"/>
      <c r="R97" s="399"/>
      <c r="S97" s="397"/>
      <c r="T97" s="399"/>
      <c r="U97" s="399"/>
      <c r="V97" s="429" t="str">
        <f>IFERROR(VLOOKUP($O97, dropdown!$S$4:$T$15, 2, FALSE),
 IFERROR(VLOOKUP($Q97, dropdown!$S$4:$T$15, 2, FALSE),
 IFERROR(VLOOKUP($S97, dropdown!$S$4:$T$15, 2, FALSE),
 "")))</f>
        <v/>
      </c>
      <c r="W97" s="28"/>
      <c r="X97" s="56"/>
      <c r="AB97" s="11"/>
      <c r="AE97" s="11"/>
    </row>
    <row r="98" spans="9:31" ht="14" x14ac:dyDescent="0.2">
      <c r="I98" s="18" t="str">
        <f t="shared" si="3"/>
        <v/>
      </c>
      <c r="J98" s="434"/>
      <c r="K98" s="57"/>
      <c r="L98" s="28"/>
      <c r="M98" s="264"/>
      <c r="N98" s="401"/>
      <c r="O98" s="397"/>
      <c r="P98" s="398"/>
      <c r="Q98" s="397"/>
      <c r="R98" s="399"/>
      <c r="S98" s="397"/>
      <c r="T98" s="399"/>
      <c r="U98" s="399"/>
      <c r="V98" s="429" t="str">
        <f>IFERROR(VLOOKUP($O98, dropdown!$S$4:$T$15, 2, FALSE),
 IFERROR(VLOOKUP($Q98, dropdown!$S$4:$T$15, 2, FALSE),
 IFERROR(VLOOKUP($S98, dropdown!$S$4:$T$15, 2, FALSE),
 "")))</f>
        <v/>
      </c>
      <c r="W98" s="28"/>
      <c r="X98" s="56"/>
      <c r="AB98" s="11"/>
      <c r="AE98" s="11"/>
    </row>
    <row r="99" spans="9:31" ht="14" x14ac:dyDescent="0.2">
      <c r="I99" s="18" t="str">
        <f t="shared" si="3"/>
        <v/>
      </c>
      <c r="J99" s="434"/>
      <c r="K99" s="57"/>
      <c r="L99" s="28"/>
      <c r="M99" s="264"/>
      <c r="N99" s="401"/>
      <c r="O99" s="397"/>
      <c r="P99" s="398"/>
      <c r="Q99" s="397"/>
      <c r="R99" s="399"/>
      <c r="S99" s="397"/>
      <c r="T99" s="399"/>
      <c r="U99" s="399"/>
      <c r="V99" s="429" t="str">
        <f>IFERROR(VLOOKUP($O99, dropdown!$S$4:$T$15, 2, FALSE),
 IFERROR(VLOOKUP($Q99, dropdown!$S$4:$T$15, 2, FALSE),
 IFERROR(VLOOKUP($S99, dropdown!$S$4:$T$15, 2, FALSE),
 "")))</f>
        <v/>
      </c>
      <c r="W99" s="28"/>
      <c r="X99" s="56"/>
      <c r="AB99" s="11"/>
      <c r="AE99" s="11"/>
    </row>
    <row r="100" spans="9:31" ht="14" x14ac:dyDescent="0.2">
      <c r="I100" s="18" t="str">
        <f t="shared" si="3"/>
        <v/>
      </c>
      <c r="J100" s="434"/>
      <c r="K100" s="57"/>
      <c r="L100" s="28"/>
      <c r="M100" s="264"/>
      <c r="N100" s="401"/>
      <c r="O100" s="397"/>
      <c r="P100" s="398"/>
      <c r="Q100" s="397"/>
      <c r="R100" s="399"/>
      <c r="S100" s="397"/>
      <c r="T100" s="399"/>
      <c r="U100" s="399"/>
      <c r="V100" s="429" t="str">
        <f>IFERROR(VLOOKUP($O100, dropdown!$S$4:$T$15, 2, FALSE),
 IFERROR(VLOOKUP($Q100, dropdown!$S$4:$T$15, 2, FALSE),
 IFERROR(VLOOKUP($S100, dropdown!$S$4:$T$15, 2, FALSE),
 "")))</f>
        <v/>
      </c>
      <c r="W100" s="28"/>
      <c r="X100" s="56"/>
      <c r="AB100" s="11"/>
      <c r="AE100" s="11"/>
    </row>
    <row r="101" spans="9:31" ht="14" x14ac:dyDescent="0.2">
      <c r="I101" s="18" t="str">
        <f t="shared" si="3"/>
        <v/>
      </c>
      <c r="J101" s="434"/>
      <c r="K101" s="57"/>
      <c r="L101" s="28"/>
      <c r="M101" s="264"/>
      <c r="N101" s="401"/>
      <c r="O101" s="397"/>
      <c r="P101" s="398"/>
      <c r="Q101" s="397"/>
      <c r="R101" s="399"/>
      <c r="S101" s="397"/>
      <c r="T101" s="399"/>
      <c r="U101" s="399"/>
      <c r="V101" s="429" t="str">
        <f>IFERROR(VLOOKUP($O101, dropdown!$S$4:$T$15, 2, FALSE),
 IFERROR(VLOOKUP($Q101, dropdown!$S$4:$T$15, 2, FALSE),
 IFERROR(VLOOKUP($S101, dropdown!$S$4:$T$15, 2, FALSE),
 "")))</f>
        <v/>
      </c>
      <c r="W101" s="28"/>
      <c r="X101" s="56"/>
      <c r="AB101" s="11"/>
      <c r="AE101" s="11"/>
    </row>
    <row r="102" spans="9:31" ht="14" x14ac:dyDescent="0.2">
      <c r="I102" s="18" t="str">
        <f t="shared" si="3"/>
        <v/>
      </c>
      <c r="J102" s="434"/>
      <c r="K102" s="57"/>
      <c r="L102" s="28"/>
      <c r="M102" s="264"/>
      <c r="N102" s="401"/>
      <c r="O102" s="397"/>
      <c r="P102" s="398"/>
      <c r="Q102" s="397"/>
      <c r="R102" s="399"/>
      <c r="S102" s="397"/>
      <c r="T102" s="399"/>
      <c r="U102" s="399"/>
      <c r="V102" s="429" t="str">
        <f>IFERROR(VLOOKUP($O102, dropdown!$S$4:$T$15, 2, FALSE),
 IFERROR(VLOOKUP($Q102, dropdown!$S$4:$T$15, 2, FALSE),
 IFERROR(VLOOKUP($S102, dropdown!$S$4:$T$15, 2, FALSE),
 "")))</f>
        <v/>
      </c>
      <c r="W102" s="28"/>
      <c r="X102" s="56"/>
      <c r="AB102" s="11"/>
      <c r="AE102" s="11"/>
    </row>
    <row r="103" spans="9:31" ht="14" x14ac:dyDescent="0.2">
      <c r="I103" s="18" t="str">
        <f t="shared" si="3"/>
        <v/>
      </c>
      <c r="J103" s="434"/>
      <c r="K103" s="57"/>
      <c r="L103" s="28"/>
      <c r="M103" s="264"/>
      <c r="N103" s="401"/>
      <c r="O103" s="397"/>
      <c r="P103" s="398"/>
      <c r="Q103" s="397"/>
      <c r="R103" s="399"/>
      <c r="S103" s="397"/>
      <c r="T103" s="399"/>
      <c r="U103" s="399"/>
      <c r="V103" s="429" t="str">
        <f>IFERROR(VLOOKUP($O103, dropdown!$S$4:$T$15, 2, FALSE),
 IFERROR(VLOOKUP($Q103, dropdown!$S$4:$T$15, 2, FALSE),
 IFERROR(VLOOKUP($S103, dropdown!$S$4:$T$15, 2, FALSE),
 "")))</f>
        <v/>
      </c>
      <c r="W103" s="28"/>
      <c r="X103" s="56"/>
      <c r="AB103" s="11"/>
      <c r="AE103" s="11"/>
    </row>
    <row r="104" spans="9:31" ht="14" x14ac:dyDescent="0.2">
      <c r="I104" s="18" t="str">
        <f t="shared" si="3"/>
        <v/>
      </c>
      <c r="J104" s="434"/>
      <c r="K104" s="57"/>
      <c r="L104" s="28"/>
      <c r="M104" s="264"/>
      <c r="N104" s="401"/>
      <c r="O104" s="397"/>
      <c r="P104" s="398"/>
      <c r="Q104" s="397"/>
      <c r="R104" s="399"/>
      <c r="S104" s="397"/>
      <c r="T104" s="399"/>
      <c r="U104" s="399"/>
      <c r="V104" s="429" t="str">
        <f>IFERROR(VLOOKUP($O104, dropdown!$S$4:$T$15, 2, FALSE),
 IFERROR(VLOOKUP($Q104, dropdown!$S$4:$T$15, 2, FALSE),
 IFERROR(VLOOKUP($S104, dropdown!$S$4:$T$15, 2, FALSE),
 "")))</f>
        <v/>
      </c>
      <c r="W104" s="28"/>
      <c r="X104" s="56"/>
      <c r="AB104" s="11"/>
      <c r="AE104" s="11"/>
    </row>
    <row r="105" spans="9:31" ht="14" x14ac:dyDescent="0.2">
      <c r="I105" s="18" t="str">
        <f t="shared" si="3"/>
        <v/>
      </c>
      <c r="J105" s="434"/>
      <c r="K105" s="57"/>
      <c r="L105" s="28"/>
      <c r="M105" s="264"/>
      <c r="N105" s="401"/>
      <c r="O105" s="397"/>
      <c r="P105" s="398"/>
      <c r="Q105" s="397"/>
      <c r="R105" s="399"/>
      <c r="S105" s="397"/>
      <c r="T105" s="399"/>
      <c r="U105" s="399"/>
      <c r="V105" s="429" t="str">
        <f>IFERROR(VLOOKUP($O105, dropdown!$S$4:$T$15, 2, FALSE),
 IFERROR(VLOOKUP($Q105, dropdown!$S$4:$T$15, 2, FALSE),
 IFERROR(VLOOKUP($S105, dropdown!$S$4:$T$15, 2, FALSE),
 "")))</f>
        <v/>
      </c>
      <c r="W105" s="28"/>
      <c r="X105" s="56"/>
      <c r="AB105" s="11"/>
      <c r="AE105" s="11"/>
    </row>
    <row r="106" spans="9:31" ht="14" x14ac:dyDescent="0.2">
      <c r="I106" s="18" t="str">
        <f t="shared" si="3"/>
        <v/>
      </c>
      <c r="J106" s="434"/>
      <c r="K106" s="57"/>
      <c r="L106" s="28"/>
      <c r="M106" s="264"/>
      <c r="N106" s="401"/>
      <c r="O106" s="397"/>
      <c r="P106" s="398"/>
      <c r="Q106" s="397"/>
      <c r="R106" s="399"/>
      <c r="S106" s="397"/>
      <c r="T106" s="399"/>
      <c r="U106" s="399"/>
      <c r="V106" s="429" t="str">
        <f>IFERROR(VLOOKUP($O106, dropdown!$S$4:$T$15, 2, FALSE),
 IFERROR(VLOOKUP($Q106, dropdown!$S$4:$T$15, 2, FALSE),
 IFERROR(VLOOKUP($S106, dropdown!$S$4:$T$15, 2, FALSE),
 "")))</f>
        <v/>
      </c>
      <c r="W106" s="28"/>
      <c r="X106" s="56"/>
      <c r="AB106" s="11"/>
      <c r="AE106" s="11"/>
    </row>
    <row r="107" spans="9:31" ht="14" x14ac:dyDescent="0.2">
      <c r="I107" s="18" t="str">
        <f t="shared" si="3"/>
        <v/>
      </c>
      <c r="J107" s="434"/>
      <c r="K107" s="57"/>
      <c r="L107" s="28"/>
      <c r="M107" s="264"/>
      <c r="N107" s="401"/>
      <c r="O107" s="397"/>
      <c r="P107" s="398"/>
      <c r="Q107" s="397"/>
      <c r="R107" s="399"/>
      <c r="S107" s="397"/>
      <c r="T107" s="399"/>
      <c r="U107" s="399"/>
      <c r="V107" s="429"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P8 W8:W107 J8:O107 Q8:U107 P10:P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6" priority="6">
      <formula>$N9="New installation"</formula>
    </cfRule>
  </conditionalFormatting>
  <conditionalFormatting sqref="P10:P107">
    <cfRule type="expression" dxfId="5" priority="5">
      <formula>$N10="New installation"</formula>
    </cfRule>
  </conditionalFormatting>
  <conditionalFormatting sqref="Q9:Q107">
    <cfRule type="expression" dxfId="4" priority="4">
      <formula>$N9="In operation"</formula>
    </cfRule>
  </conditionalFormatting>
  <conditionalFormatting sqref="R9:R107">
    <cfRule type="expression" dxfId="3" priority="3">
      <formula>$N9="In operation"</formula>
    </cfRule>
  </conditionalFormatting>
  <conditionalFormatting sqref="S9:S107">
    <cfRule type="expression" dxfId="2" priority="2">
      <formula>$N9="Disposed"</formula>
    </cfRule>
  </conditionalFormatting>
  <conditionalFormatting sqref="T9:U107">
    <cfRule type="expression" dxfId="1" priority="1">
      <formula>$N9="Disposed"</formula>
    </cfRule>
  </conditionalFormatting>
  <conditionalFormatting sqref="P8">
    <cfRule type="expression" dxfId="0" priority="8">
      <formula>$N9="New installation"</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L15" sqref="L15"/>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f>'1. Data Info and Summary'!$D$2</f>
        <v>0</v>
      </c>
      <c r="C4" s="37"/>
      <c r="D4" s="38" t="str">
        <f>IF('1. Data Info and Summary'!$D$3=0,"-",'1. Data Info and Summary'!$D$3)</f>
        <v>-</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5"/>
      <c r="D6" s="446"/>
      <c r="E6" s="446"/>
      <c r="F6" s="446"/>
      <c r="G6" s="447"/>
    </row>
    <row r="7" spans="2:17" ht="12.75" customHeight="1" x14ac:dyDescent="0.2">
      <c r="B7" s="278" t="s">
        <v>174</v>
      </c>
      <c r="C7" s="445"/>
      <c r="D7" s="446"/>
      <c r="E7" s="446"/>
      <c r="F7" s="446"/>
      <c r="G7" s="447"/>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16980</v>
      </c>
      <c r="M8" s="47">
        <v>179822.18</v>
      </c>
      <c r="N8" s="165" t="s">
        <v>499</v>
      </c>
      <c r="O8" s="195"/>
      <c r="P8" s="48"/>
      <c r="Q8" s="20"/>
    </row>
    <row r="9" spans="2:17" x14ac:dyDescent="0.2">
      <c r="I9" s="194"/>
      <c r="J9" s="58" t="s">
        <v>89</v>
      </c>
      <c r="K9" s="425" t="str">
        <f>IF(Electricity[[#This Row],[Month]]&lt;&gt;"",VLOOKUP(Electricity[[#This Row],[Month]], dropdown!$S$4:$T$15, 2, FALSE),"")</f>
        <v>Q1</v>
      </c>
      <c r="L9" s="29">
        <v>17620</v>
      </c>
      <c r="M9" s="47">
        <v>188105.41</v>
      </c>
      <c r="N9" s="165" t="s">
        <v>499</v>
      </c>
      <c r="O9" s="195"/>
      <c r="P9" s="48"/>
      <c r="Q9" s="20"/>
    </row>
    <row r="10" spans="2:17" ht="15" x14ac:dyDescent="0.2">
      <c r="B10" s="334" t="s">
        <v>104</v>
      </c>
      <c r="C10" s="14"/>
      <c r="D10" s="14"/>
      <c r="E10" s="14"/>
      <c r="F10" s="14"/>
      <c r="G10" s="14"/>
      <c r="I10" s="194"/>
      <c r="J10" s="58" t="s">
        <v>362</v>
      </c>
      <c r="K10" s="425" t="str">
        <f>IF(Electricity[[#This Row],[Month]]&lt;&gt;"",VLOOKUP(Electricity[[#This Row],[Month]], dropdown!$S$4:$T$15, 2, FALSE),"")</f>
        <v>Q1</v>
      </c>
      <c r="L10" s="29">
        <v>15888</v>
      </c>
      <c r="M10" s="47">
        <v>160282.32999999999</v>
      </c>
      <c r="N10" s="165" t="s">
        <v>499</v>
      </c>
      <c r="O10" s="195"/>
      <c r="P10" s="48"/>
      <c r="Q10" s="20"/>
    </row>
    <row r="11" spans="2:17" x14ac:dyDescent="0.2">
      <c r="B11" s="13" t="s">
        <v>155</v>
      </c>
      <c r="C11" s="13" t="s">
        <v>51</v>
      </c>
      <c r="D11" s="40" t="s">
        <v>45</v>
      </c>
      <c r="E11" s="40" t="s">
        <v>149</v>
      </c>
      <c r="F11" s="40" t="s">
        <v>150</v>
      </c>
      <c r="G11" s="40" t="s">
        <v>151</v>
      </c>
      <c r="I11" s="194"/>
      <c r="J11" s="58" t="s">
        <v>371</v>
      </c>
      <c r="K11" s="425" t="str">
        <f>IF(Electricity[[#This Row],[Month]]&lt;&gt;"",VLOOKUP(Electricity[[#This Row],[Month]], dropdown!$S$4:$T$15, 2, FALSE),"")</f>
        <v>Q2</v>
      </c>
      <c r="L11" s="29">
        <v>19096</v>
      </c>
      <c r="M11" s="47">
        <v>216732.26</v>
      </c>
      <c r="N11" s="165" t="s">
        <v>499</v>
      </c>
      <c r="O11" s="195"/>
      <c r="P11" s="48"/>
      <c r="Q11" s="20"/>
    </row>
    <row r="12" spans="2:17" x14ac:dyDescent="0.2">
      <c r="B12" s="17" t="s">
        <v>207</v>
      </c>
      <c r="C12" s="17" t="s">
        <v>208</v>
      </c>
      <c r="D12" s="41">
        <f>SUMIFS(Electricity[Consumption (kWh)],Electricity[Quarter],D$11)</f>
        <v>50488</v>
      </c>
      <c r="E12" s="41">
        <f>SUMIFS(Electricity[Consumption (kWh)],Electricity[Quarter],E$11)</f>
        <v>59720</v>
      </c>
      <c r="F12" s="41">
        <f>SUMIFS(Electricity[Consumption (kWh)],Electricity[Quarter],F$11)</f>
        <v>0</v>
      </c>
      <c r="G12" s="41">
        <f>SUMIFS(Electricity[Consumption (kWh)],Electricity[Quarter],G$11)</f>
        <v>0</v>
      </c>
      <c r="I12" s="194"/>
      <c r="J12" s="58" t="s">
        <v>379</v>
      </c>
      <c r="K12" s="425" t="str">
        <f>IF(Electricity[[#This Row],[Month]]&lt;&gt;"",VLOOKUP(Electricity[[#This Row],[Month]], dropdown!$S$4:$T$15, 2, FALSE),"")</f>
        <v>Q2</v>
      </c>
      <c r="L12" s="29">
        <v>19384</v>
      </c>
      <c r="M12" s="47">
        <v>206374.03</v>
      </c>
      <c r="N12" s="165" t="s">
        <v>499</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5" t="str">
        <f>IF(Electricity[[#This Row],[Month]]&lt;&gt;"",VLOOKUP(Electricity[[#This Row],[Month]], dropdown!$S$4:$T$15, 2, FALSE),"")</f>
        <v>Q2</v>
      </c>
      <c r="L13" s="29">
        <v>21240</v>
      </c>
      <c r="M13" s="47">
        <v>210128.25</v>
      </c>
      <c r="N13" s="165" t="s">
        <v>499</v>
      </c>
      <c r="O13" s="195"/>
      <c r="P13" s="48"/>
      <c r="Q13" s="20"/>
    </row>
    <row r="14" spans="2:17" x14ac:dyDescent="0.2">
      <c r="B14" s="119" t="s">
        <v>38</v>
      </c>
      <c r="D14" s="168"/>
      <c r="I14" s="194"/>
      <c r="J14" s="58"/>
      <c r="K14" s="425" t="str">
        <f>IF(Electricity[[#This Row],[Month]]&lt;&gt;"",VLOOKUP(Electricity[[#This Row],[Month]], dropdown!$S$4:$T$15, 2, FALSE),"")</f>
        <v/>
      </c>
      <c r="L14" s="29"/>
      <c r="M14" s="47"/>
      <c r="N14" s="165"/>
      <c r="O14" s="195"/>
      <c r="P14" s="48"/>
      <c r="Q14" s="20"/>
    </row>
    <row r="15" spans="2:17" x14ac:dyDescent="0.2">
      <c r="B15" s="120" t="s">
        <v>175</v>
      </c>
      <c r="D15" s="168"/>
      <c r="I15" s="194"/>
      <c r="J15" s="58"/>
      <c r="K15" s="425" t="str">
        <f>IF(Electricity[[#This Row],[Month]]&lt;&gt;"",VLOOKUP(Electricity[[#This Row],[Month]], dropdown!$S$4:$T$15, 2, FALSE),"")</f>
        <v/>
      </c>
      <c r="L15" s="29"/>
      <c r="M15" s="47"/>
      <c r="N15" s="165"/>
      <c r="O15" s="195"/>
      <c r="P15" s="48"/>
      <c r="Q15" s="20"/>
    </row>
    <row r="16" spans="2:17" x14ac:dyDescent="0.2">
      <c r="B16" s="121" t="s">
        <v>176</v>
      </c>
      <c r="I16" s="194"/>
      <c r="J16" s="58"/>
      <c r="K16" s="425" t="str">
        <f>IF(Electricity[[#This Row],[Month]]&lt;&gt;"",VLOOKUP(Electricity[[#This Row],[Month]], dropdown!$S$4:$T$15, 2, FALSE),"")</f>
        <v/>
      </c>
      <c r="L16" s="29"/>
      <c r="M16" s="47"/>
      <c r="N16" s="165"/>
      <c r="O16" s="195"/>
      <c r="P16" s="48"/>
      <c r="Q16" s="20"/>
    </row>
    <row r="17" spans="2:17" x14ac:dyDescent="0.2">
      <c r="B17" s="122" t="s">
        <v>177</v>
      </c>
      <c r="I17" s="194"/>
      <c r="J17" s="58"/>
      <c r="K17" s="425" t="str">
        <f>IF(Electricity[[#This Row],[Month]]&lt;&gt;"",VLOOKUP(Electricity[[#This Row],[Month]], dropdown!$S$4:$T$15, 2, FALSE),"")</f>
        <v/>
      </c>
      <c r="L17" s="29"/>
      <c r="M17" s="47"/>
      <c r="N17" s="165"/>
      <c r="O17" s="195"/>
      <c r="P17" s="48"/>
      <c r="Q17" s="20"/>
    </row>
    <row r="18" spans="2:17" x14ac:dyDescent="0.2">
      <c r="I18" s="194" t="str">
        <f t="shared" ref="I18:I49" si="0">IF($L18="","",$I17+1)</f>
        <v/>
      </c>
      <c r="J18" s="58"/>
      <c r="K18" s="425" t="str">
        <f>IF(Electricity[[#This Row],[Month]]&lt;&gt;"",VLOOKUP(Electricity[[#This Row],[Month]], dropdown!$S$4:$T$15, 2, FALSE),"")</f>
        <v/>
      </c>
      <c r="L18" s="29"/>
      <c r="M18" s="47"/>
      <c r="N18" s="165"/>
      <c r="O18" s="195"/>
      <c r="P18" s="48"/>
      <c r="Q18" s="20"/>
    </row>
    <row r="19" spans="2:17" x14ac:dyDescent="0.2">
      <c r="I19" s="194" t="str">
        <f t="shared" si="0"/>
        <v/>
      </c>
      <c r="J19" s="58"/>
      <c r="K19" s="425" t="str">
        <f>IF(Electricity[[#This Row],[Month]]&lt;&gt;"",VLOOKUP(Electricity[[#This Row],[Month]], dropdown!$S$4:$T$15, 2, FALSE),"")</f>
        <v/>
      </c>
      <c r="L19" s="29"/>
      <c r="M19" s="47"/>
      <c r="N19" s="165"/>
      <c r="O19" s="195"/>
      <c r="P19" s="48"/>
      <c r="Q19" s="20"/>
    </row>
    <row r="20" spans="2:17" x14ac:dyDescent="0.2">
      <c r="I20" s="194" t="str">
        <f t="shared" si="0"/>
        <v/>
      </c>
      <c r="J20" s="58"/>
      <c r="K20" s="425" t="str">
        <f>IF(Electricity[[#This Row],[Month]]&lt;&gt;"",VLOOKUP(Electricity[[#This Row],[Month]], dropdown!$S$4:$T$15, 2, FALSE),"")</f>
        <v/>
      </c>
      <c r="L20" s="29"/>
      <c r="M20" s="47"/>
      <c r="N20" s="165"/>
      <c r="O20" s="195"/>
      <c r="P20" s="48"/>
      <c r="Q20" s="20"/>
    </row>
    <row r="21" spans="2:17" x14ac:dyDescent="0.2">
      <c r="I21" s="194" t="str">
        <f t="shared" si="0"/>
        <v/>
      </c>
      <c r="J21" s="58"/>
      <c r="K21" s="425" t="str">
        <f>IF(Electricity[[#This Row],[Month]]&lt;&gt;"",VLOOKUP(Electricity[[#This Row],[Month]], dropdown!$S$4:$T$15, 2, FALSE),"")</f>
        <v/>
      </c>
      <c r="L21" s="29"/>
      <c r="M21" s="47"/>
      <c r="N21" s="165"/>
      <c r="O21" s="195"/>
      <c r="P21" s="48"/>
      <c r="Q21" s="20"/>
    </row>
    <row r="22" spans="2:17" x14ac:dyDescent="0.2">
      <c r="I22" s="194" t="str">
        <f t="shared" si="0"/>
        <v/>
      </c>
      <c r="J22" s="196"/>
      <c r="K22" s="425" t="str">
        <f>IF(Electricity[[#This Row],[Month]]&lt;&gt;"",VLOOKUP(Electricity[[#This Row],[Month]], dropdown!$S$4:$T$15, 2, FALSE),"")</f>
        <v/>
      </c>
      <c r="L22" s="197"/>
      <c r="M22" s="246"/>
      <c r="N22" s="247"/>
      <c r="O22" s="199"/>
      <c r="P22" s="48"/>
      <c r="Q22" s="20"/>
    </row>
    <row r="23" spans="2:17" x14ac:dyDescent="0.2">
      <c r="I23" s="194" t="str">
        <f t="shared" si="0"/>
        <v/>
      </c>
      <c r="J23" s="196"/>
      <c r="K23" s="425" t="str">
        <f>IF(Electricity[[#This Row],[Month]]&lt;&gt;"",VLOOKUP(Electricity[[#This Row],[Month]], dropdown!$S$4:$T$15, 2, FALSE),"")</f>
        <v/>
      </c>
      <c r="L23" s="197"/>
      <c r="M23" s="246"/>
      <c r="N23" s="247"/>
      <c r="O23" s="199"/>
      <c r="P23" s="48"/>
      <c r="Q23" s="20"/>
    </row>
    <row r="24" spans="2:17" x14ac:dyDescent="0.2">
      <c r="I24" s="194" t="str">
        <f t="shared" si="0"/>
        <v/>
      </c>
      <c r="J24" s="196"/>
      <c r="K24" s="425" t="str">
        <f>IF(Electricity[[#This Row],[Month]]&lt;&gt;"",VLOOKUP(Electricity[[#This Row],[Month]], dropdown!$S$4:$T$15, 2, FALSE),"")</f>
        <v/>
      </c>
      <c r="L24" s="197"/>
      <c r="M24" s="246"/>
      <c r="N24" s="247"/>
      <c r="O24" s="199"/>
      <c r="P24" s="48"/>
      <c r="Q24" s="20"/>
    </row>
    <row r="25" spans="2:17" x14ac:dyDescent="0.2">
      <c r="I25" s="194" t="str">
        <f t="shared" si="0"/>
        <v/>
      </c>
      <c r="J25" s="196"/>
      <c r="K25" s="425"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5"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5"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5"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5"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5"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5" t="str">
        <f>IF(Electricity[[#This Row],[Month]]&lt;&gt;"",VLOOKUP(Electricity[[#This Row],[Month]], dropdown!$S$4:$T$15, 2, FALSE),"")</f>
        <v/>
      </c>
      <c r="L31" s="197"/>
      <c r="M31" s="246"/>
      <c r="N31" s="247"/>
      <c r="O31" s="199"/>
      <c r="P31" s="48"/>
      <c r="Q31" s="20"/>
    </row>
    <row r="32" spans="2:17" x14ac:dyDescent="0.2">
      <c r="I32" s="194" t="str">
        <f t="shared" si="0"/>
        <v/>
      </c>
      <c r="J32" s="196"/>
      <c r="K32" s="425" t="str">
        <f>IF(Electricity[[#This Row],[Month]]&lt;&gt;"",VLOOKUP(Electricity[[#This Row],[Month]], dropdown!$S$4:$T$15, 2, FALSE),"")</f>
        <v/>
      </c>
      <c r="L32" s="197"/>
      <c r="M32" s="246"/>
      <c r="N32" s="247"/>
      <c r="O32" s="199"/>
      <c r="P32" s="48"/>
      <c r="Q32" s="20"/>
    </row>
    <row r="33" spans="9:17" x14ac:dyDescent="0.2">
      <c r="I33" s="194" t="str">
        <f t="shared" si="0"/>
        <v/>
      </c>
      <c r="J33" s="196"/>
      <c r="K33" s="425" t="str">
        <f>IF(Electricity[[#This Row],[Month]]&lt;&gt;"",VLOOKUP(Electricity[[#This Row],[Month]], dropdown!$S$4:$T$15, 2, FALSE),"")</f>
        <v/>
      </c>
      <c r="L33" s="197"/>
      <c r="M33" s="246"/>
      <c r="N33" s="247"/>
      <c r="O33" s="199"/>
      <c r="P33" s="48"/>
      <c r="Q33" s="20"/>
    </row>
    <row r="34" spans="9:17" x14ac:dyDescent="0.2">
      <c r="I34" s="194" t="str">
        <f t="shared" si="0"/>
        <v/>
      </c>
      <c r="J34" s="196"/>
      <c r="K34" s="425" t="str">
        <f>IF(Electricity[[#This Row],[Month]]&lt;&gt;"",VLOOKUP(Electricity[[#This Row],[Month]], dropdown!$S$4:$T$15, 2, FALSE),"")</f>
        <v/>
      </c>
      <c r="L34" s="197"/>
      <c r="M34" s="246"/>
      <c r="N34" s="247"/>
      <c r="O34" s="199"/>
      <c r="P34" s="48"/>
      <c r="Q34" s="20"/>
    </row>
    <row r="35" spans="9:17" x14ac:dyDescent="0.2">
      <c r="I35" s="194" t="str">
        <f t="shared" si="0"/>
        <v/>
      </c>
      <c r="J35" s="196"/>
      <c r="K35" s="425" t="str">
        <f>IF(Electricity[[#This Row],[Month]]&lt;&gt;"",VLOOKUP(Electricity[[#This Row],[Month]], dropdown!$S$4:$T$15, 2, FALSE),"")</f>
        <v/>
      </c>
      <c r="L35" s="197"/>
      <c r="M35" s="246"/>
      <c r="N35" s="247"/>
      <c r="O35" s="199"/>
      <c r="P35" s="48"/>
      <c r="Q35" s="20"/>
    </row>
    <row r="36" spans="9:17" x14ac:dyDescent="0.2">
      <c r="I36" s="194" t="str">
        <f t="shared" si="0"/>
        <v/>
      </c>
      <c r="J36" s="196"/>
      <c r="K36" s="425" t="str">
        <f>IF(Electricity[[#This Row],[Month]]&lt;&gt;"",VLOOKUP(Electricity[[#This Row],[Month]], dropdown!$S$4:$T$15, 2, FALSE),"")</f>
        <v/>
      </c>
      <c r="L36" s="197"/>
      <c r="M36" s="246"/>
      <c r="N36" s="247"/>
      <c r="O36" s="199"/>
      <c r="P36" s="48"/>
      <c r="Q36" s="20"/>
    </row>
    <row r="37" spans="9:17" x14ac:dyDescent="0.2">
      <c r="I37" s="194" t="str">
        <f t="shared" si="0"/>
        <v/>
      </c>
      <c r="J37" s="196"/>
      <c r="K37" s="425" t="str">
        <f>IF(Electricity[[#This Row],[Month]]&lt;&gt;"",VLOOKUP(Electricity[[#This Row],[Month]], dropdown!$S$4:$T$15, 2, FALSE),"")</f>
        <v/>
      </c>
      <c r="L37" s="197"/>
      <c r="M37" s="246"/>
      <c r="N37" s="247"/>
      <c r="O37" s="199"/>
      <c r="P37" s="48"/>
      <c r="Q37" s="20"/>
    </row>
    <row r="38" spans="9:17" x14ac:dyDescent="0.2">
      <c r="I38" s="194" t="str">
        <f t="shared" si="0"/>
        <v/>
      </c>
      <c r="J38" s="196"/>
      <c r="K38" s="425" t="str">
        <f>IF(Electricity[[#This Row],[Month]]&lt;&gt;"",VLOOKUP(Electricity[[#This Row],[Month]], dropdown!$S$4:$T$15, 2, FALSE),"")</f>
        <v/>
      </c>
      <c r="L38" s="197"/>
      <c r="M38" s="246"/>
      <c r="N38" s="247"/>
      <c r="O38" s="199"/>
      <c r="P38" s="48"/>
      <c r="Q38" s="20"/>
    </row>
    <row r="39" spans="9:17" x14ac:dyDescent="0.2">
      <c r="I39" s="194" t="str">
        <f t="shared" si="0"/>
        <v/>
      </c>
      <c r="J39" s="196"/>
      <c r="K39" s="425" t="str">
        <f>IF(Electricity[[#This Row],[Month]]&lt;&gt;"",VLOOKUP(Electricity[[#This Row],[Month]], dropdown!$S$4:$T$15, 2, FALSE),"")</f>
        <v/>
      </c>
      <c r="L39" s="197"/>
      <c r="M39" s="246"/>
      <c r="N39" s="247"/>
      <c r="O39" s="199"/>
      <c r="P39" s="48"/>
      <c r="Q39" s="20"/>
    </row>
    <row r="40" spans="9:17" x14ac:dyDescent="0.2">
      <c r="I40" s="194" t="str">
        <f t="shared" si="0"/>
        <v/>
      </c>
      <c r="J40" s="196"/>
      <c r="K40" s="425" t="str">
        <f>IF(Electricity[[#This Row],[Month]]&lt;&gt;"",VLOOKUP(Electricity[[#This Row],[Month]], dropdown!$S$4:$T$15, 2, FALSE),"")</f>
        <v/>
      </c>
      <c r="L40" s="197"/>
      <c r="M40" s="246"/>
      <c r="N40" s="247"/>
      <c r="O40" s="199"/>
      <c r="P40" s="48"/>
      <c r="Q40" s="20"/>
    </row>
    <row r="41" spans="9:17" x14ac:dyDescent="0.2">
      <c r="I41" s="194" t="str">
        <f t="shared" si="0"/>
        <v/>
      </c>
      <c r="J41" s="196"/>
      <c r="K41" s="425" t="str">
        <f>IF(Electricity[[#This Row],[Month]]&lt;&gt;"",VLOOKUP(Electricity[[#This Row],[Month]], dropdown!$S$4:$T$15, 2, FALSE),"")</f>
        <v/>
      </c>
      <c r="L41" s="197"/>
      <c r="M41" s="246"/>
      <c r="N41" s="247"/>
      <c r="O41" s="199"/>
      <c r="P41" s="48"/>
      <c r="Q41" s="20"/>
    </row>
    <row r="42" spans="9:17" x14ac:dyDescent="0.2">
      <c r="I42" s="194" t="str">
        <f t="shared" si="0"/>
        <v/>
      </c>
      <c r="J42" s="196"/>
      <c r="K42" s="425" t="str">
        <f>IF(Electricity[[#This Row],[Month]]&lt;&gt;"",VLOOKUP(Electricity[[#This Row],[Month]], dropdown!$S$4:$T$15, 2, FALSE),"")</f>
        <v/>
      </c>
      <c r="L42" s="197"/>
      <c r="M42" s="246"/>
      <c r="N42" s="247"/>
      <c r="O42" s="199"/>
      <c r="P42" s="48"/>
      <c r="Q42" s="20"/>
    </row>
    <row r="43" spans="9:17" x14ac:dyDescent="0.2">
      <c r="I43" s="194" t="str">
        <f t="shared" si="0"/>
        <v/>
      </c>
      <c r="J43" s="196"/>
      <c r="K43" s="425" t="str">
        <f>IF(Electricity[[#This Row],[Month]]&lt;&gt;"",VLOOKUP(Electricity[[#This Row],[Month]], dropdown!$S$4:$T$15, 2, FALSE),"")</f>
        <v/>
      </c>
      <c r="L43" s="197"/>
      <c r="M43" s="246"/>
      <c r="N43" s="247"/>
      <c r="O43" s="199"/>
      <c r="P43" s="48"/>
      <c r="Q43" s="20"/>
    </row>
    <row r="44" spans="9:17" x14ac:dyDescent="0.2">
      <c r="I44" s="194" t="str">
        <f t="shared" si="0"/>
        <v/>
      </c>
      <c r="J44" s="196"/>
      <c r="K44" s="425" t="str">
        <f>IF(Electricity[[#This Row],[Month]]&lt;&gt;"",VLOOKUP(Electricity[[#This Row],[Month]], dropdown!$S$4:$T$15, 2, FALSE),"")</f>
        <v/>
      </c>
      <c r="L44" s="197"/>
      <c r="M44" s="246"/>
      <c r="N44" s="247"/>
      <c r="O44" s="199"/>
      <c r="P44" s="48"/>
      <c r="Q44" s="20"/>
    </row>
    <row r="45" spans="9:17" x14ac:dyDescent="0.2">
      <c r="I45" s="194" t="str">
        <f t="shared" si="0"/>
        <v/>
      </c>
      <c r="J45" s="196"/>
      <c r="K45" s="425" t="str">
        <f>IF(Electricity[[#This Row],[Month]]&lt;&gt;"",VLOOKUP(Electricity[[#This Row],[Month]], dropdown!$S$4:$T$15, 2, FALSE),"")</f>
        <v/>
      </c>
      <c r="L45" s="197"/>
      <c r="M45" s="246"/>
      <c r="N45" s="247"/>
      <c r="O45" s="199"/>
      <c r="P45" s="48"/>
      <c r="Q45" s="20"/>
    </row>
    <row r="46" spans="9:17" x14ac:dyDescent="0.2">
      <c r="I46" s="194" t="str">
        <f t="shared" si="0"/>
        <v/>
      </c>
      <c r="J46" s="196"/>
      <c r="K46" s="425" t="str">
        <f>IF(Electricity[[#This Row],[Month]]&lt;&gt;"",VLOOKUP(Electricity[[#This Row],[Month]], dropdown!$S$4:$T$15, 2, FALSE),"")</f>
        <v/>
      </c>
      <c r="L46" s="197"/>
      <c r="M46" s="246"/>
      <c r="N46" s="247"/>
      <c r="O46" s="199"/>
      <c r="P46" s="48"/>
      <c r="Q46" s="20"/>
    </row>
    <row r="47" spans="9:17" x14ac:dyDescent="0.2">
      <c r="I47" s="194" t="str">
        <f t="shared" si="0"/>
        <v/>
      </c>
      <c r="J47" s="196"/>
      <c r="K47" s="425" t="str">
        <f>IF(Electricity[[#This Row],[Month]]&lt;&gt;"",VLOOKUP(Electricity[[#This Row],[Month]], dropdown!$S$4:$T$15, 2, FALSE),"")</f>
        <v/>
      </c>
      <c r="L47" s="197"/>
      <c r="M47" s="246"/>
      <c r="N47" s="247"/>
      <c r="O47" s="199"/>
      <c r="P47" s="48"/>
      <c r="Q47" s="20"/>
    </row>
    <row r="48" spans="9:17" x14ac:dyDescent="0.2">
      <c r="I48" s="194" t="str">
        <f t="shared" si="0"/>
        <v/>
      </c>
      <c r="J48" s="196"/>
      <c r="K48" s="425" t="str">
        <f>IF(Electricity[[#This Row],[Month]]&lt;&gt;"",VLOOKUP(Electricity[[#This Row],[Month]], dropdown!$S$4:$T$15, 2, FALSE),"")</f>
        <v/>
      </c>
      <c r="L48" s="197"/>
      <c r="M48" s="246"/>
      <c r="N48" s="247"/>
      <c r="O48" s="199"/>
      <c r="P48" s="48"/>
      <c r="Q48" s="20"/>
    </row>
    <row r="49" spans="9:17" x14ac:dyDescent="0.2">
      <c r="I49" s="194" t="str">
        <f t="shared" si="0"/>
        <v/>
      </c>
      <c r="J49" s="196"/>
      <c r="K49" s="425"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5" t="str">
        <f>IF(Electricity[[#This Row],[Month]]&lt;&gt;"",VLOOKUP(Electricity[[#This Row],[Month]], dropdown!$S$4:$T$15, 2, FALSE),"")</f>
        <v/>
      </c>
      <c r="L50" s="197"/>
      <c r="M50" s="246"/>
      <c r="N50" s="247"/>
      <c r="O50" s="199"/>
      <c r="P50" s="48"/>
      <c r="Q50" s="20"/>
    </row>
    <row r="51" spans="9:17" x14ac:dyDescent="0.2">
      <c r="I51" s="194" t="str">
        <f t="shared" si="1"/>
        <v/>
      </c>
      <c r="J51" s="196"/>
      <c r="K51" s="425" t="str">
        <f>IF(Electricity[[#This Row],[Month]]&lt;&gt;"",VLOOKUP(Electricity[[#This Row],[Month]], dropdown!$S$4:$T$15, 2, FALSE),"")</f>
        <v/>
      </c>
      <c r="L51" s="197"/>
      <c r="M51" s="246"/>
      <c r="N51" s="247"/>
      <c r="O51" s="199"/>
      <c r="P51" s="48"/>
      <c r="Q51" s="20"/>
    </row>
    <row r="52" spans="9:17" x14ac:dyDescent="0.2">
      <c r="I52" s="194" t="str">
        <f t="shared" si="1"/>
        <v/>
      </c>
      <c r="J52" s="196"/>
      <c r="K52" s="425" t="str">
        <f>IF(Electricity[[#This Row],[Month]]&lt;&gt;"",VLOOKUP(Electricity[[#This Row],[Month]], dropdown!$S$4:$T$15, 2, FALSE),"")</f>
        <v/>
      </c>
      <c r="L52" s="197"/>
      <c r="M52" s="246"/>
      <c r="N52" s="247"/>
      <c r="O52" s="199"/>
      <c r="P52" s="48"/>
      <c r="Q52" s="20"/>
    </row>
    <row r="53" spans="9:17" x14ac:dyDescent="0.2">
      <c r="I53" s="194" t="str">
        <f t="shared" si="1"/>
        <v/>
      </c>
      <c r="J53" s="196"/>
      <c r="K53" s="425" t="str">
        <f>IF(Electricity[[#This Row],[Month]]&lt;&gt;"",VLOOKUP(Electricity[[#This Row],[Month]], dropdown!$S$4:$T$15, 2, FALSE),"")</f>
        <v/>
      </c>
      <c r="L53" s="197"/>
      <c r="M53" s="246"/>
      <c r="N53" s="247"/>
      <c r="O53" s="199"/>
      <c r="P53" s="48"/>
      <c r="Q53" s="20"/>
    </row>
    <row r="54" spans="9:17" x14ac:dyDescent="0.2">
      <c r="I54" s="194" t="str">
        <f t="shared" si="1"/>
        <v/>
      </c>
      <c r="J54" s="196"/>
      <c r="K54" s="425" t="str">
        <f>IF(Electricity[[#This Row],[Month]]&lt;&gt;"",VLOOKUP(Electricity[[#This Row],[Month]], dropdown!$S$4:$T$15, 2, FALSE),"")</f>
        <v/>
      </c>
      <c r="L54" s="197"/>
      <c r="M54" s="246"/>
      <c r="N54" s="247"/>
      <c r="O54" s="199"/>
      <c r="P54" s="48"/>
      <c r="Q54" s="20"/>
    </row>
    <row r="55" spans="9:17" x14ac:dyDescent="0.2">
      <c r="I55" s="194" t="str">
        <f t="shared" si="1"/>
        <v/>
      </c>
      <c r="J55" s="196"/>
      <c r="K55" s="425" t="str">
        <f>IF(Electricity[[#This Row],[Month]]&lt;&gt;"",VLOOKUP(Electricity[[#This Row],[Month]], dropdown!$S$4:$T$15, 2, FALSE),"")</f>
        <v/>
      </c>
      <c r="L55" s="197"/>
      <c r="M55" s="246"/>
      <c r="N55" s="247"/>
      <c r="O55" s="199"/>
      <c r="P55" s="48"/>
      <c r="Q55" s="20"/>
    </row>
    <row r="56" spans="9:17" x14ac:dyDescent="0.2">
      <c r="I56" s="194" t="str">
        <f t="shared" si="1"/>
        <v/>
      </c>
      <c r="J56" s="196"/>
      <c r="K56" s="425" t="str">
        <f>IF(Electricity[[#This Row],[Month]]&lt;&gt;"",VLOOKUP(Electricity[[#This Row],[Month]], dropdown!$S$4:$T$15, 2, FALSE),"")</f>
        <v/>
      </c>
      <c r="L56" s="197"/>
      <c r="M56" s="246"/>
      <c r="N56" s="247"/>
      <c r="O56" s="199"/>
      <c r="P56" s="48"/>
      <c r="Q56" s="20"/>
    </row>
    <row r="57" spans="9:17" x14ac:dyDescent="0.2">
      <c r="I57" s="194" t="str">
        <f t="shared" si="1"/>
        <v/>
      </c>
      <c r="J57" s="196"/>
      <c r="K57" s="425" t="str">
        <f>IF(Electricity[[#This Row],[Month]]&lt;&gt;"",VLOOKUP(Electricity[[#This Row],[Month]], dropdown!$S$4:$T$15, 2, FALSE),"")</f>
        <v/>
      </c>
      <c r="L57" s="197"/>
      <c r="M57" s="246"/>
      <c r="N57" s="247"/>
      <c r="O57" s="199"/>
      <c r="P57" s="48"/>
      <c r="Q57" s="20"/>
    </row>
    <row r="58" spans="9:17" x14ac:dyDescent="0.2">
      <c r="I58" s="194" t="str">
        <f t="shared" si="1"/>
        <v/>
      </c>
      <c r="J58" s="196"/>
      <c r="K58" s="425" t="str">
        <f>IF(Electricity[[#This Row],[Month]]&lt;&gt;"",VLOOKUP(Electricity[[#This Row],[Month]], dropdown!$S$4:$T$15, 2, FALSE),"")</f>
        <v/>
      </c>
      <c r="L58" s="197"/>
      <c r="M58" s="246"/>
      <c r="N58" s="247"/>
      <c r="O58" s="199"/>
      <c r="P58" s="48"/>
      <c r="Q58" s="20"/>
    </row>
    <row r="59" spans="9:17" x14ac:dyDescent="0.2">
      <c r="I59" s="194" t="str">
        <f t="shared" si="1"/>
        <v/>
      </c>
      <c r="J59" s="196"/>
      <c r="K59" s="425" t="str">
        <f>IF(Electricity[[#This Row],[Month]]&lt;&gt;"",VLOOKUP(Electricity[[#This Row],[Month]], dropdown!$S$4:$T$15, 2, FALSE),"")</f>
        <v/>
      </c>
      <c r="L59" s="197"/>
      <c r="M59" s="246"/>
      <c r="N59" s="247"/>
      <c r="O59" s="199"/>
      <c r="P59" s="48"/>
      <c r="Q59" s="20"/>
    </row>
    <row r="60" spans="9:17" x14ac:dyDescent="0.2">
      <c r="I60" s="194" t="str">
        <f t="shared" si="1"/>
        <v/>
      </c>
      <c r="J60" s="196"/>
      <c r="K60" s="425" t="str">
        <f>IF(Electricity[[#This Row],[Month]]&lt;&gt;"",VLOOKUP(Electricity[[#This Row],[Month]], dropdown!$S$4:$T$15, 2, FALSE),"")</f>
        <v/>
      </c>
      <c r="L60" s="197"/>
      <c r="M60" s="246"/>
      <c r="N60" s="247"/>
      <c r="O60" s="199"/>
      <c r="P60" s="48"/>
      <c r="Q60" s="20"/>
    </row>
    <row r="61" spans="9:17" x14ac:dyDescent="0.2">
      <c r="I61" s="194" t="str">
        <f t="shared" si="1"/>
        <v/>
      </c>
      <c r="J61" s="196"/>
      <c r="K61" s="425" t="str">
        <f>IF(Electricity[[#This Row],[Month]]&lt;&gt;"",VLOOKUP(Electricity[[#This Row],[Month]], dropdown!$S$4:$T$15, 2, FALSE),"")</f>
        <v/>
      </c>
      <c r="L61" s="197"/>
      <c r="M61" s="246"/>
      <c r="N61" s="247"/>
      <c r="O61" s="199"/>
      <c r="P61" s="48"/>
      <c r="Q61" s="20"/>
    </row>
    <row r="62" spans="9:17" x14ac:dyDescent="0.2">
      <c r="I62" s="194" t="str">
        <f t="shared" si="1"/>
        <v/>
      </c>
      <c r="J62" s="196"/>
      <c r="K62" s="425" t="str">
        <f>IF(Electricity[[#This Row],[Month]]&lt;&gt;"",VLOOKUP(Electricity[[#This Row],[Month]], dropdown!$S$4:$T$15, 2, FALSE),"")</f>
        <v/>
      </c>
      <c r="L62" s="197"/>
      <c r="M62" s="246"/>
      <c r="N62" s="247"/>
      <c r="O62" s="199"/>
      <c r="P62" s="48"/>
      <c r="Q62" s="20"/>
    </row>
    <row r="63" spans="9:17" x14ac:dyDescent="0.2">
      <c r="I63" s="194" t="str">
        <f t="shared" si="1"/>
        <v/>
      </c>
      <c r="J63" s="196"/>
      <c r="K63" s="425" t="str">
        <f>IF(Electricity[[#This Row],[Month]]&lt;&gt;"",VLOOKUP(Electricity[[#This Row],[Month]], dropdown!$S$4:$T$15, 2, FALSE),"")</f>
        <v/>
      </c>
      <c r="L63" s="197"/>
      <c r="M63" s="246"/>
      <c r="N63" s="247"/>
      <c r="O63" s="199"/>
      <c r="P63" s="48"/>
      <c r="Q63" s="20"/>
    </row>
    <row r="64" spans="9:17" x14ac:dyDescent="0.2">
      <c r="I64" s="194" t="str">
        <f t="shared" si="1"/>
        <v/>
      </c>
      <c r="J64" s="196"/>
      <c r="K64" s="425" t="str">
        <f>IF(Electricity[[#This Row],[Month]]&lt;&gt;"",VLOOKUP(Electricity[[#This Row],[Month]], dropdown!$S$4:$T$15, 2, FALSE),"")</f>
        <v/>
      </c>
      <c r="L64" s="197"/>
      <c r="M64" s="246"/>
      <c r="N64" s="247"/>
      <c r="O64" s="199"/>
      <c r="P64" s="48"/>
      <c r="Q64" s="20"/>
    </row>
    <row r="65" spans="9:17" x14ac:dyDescent="0.2">
      <c r="I65" s="194" t="str">
        <f t="shared" si="1"/>
        <v/>
      </c>
      <c r="J65" s="196"/>
      <c r="K65" s="425" t="str">
        <f>IF(Electricity[[#This Row],[Month]]&lt;&gt;"",VLOOKUP(Electricity[[#This Row],[Month]], dropdown!$S$4:$T$15, 2, FALSE),"")</f>
        <v/>
      </c>
      <c r="L65" s="197"/>
      <c r="M65" s="246"/>
      <c r="N65" s="247"/>
      <c r="O65" s="199"/>
      <c r="P65" s="48"/>
      <c r="Q65" s="20"/>
    </row>
    <row r="66" spans="9:17" x14ac:dyDescent="0.2">
      <c r="I66" s="194" t="str">
        <f t="shared" si="1"/>
        <v/>
      </c>
      <c r="J66" s="196"/>
      <c r="K66" s="425" t="str">
        <f>IF(Electricity[[#This Row],[Month]]&lt;&gt;"",VLOOKUP(Electricity[[#This Row],[Month]], dropdown!$S$4:$T$15, 2, FALSE),"")</f>
        <v/>
      </c>
      <c r="L66" s="197"/>
      <c r="M66" s="246"/>
      <c r="N66" s="247"/>
      <c r="O66" s="199"/>
      <c r="P66" s="48"/>
      <c r="Q66" s="20"/>
    </row>
    <row r="67" spans="9:17" x14ac:dyDescent="0.2">
      <c r="I67" s="194" t="str">
        <f t="shared" si="1"/>
        <v/>
      </c>
      <c r="J67" s="196"/>
      <c r="K67" s="425" t="str">
        <f>IF(Electricity[[#This Row],[Month]]&lt;&gt;"",VLOOKUP(Electricity[[#This Row],[Month]], dropdown!$S$4:$T$15, 2, FALSE),"")</f>
        <v/>
      </c>
      <c r="L67" s="197"/>
      <c r="M67" s="246"/>
      <c r="N67" s="247"/>
      <c r="O67" s="199"/>
      <c r="P67" s="48"/>
      <c r="Q67" s="20"/>
    </row>
    <row r="68" spans="9:17" x14ac:dyDescent="0.2">
      <c r="I68" s="194" t="str">
        <f t="shared" si="1"/>
        <v/>
      </c>
      <c r="J68" s="196"/>
      <c r="K68" s="425" t="str">
        <f>IF(Electricity[[#This Row],[Month]]&lt;&gt;"",VLOOKUP(Electricity[[#This Row],[Month]], dropdown!$S$4:$T$15, 2, FALSE),"")</f>
        <v/>
      </c>
      <c r="L68" s="197"/>
      <c r="M68" s="246"/>
      <c r="N68" s="247"/>
      <c r="O68" s="199"/>
      <c r="P68" s="48"/>
      <c r="Q68" s="20"/>
    </row>
    <row r="69" spans="9:17" x14ac:dyDescent="0.2">
      <c r="I69" s="194" t="str">
        <f t="shared" si="1"/>
        <v/>
      </c>
      <c r="J69" s="196"/>
      <c r="K69" s="425" t="str">
        <f>IF(Electricity[[#This Row],[Month]]&lt;&gt;"",VLOOKUP(Electricity[[#This Row],[Month]], dropdown!$S$4:$T$15, 2, FALSE),"")</f>
        <v/>
      </c>
      <c r="L69" s="197"/>
      <c r="M69" s="246"/>
      <c r="N69" s="247"/>
      <c r="O69" s="199"/>
      <c r="P69" s="48"/>
      <c r="Q69" s="20"/>
    </row>
    <row r="70" spans="9:17" x14ac:dyDescent="0.2">
      <c r="I70" s="194" t="str">
        <f t="shared" si="1"/>
        <v/>
      </c>
      <c r="J70" s="196"/>
      <c r="K70" s="425" t="str">
        <f>IF(Electricity[[#This Row],[Month]]&lt;&gt;"",VLOOKUP(Electricity[[#This Row],[Month]], dropdown!$S$4:$T$15, 2, FALSE),"")</f>
        <v/>
      </c>
      <c r="L70" s="197"/>
      <c r="M70" s="246"/>
      <c r="N70" s="247"/>
      <c r="O70" s="199"/>
      <c r="P70" s="48"/>
      <c r="Q70" s="20"/>
    </row>
    <row r="71" spans="9:17" x14ac:dyDescent="0.2">
      <c r="I71" s="194" t="str">
        <f t="shared" si="1"/>
        <v/>
      </c>
      <c r="J71" s="196"/>
      <c r="K71" s="425" t="str">
        <f>IF(Electricity[[#This Row],[Month]]&lt;&gt;"",VLOOKUP(Electricity[[#This Row],[Month]], dropdown!$S$4:$T$15, 2, FALSE),"")</f>
        <v/>
      </c>
      <c r="L71" s="197"/>
      <c r="M71" s="246"/>
      <c r="N71" s="247"/>
      <c r="O71" s="199"/>
      <c r="P71" s="48"/>
      <c r="Q71" s="20"/>
    </row>
    <row r="72" spans="9:17" x14ac:dyDescent="0.2">
      <c r="I72" s="194" t="str">
        <f t="shared" si="1"/>
        <v/>
      </c>
      <c r="J72" s="196"/>
      <c r="K72" s="425" t="str">
        <f>IF(Electricity[[#This Row],[Month]]&lt;&gt;"",VLOOKUP(Electricity[[#This Row],[Month]], dropdown!$S$4:$T$15, 2, FALSE),"")</f>
        <v/>
      </c>
      <c r="L72" s="197"/>
      <c r="M72" s="246"/>
      <c r="N72" s="247"/>
      <c r="O72" s="199"/>
      <c r="P72" s="48"/>
      <c r="Q72" s="20"/>
    </row>
    <row r="73" spans="9:17" x14ac:dyDescent="0.2">
      <c r="I73" s="194" t="str">
        <f t="shared" si="1"/>
        <v/>
      </c>
      <c r="J73" s="196"/>
      <c r="K73" s="425" t="str">
        <f>IF(Electricity[[#This Row],[Month]]&lt;&gt;"",VLOOKUP(Electricity[[#This Row],[Month]], dropdown!$S$4:$T$15, 2, FALSE),"")</f>
        <v/>
      </c>
      <c r="L73" s="197"/>
      <c r="M73" s="246"/>
      <c r="N73" s="247"/>
      <c r="O73" s="199"/>
      <c r="P73" s="48"/>
      <c r="Q73" s="20"/>
    </row>
    <row r="74" spans="9:17" x14ac:dyDescent="0.2">
      <c r="I74" s="194" t="str">
        <f t="shared" si="1"/>
        <v/>
      </c>
      <c r="J74" s="196"/>
      <c r="K74" s="425" t="str">
        <f>IF(Electricity[[#This Row],[Month]]&lt;&gt;"",VLOOKUP(Electricity[[#This Row],[Month]], dropdown!$S$4:$T$15, 2, FALSE),"")</f>
        <v/>
      </c>
      <c r="L74" s="197"/>
      <c r="M74" s="246"/>
      <c r="N74" s="247"/>
      <c r="O74" s="199"/>
      <c r="P74" s="48"/>
      <c r="Q74" s="20"/>
    </row>
    <row r="75" spans="9:17" x14ac:dyDescent="0.2">
      <c r="I75" s="194" t="str">
        <f t="shared" si="1"/>
        <v/>
      </c>
      <c r="J75" s="196"/>
      <c r="K75" s="425" t="str">
        <f>IF(Electricity[[#This Row],[Month]]&lt;&gt;"",VLOOKUP(Electricity[[#This Row],[Month]], dropdown!$S$4:$T$15, 2, FALSE),"")</f>
        <v/>
      </c>
      <c r="L75" s="197"/>
      <c r="M75" s="246"/>
      <c r="N75" s="247"/>
      <c r="O75" s="199"/>
      <c r="P75" s="48"/>
      <c r="Q75" s="20"/>
    </row>
    <row r="76" spans="9:17" x14ac:dyDescent="0.2">
      <c r="I76" s="194" t="str">
        <f t="shared" si="1"/>
        <v/>
      </c>
      <c r="J76" s="196"/>
      <c r="K76" s="425" t="str">
        <f>IF(Electricity[[#This Row],[Month]]&lt;&gt;"",VLOOKUP(Electricity[[#This Row],[Month]], dropdown!$S$4:$T$15, 2, FALSE),"")</f>
        <v/>
      </c>
      <c r="L76" s="197"/>
      <c r="M76" s="246"/>
      <c r="N76" s="247"/>
      <c r="O76" s="199"/>
      <c r="P76" s="48"/>
      <c r="Q76" s="20"/>
    </row>
    <row r="77" spans="9:17" x14ac:dyDescent="0.2">
      <c r="I77" s="194" t="str">
        <f t="shared" si="1"/>
        <v/>
      </c>
      <c r="J77" s="196"/>
      <c r="K77" s="425" t="str">
        <f>IF(Electricity[[#This Row],[Month]]&lt;&gt;"",VLOOKUP(Electricity[[#This Row],[Month]], dropdown!$S$4:$T$15, 2, FALSE),"")</f>
        <v/>
      </c>
      <c r="L77" s="197"/>
      <c r="M77" s="246"/>
      <c r="N77" s="247"/>
      <c r="O77" s="199"/>
      <c r="P77" s="48"/>
      <c r="Q77" s="20"/>
    </row>
    <row r="78" spans="9:17" x14ac:dyDescent="0.2">
      <c r="I78" s="194" t="str">
        <f t="shared" si="1"/>
        <v/>
      </c>
      <c r="J78" s="196"/>
      <c r="K78" s="425" t="str">
        <f>IF(Electricity[[#This Row],[Month]]&lt;&gt;"",VLOOKUP(Electricity[[#This Row],[Month]], dropdown!$S$4:$T$15, 2, FALSE),"")</f>
        <v/>
      </c>
      <c r="L78" s="197"/>
      <c r="M78" s="246"/>
      <c r="N78" s="247"/>
      <c r="O78" s="199"/>
      <c r="P78" s="48"/>
      <c r="Q78" s="20"/>
    </row>
    <row r="79" spans="9:17" x14ac:dyDescent="0.2">
      <c r="I79" s="194" t="str">
        <f t="shared" si="1"/>
        <v/>
      </c>
      <c r="J79" s="196"/>
      <c r="K79" s="425" t="str">
        <f>IF(Electricity[[#This Row],[Month]]&lt;&gt;"",VLOOKUP(Electricity[[#This Row],[Month]], dropdown!$S$4:$T$15, 2, FALSE),"")</f>
        <v/>
      </c>
      <c r="L79" s="197"/>
      <c r="M79" s="246"/>
      <c r="N79" s="247"/>
      <c r="O79" s="199"/>
      <c r="P79" s="48"/>
      <c r="Q79" s="20"/>
    </row>
    <row r="80" spans="9:17" x14ac:dyDescent="0.2">
      <c r="I80" s="194" t="str">
        <f t="shared" si="1"/>
        <v/>
      </c>
      <c r="J80" s="196"/>
      <c r="K80" s="425" t="str">
        <f>IF(Electricity[[#This Row],[Month]]&lt;&gt;"",VLOOKUP(Electricity[[#This Row],[Month]], dropdown!$S$4:$T$15, 2, FALSE),"")</f>
        <v/>
      </c>
      <c r="L80" s="197"/>
      <c r="M80" s="246"/>
      <c r="N80" s="247"/>
      <c r="O80" s="199"/>
      <c r="P80" s="48"/>
      <c r="Q80" s="20"/>
    </row>
    <row r="81" spans="9:17" x14ac:dyDescent="0.2">
      <c r="I81" s="194" t="str">
        <f t="shared" si="1"/>
        <v/>
      </c>
      <c r="J81" s="196"/>
      <c r="K81" s="425"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5" t="str">
        <f>IF(Electricity[[#This Row],[Month]]&lt;&gt;"",VLOOKUP(Electricity[[#This Row],[Month]], dropdown!$S$4:$T$15, 2, FALSE),"")</f>
        <v/>
      </c>
      <c r="L82" s="197"/>
      <c r="M82" s="246"/>
      <c r="N82" s="247"/>
      <c r="O82" s="199"/>
      <c r="P82" s="48"/>
      <c r="Q82" s="20"/>
    </row>
    <row r="83" spans="9:17" x14ac:dyDescent="0.2">
      <c r="I83" s="194" t="str">
        <f t="shared" si="2"/>
        <v/>
      </c>
      <c r="J83" s="196"/>
      <c r="K83" s="425" t="str">
        <f>IF(Electricity[[#This Row],[Month]]&lt;&gt;"",VLOOKUP(Electricity[[#This Row],[Month]], dropdown!$S$4:$T$15, 2, FALSE),"")</f>
        <v/>
      </c>
      <c r="L83" s="197"/>
      <c r="M83" s="246"/>
      <c r="N83" s="247"/>
      <c r="O83" s="199"/>
      <c r="P83" s="48"/>
      <c r="Q83" s="20"/>
    </row>
    <row r="84" spans="9:17" x14ac:dyDescent="0.2">
      <c r="I84" s="194" t="str">
        <f t="shared" si="2"/>
        <v/>
      </c>
      <c r="J84" s="196"/>
      <c r="K84" s="425" t="str">
        <f>IF(Electricity[[#This Row],[Month]]&lt;&gt;"",VLOOKUP(Electricity[[#This Row],[Month]], dropdown!$S$4:$T$15, 2, FALSE),"")</f>
        <v/>
      </c>
      <c r="L84" s="197"/>
      <c r="M84" s="246"/>
      <c r="N84" s="247"/>
      <c r="O84" s="199"/>
      <c r="P84" s="48"/>
      <c r="Q84" s="20"/>
    </row>
    <row r="85" spans="9:17" x14ac:dyDescent="0.2">
      <c r="I85" s="194" t="str">
        <f t="shared" si="2"/>
        <v/>
      </c>
      <c r="J85" s="196"/>
      <c r="K85" s="425" t="str">
        <f>IF(Electricity[[#This Row],[Month]]&lt;&gt;"",VLOOKUP(Electricity[[#This Row],[Month]], dropdown!$S$4:$T$15, 2, FALSE),"")</f>
        <v/>
      </c>
      <c r="L85" s="197"/>
      <c r="M85" s="246"/>
      <c r="N85" s="247"/>
      <c r="O85" s="199"/>
      <c r="P85" s="48"/>
      <c r="Q85" s="20"/>
    </row>
    <row r="86" spans="9:17" x14ac:dyDescent="0.2">
      <c r="I86" s="194" t="str">
        <f t="shared" si="2"/>
        <v/>
      </c>
      <c r="J86" s="196"/>
      <c r="K86" s="425" t="str">
        <f>IF(Electricity[[#This Row],[Month]]&lt;&gt;"",VLOOKUP(Electricity[[#This Row],[Month]], dropdown!$S$4:$T$15, 2, FALSE),"")</f>
        <v/>
      </c>
      <c r="L86" s="197"/>
      <c r="M86" s="246"/>
      <c r="N86" s="247"/>
      <c r="O86" s="199"/>
      <c r="P86" s="48"/>
      <c r="Q86" s="20"/>
    </row>
    <row r="87" spans="9:17" x14ac:dyDescent="0.2">
      <c r="I87" s="194" t="str">
        <f t="shared" si="2"/>
        <v/>
      </c>
      <c r="J87" s="196"/>
      <c r="K87" s="425" t="str">
        <f>IF(Electricity[[#This Row],[Month]]&lt;&gt;"",VLOOKUP(Electricity[[#This Row],[Month]], dropdown!$S$4:$T$15, 2, FALSE),"")</f>
        <v/>
      </c>
      <c r="L87" s="197"/>
      <c r="M87" s="246"/>
      <c r="N87" s="247"/>
      <c r="O87" s="199"/>
      <c r="P87" s="48"/>
      <c r="Q87" s="20"/>
    </row>
    <row r="88" spans="9:17" x14ac:dyDescent="0.2">
      <c r="I88" s="194" t="str">
        <f t="shared" si="2"/>
        <v/>
      </c>
      <c r="J88" s="196"/>
      <c r="K88" s="425" t="str">
        <f>IF(Electricity[[#This Row],[Month]]&lt;&gt;"",VLOOKUP(Electricity[[#This Row],[Month]], dropdown!$S$4:$T$15, 2, FALSE),"")</f>
        <v/>
      </c>
      <c r="L88" s="197"/>
      <c r="M88" s="246"/>
      <c r="N88" s="247"/>
      <c r="O88" s="199"/>
      <c r="P88" s="48"/>
      <c r="Q88" s="20"/>
    </row>
    <row r="89" spans="9:17" x14ac:dyDescent="0.2">
      <c r="I89" s="194" t="str">
        <f t="shared" si="2"/>
        <v/>
      </c>
      <c r="J89" s="196"/>
      <c r="K89" s="425" t="str">
        <f>IF(Electricity[[#This Row],[Month]]&lt;&gt;"",VLOOKUP(Electricity[[#This Row],[Month]], dropdown!$S$4:$T$15, 2, FALSE),"")</f>
        <v/>
      </c>
      <c r="L89" s="197"/>
      <c r="M89" s="246"/>
      <c r="N89" s="247"/>
      <c r="O89" s="199"/>
      <c r="P89" s="48"/>
      <c r="Q89" s="20"/>
    </row>
    <row r="90" spans="9:17" x14ac:dyDescent="0.2">
      <c r="I90" s="194" t="str">
        <f t="shared" si="2"/>
        <v/>
      </c>
      <c r="J90" s="196"/>
      <c r="K90" s="425" t="str">
        <f>IF(Electricity[[#This Row],[Month]]&lt;&gt;"",VLOOKUP(Electricity[[#This Row],[Month]], dropdown!$S$4:$T$15, 2, FALSE),"")</f>
        <v/>
      </c>
      <c r="L90" s="197"/>
      <c r="M90" s="246"/>
      <c r="N90" s="247"/>
      <c r="O90" s="199"/>
      <c r="P90" s="48"/>
      <c r="Q90" s="20"/>
    </row>
    <row r="91" spans="9:17" x14ac:dyDescent="0.2">
      <c r="I91" s="194" t="str">
        <f t="shared" si="2"/>
        <v/>
      </c>
      <c r="J91" s="196"/>
      <c r="K91" s="425" t="str">
        <f>IF(Electricity[[#This Row],[Month]]&lt;&gt;"",VLOOKUP(Electricity[[#This Row],[Month]], dropdown!$S$4:$T$15, 2, FALSE),"")</f>
        <v/>
      </c>
      <c r="L91" s="197"/>
      <c r="M91" s="246"/>
      <c r="N91" s="247"/>
      <c r="O91" s="199"/>
      <c r="P91" s="48"/>
      <c r="Q91" s="20"/>
    </row>
    <row r="92" spans="9:17" x14ac:dyDescent="0.2">
      <c r="I92" s="194" t="str">
        <f t="shared" si="2"/>
        <v/>
      </c>
      <c r="J92" s="196"/>
      <c r="K92" s="425" t="str">
        <f>IF(Electricity[[#This Row],[Month]]&lt;&gt;"",VLOOKUP(Electricity[[#This Row],[Month]], dropdown!$S$4:$T$15, 2, FALSE),"")</f>
        <v/>
      </c>
      <c r="L92" s="197"/>
      <c r="M92" s="246"/>
      <c r="N92" s="247"/>
      <c r="O92" s="199"/>
      <c r="P92" s="48"/>
      <c r="Q92" s="20"/>
    </row>
    <row r="93" spans="9:17" x14ac:dyDescent="0.2">
      <c r="I93" s="194" t="str">
        <f t="shared" si="2"/>
        <v/>
      </c>
      <c r="J93" s="196"/>
      <c r="K93" s="425" t="str">
        <f>IF(Electricity[[#This Row],[Month]]&lt;&gt;"",VLOOKUP(Electricity[[#This Row],[Month]], dropdown!$S$4:$T$15, 2, FALSE),"")</f>
        <v/>
      </c>
      <c r="L93" s="197"/>
      <c r="M93" s="246"/>
      <c r="N93" s="247"/>
      <c r="O93" s="199"/>
      <c r="P93" s="48"/>
      <c r="Q93" s="20"/>
    </row>
    <row r="94" spans="9:17" x14ac:dyDescent="0.2">
      <c r="I94" s="194" t="str">
        <f t="shared" si="2"/>
        <v/>
      </c>
      <c r="J94" s="196"/>
      <c r="K94" s="425" t="str">
        <f>IF(Electricity[[#This Row],[Month]]&lt;&gt;"",VLOOKUP(Electricity[[#This Row],[Month]], dropdown!$S$4:$T$15, 2, FALSE),"")</f>
        <v/>
      </c>
      <c r="L94" s="197"/>
      <c r="M94" s="246"/>
      <c r="N94" s="247"/>
      <c r="O94" s="199"/>
      <c r="P94" s="48"/>
      <c r="Q94" s="20"/>
    </row>
    <row r="95" spans="9:17" x14ac:dyDescent="0.2">
      <c r="I95" s="194" t="str">
        <f t="shared" si="2"/>
        <v/>
      </c>
      <c r="J95" s="196"/>
      <c r="K95" s="425" t="str">
        <f>IF(Electricity[[#This Row],[Month]]&lt;&gt;"",VLOOKUP(Electricity[[#This Row],[Month]], dropdown!$S$4:$T$15, 2, FALSE),"")</f>
        <v/>
      </c>
      <c r="L95" s="197"/>
      <c r="M95" s="246"/>
      <c r="N95" s="247"/>
      <c r="O95" s="199"/>
      <c r="P95" s="48"/>
      <c r="Q95" s="20"/>
    </row>
    <row r="96" spans="9:17" x14ac:dyDescent="0.2">
      <c r="I96" s="194" t="str">
        <f t="shared" si="2"/>
        <v/>
      </c>
      <c r="J96" s="196"/>
      <c r="K96" s="425" t="str">
        <f>IF(Electricity[[#This Row],[Month]]&lt;&gt;"",VLOOKUP(Electricity[[#This Row],[Month]], dropdown!$S$4:$T$15, 2, FALSE),"")</f>
        <v/>
      </c>
      <c r="L96" s="197"/>
      <c r="M96" s="246"/>
      <c r="N96" s="247"/>
      <c r="O96" s="199"/>
      <c r="P96" s="48"/>
      <c r="Q96" s="20"/>
    </row>
    <row r="97" spans="9:17" x14ac:dyDescent="0.2">
      <c r="I97" s="194" t="str">
        <f t="shared" si="2"/>
        <v/>
      </c>
      <c r="J97" s="196"/>
      <c r="K97" s="425" t="str">
        <f>IF(Electricity[[#This Row],[Month]]&lt;&gt;"",VLOOKUP(Electricity[[#This Row],[Month]], dropdown!$S$4:$T$15, 2, FALSE),"")</f>
        <v/>
      </c>
      <c r="L97" s="197"/>
      <c r="M97" s="246"/>
      <c r="N97" s="247"/>
      <c r="O97" s="199"/>
      <c r="P97" s="48"/>
      <c r="Q97" s="20"/>
    </row>
    <row r="98" spans="9:17" x14ac:dyDescent="0.2">
      <c r="I98" s="194" t="str">
        <f t="shared" si="2"/>
        <v/>
      </c>
      <c r="J98" s="196"/>
      <c r="K98" s="425" t="str">
        <f>IF(Electricity[[#This Row],[Month]]&lt;&gt;"",VLOOKUP(Electricity[[#This Row],[Month]], dropdown!$S$4:$T$15, 2, FALSE),"")</f>
        <v/>
      </c>
      <c r="L98" s="197"/>
      <c r="M98" s="246"/>
      <c r="N98" s="247"/>
      <c r="O98" s="199"/>
      <c r="P98" s="48"/>
      <c r="Q98" s="20"/>
    </row>
    <row r="99" spans="9:17" x14ac:dyDescent="0.2">
      <c r="I99" s="194" t="str">
        <f t="shared" si="2"/>
        <v/>
      </c>
      <c r="J99" s="196"/>
      <c r="K99" s="425" t="str">
        <f>IF(Electricity[[#This Row],[Month]]&lt;&gt;"",VLOOKUP(Electricity[[#This Row],[Month]], dropdown!$S$4:$T$15, 2, FALSE),"")</f>
        <v/>
      </c>
      <c r="L99" s="197"/>
      <c r="M99" s="246"/>
      <c r="N99" s="247"/>
      <c r="O99" s="199"/>
      <c r="P99" s="48"/>
      <c r="Q99" s="20"/>
    </row>
    <row r="100" spans="9:17" x14ac:dyDescent="0.2">
      <c r="I100" s="194" t="str">
        <f t="shared" si="2"/>
        <v/>
      </c>
      <c r="J100" s="196"/>
      <c r="K100" s="425" t="str">
        <f>IF(Electricity[[#This Row],[Month]]&lt;&gt;"",VLOOKUP(Electricity[[#This Row],[Month]], dropdown!$S$4:$T$15, 2, FALSE),"")</f>
        <v/>
      </c>
      <c r="L100" s="197"/>
      <c r="M100" s="246"/>
      <c r="N100" s="247"/>
      <c r="O100" s="199"/>
      <c r="P100" s="48"/>
      <c r="Q100" s="20"/>
    </row>
    <row r="101" spans="9:17" x14ac:dyDescent="0.2">
      <c r="I101" s="194" t="str">
        <f t="shared" si="2"/>
        <v/>
      </c>
      <c r="J101" s="196"/>
      <c r="K101" s="425" t="str">
        <f>IF(Electricity[[#This Row],[Month]]&lt;&gt;"",VLOOKUP(Electricity[[#This Row],[Month]], dropdown!$S$4:$T$15, 2, FALSE),"")</f>
        <v/>
      </c>
      <c r="L101" s="197"/>
      <c r="M101" s="246"/>
      <c r="N101" s="247"/>
      <c r="O101" s="199"/>
      <c r="P101" s="48"/>
      <c r="Q101" s="20"/>
    </row>
    <row r="102" spans="9:17" x14ac:dyDescent="0.2">
      <c r="I102" s="194" t="str">
        <f t="shared" si="2"/>
        <v/>
      </c>
      <c r="J102" s="196"/>
      <c r="K102" s="425" t="str">
        <f>IF(Electricity[[#This Row],[Month]]&lt;&gt;"",VLOOKUP(Electricity[[#This Row],[Month]], dropdown!$S$4:$T$15, 2, FALSE),"")</f>
        <v/>
      </c>
      <c r="L102" s="197"/>
      <c r="M102" s="246"/>
      <c r="N102" s="247"/>
      <c r="O102" s="199"/>
      <c r="P102" s="48"/>
      <c r="Q102" s="20"/>
    </row>
    <row r="103" spans="9:17" x14ac:dyDescent="0.2">
      <c r="I103" s="194" t="str">
        <f t="shared" si="2"/>
        <v/>
      </c>
      <c r="J103" s="196"/>
      <c r="K103" s="425" t="str">
        <f>IF(Electricity[[#This Row],[Month]]&lt;&gt;"",VLOOKUP(Electricity[[#This Row],[Month]], dropdown!$S$4:$T$15, 2, FALSE),"")</f>
        <v/>
      </c>
      <c r="L103" s="197"/>
      <c r="M103" s="246"/>
      <c r="N103" s="247"/>
      <c r="O103" s="199"/>
      <c r="P103" s="48"/>
      <c r="Q103" s="20"/>
    </row>
    <row r="104" spans="9:17" x14ac:dyDescent="0.2">
      <c r="I104" s="194" t="str">
        <f t="shared" si="2"/>
        <v/>
      </c>
      <c r="J104" s="196"/>
      <c r="K104" s="425" t="str">
        <f>IF(Electricity[[#This Row],[Month]]&lt;&gt;"",VLOOKUP(Electricity[[#This Row],[Month]], dropdown!$S$4:$T$15, 2, FALSE),"")</f>
        <v/>
      </c>
      <c r="L104" s="197"/>
      <c r="M104" s="246"/>
      <c r="N104" s="247"/>
      <c r="O104" s="199"/>
      <c r="P104" s="48"/>
      <c r="Q104" s="20"/>
    </row>
    <row r="105" spans="9:17" x14ac:dyDescent="0.2">
      <c r="I105" s="194" t="str">
        <f t="shared" si="2"/>
        <v/>
      </c>
      <c r="J105" s="196"/>
      <c r="K105" s="425" t="str">
        <f>IF(Electricity[[#This Row],[Month]]&lt;&gt;"",VLOOKUP(Electricity[[#This Row],[Month]], dropdown!$S$4:$T$15, 2, FALSE),"")</f>
        <v/>
      </c>
      <c r="L105" s="197"/>
      <c r="M105" s="246"/>
      <c r="N105" s="247"/>
      <c r="O105" s="199"/>
      <c r="P105" s="48"/>
      <c r="Q105" s="20"/>
    </row>
    <row r="106" spans="9:17" x14ac:dyDescent="0.2">
      <c r="I106" s="194" t="str">
        <f t="shared" si="2"/>
        <v/>
      </c>
      <c r="J106" s="196"/>
      <c r="K106" s="425" t="str">
        <f>IF(Electricity[[#This Row],[Month]]&lt;&gt;"",VLOOKUP(Electricity[[#This Row],[Month]], dropdown!$S$4:$T$15, 2, FALSE),"")</f>
        <v/>
      </c>
      <c r="L106" s="197"/>
      <c r="M106" s="246"/>
      <c r="N106" s="247"/>
      <c r="O106" s="199"/>
      <c r="P106" s="48"/>
      <c r="Q106" s="20"/>
    </row>
    <row r="107" spans="9:17" x14ac:dyDescent="0.2">
      <c r="I107" s="194" t="str">
        <f t="shared" si="2"/>
        <v/>
      </c>
      <c r="J107" s="196"/>
      <c r="K107" s="425"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7" t="s">
        <v>210</v>
      </c>
      <c r="J3" s="285"/>
      <c r="K3" s="285"/>
      <c r="L3" s="285"/>
      <c r="M3" s="285"/>
      <c r="N3" s="289"/>
    </row>
    <row r="4" spans="2:16" x14ac:dyDescent="0.2">
      <c r="B4" s="161">
        <f>'1. Data Info and Summary'!$D$2</f>
        <v>0</v>
      </c>
      <c r="C4" s="37"/>
      <c r="D4" s="38" t="str">
        <f>IF('1. Data Info and Summary'!$D$3=0,"-",'1. Data Info and Summary'!$D$3)</f>
        <v>-</v>
      </c>
      <c r="E4" s="37"/>
      <c r="F4" s="37" t="s">
        <v>211</v>
      </c>
      <c r="G4" s="39"/>
      <c r="I4" s="428"/>
      <c r="J4" s="293"/>
      <c r="K4" s="293"/>
      <c r="L4" s="293"/>
      <c r="M4" s="293"/>
      <c r="N4" s="297"/>
    </row>
    <row r="5" spans="2:16" x14ac:dyDescent="0.2">
      <c r="B5" s="271"/>
      <c r="D5" s="271"/>
    </row>
    <row r="6" spans="2:16" ht="30" x14ac:dyDescent="0.2">
      <c r="B6" s="278" t="s">
        <v>172</v>
      </c>
      <c r="C6" s="445"/>
      <c r="D6" s="446"/>
      <c r="E6" s="446"/>
      <c r="F6" s="446"/>
      <c r="G6" s="447"/>
      <c r="I6" s="248" t="s">
        <v>173</v>
      </c>
      <c r="J6" s="249" t="s">
        <v>39</v>
      </c>
      <c r="K6" s="249" t="s">
        <v>43</v>
      </c>
      <c r="L6" s="250" t="s">
        <v>115</v>
      </c>
      <c r="M6" s="352" t="s">
        <v>212</v>
      </c>
      <c r="N6" s="253" t="s">
        <v>54</v>
      </c>
      <c r="O6" s="349"/>
    </row>
    <row r="7" spans="2:16" x14ac:dyDescent="0.2">
      <c r="B7" s="278" t="s">
        <v>174</v>
      </c>
      <c r="C7" s="445"/>
      <c r="D7" s="446"/>
      <c r="E7" s="446"/>
      <c r="F7" s="446"/>
      <c r="G7" s="447"/>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K1" zoomScaleNormal="100" workbookViewId="0">
      <selection activeCell="U8" sqref="U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f>'1. Data Info and Summary'!$D$2</f>
        <v>0</v>
      </c>
      <c r="C4" s="37"/>
      <c r="D4" s="38" t="str">
        <f>IF('1. Data Info and Summary'!$D$3=0,"-",'1. Data Info and Summary'!$D$3)</f>
        <v>-</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5"/>
      <c r="D6" s="446"/>
      <c r="E6" s="446"/>
      <c r="F6" s="446"/>
      <c r="G6" s="447"/>
      <c r="I6" s="134" t="s">
        <v>120</v>
      </c>
      <c r="J6" s="65"/>
      <c r="K6" s="65"/>
      <c r="L6" s="65"/>
      <c r="M6" s="65"/>
      <c r="N6" s="66"/>
      <c r="P6" s="134" t="s">
        <v>128</v>
      </c>
      <c r="Q6" s="65"/>
      <c r="R6" s="65"/>
      <c r="S6" s="65"/>
      <c r="T6" s="66"/>
      <c r="U6" s="66"/>
      <c r="W6" s="20"/>
    </row>
    <row r="7" spans="2:23" ht="12.75" customHeight="1" x14ac:dyDescent="0.2">
      <c r="B7" s="278" t="s">
        <v>174</v>
      </c>
      <c r="C7" s="445"/>
      <c r="D7" s="446"/>
      <c r="E7" s="446"/>
      <c r="F7" s="446"/>
      <c r="G7" s="447"/>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55</v>
      </c>
      <c r="N8" s="195"/>
      <c r="O8" s="44"/>
      <c r="P8" s="194">
        <f>IF($T8="","",1)</f>
        <v>1</v>
      </c>
      <c r="Q8" s="58" t="s">
        <v>338</v>
      </c>
      <c r="R8" s="18" t="str">
        <f>IF(water_out[[#This Row],[Month]]&lt;&gt;"",VLOOKUP(water_out[[#This Row],[Month]], dropdown!$S$4:$T$15, 2, FALSE),"")</f>
        <v>Q1</v>
      </c>
      <c r="S8" s="60" t="s">
        <v>364</v>
      </c>
      <c r="T8" s="29">
        <v>44</v>
      </c>
      <c r="U8" s="195" t="s">
        <v>1431</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64</v>
      </c>
      <c r="N9" s="195"/>
      <c r="O9" s="44"/>
      <c r="P9" s="194">
        <f>IF($T9="","",$P8+1)</f>
        <v>2</v>
      </c>
      <c r="Q9" s="58" t="s">
        <v>89</v>
      </c>
      <c r="R9" s="18" t="str">
        <f>IF(water_out[[#This Row],[Month]]&lt;&gt;"",VLOOKUP(water_out[[#This Row],[Month]], dropdown!$S$4:$T$15, 2, FALSE),"")</f>
        <v>Q1</v>
      </c>
      <c r="S9" s="60" t="s">
        <v>364</v>
      </c>
      <c r="T9" s="29">
        <v>51.2</v>
      </c>
      <c r="U9" s="195" t="s">
        <v>1431</v>
      </c>
      <c r="W9" s="20"/>
    </row>
    <row r="10" spans="2:23" ht="14" x14ac:dyDescent="0.2">
      <c r="B10" s="13" t="s">
        <v>157</v>
      </c>
      <c r="C10" s="13" t="s">
        <v>51</v>
      </c>
      <c r="D10" s="40" t="s">
        <v>45</v>
      </c>
      <c r="E10" s="40" t="s">
        <v>149</v>
      </c>
      <c r="F10" s="40" t="s">
        <v>150</v>
      </c>
      <c r="G10" s="40" t="s">
        <v>151</v>
      </c>
      <c r="I10" s="194">
        <f t="shared" ref="I10:I73" si="0">IF($M10="","",$I9+1)</f>
        <v>3</v>
      </c>
      <c r="J10" s="58" t="s">
        <v>362</v>
      </c>
      <c r="K10" s="425" t="str">
        <f>IF(water_in[[#This Row],[Month]]&lt;&gt;"",VLOOKUP(water_in[[#This Row],[Month]], dropdown!$S$4:$T$15, 2, FALSE),"")</f>
        <v>Q1</v>
      </c>
      <c r="L10" s="58" t="s">
        <v>124</v>
      </c>
      <c r="M10" s="29">
        <v>72</v>
      </c>
      <c r="N10" s="195"/>
      <c r="O10" s="44"/>
      <c r="P10" s="194">
        <f t="shared" ref="P10:P73" si="1">IF($T10="","",$P9+1)</f>
        <v>3</v>
      </c>
      <c r="Q10" s="58" t="s">
        <v>362</v>
      </c>
      <c r="R10" s="18" t="str">
        <f>IF(water_out[[#This Row],[Month]]&lt;&gt;"",VLOOKUP(water_out[[#This Row],[Month]], dropdown!$S$4:$T$15, 2, FALSE),"")</f>
        <v>Q1</v>
      </c>
      <c r="S10" s="60" t="s">
        <v>364</v>
      </c>
      <c r="T10" s="29">
        <v>57.6</v>
      </c>
      <c r="U10" s="195" t="s">
        <v>1431</v>
      </c>
      <c r="W10" s="20"/>
    </row>
    <row r="11" spans="2:23" ht="14" x14ac:dyDescent="0.2">
      <c r="B11" s="17" t="s">
        <v>120</v>
      </c>
      <c r="C11" s="17" t="s">
        <v>220</v>
      </c>
      <c r="D11" s="41">
        <f>SUMIFS(water_in[Volume (m3)],water_in[Quarter],D$10)</f>
        <v>191</v>
      </c>
      <c r="E11" s="41">
        <f>SUMIFS(water_in[Volume (m3)],water_in[Quarter],E$10)</f>
        <v>249</v>
      </c>
      <c r="F11" s="41">
        <f>SUMIFS(water_in[Volume (m3)],water_in[Quarter],F$10)</f>
        <v>0</v>
      </c>
      <c r="G11" s="41">
        <f>SUMIFS(water_in[Volume (m3)],water_in[Quarter],G$10)</f>
        <v>0</v>
      </c>
      <c r="I11" s="194">
        <f t="shared" si="0"/>
        <v>4</v>
      </c>
      <c r="J11" s="58" t="s">
        <v>371</v>
      </c>
      <c r="K11" s="425" t="str">
        <f>IF(water_in[[#This Row],[Month]]&lt;&gt;"",VLOOKUP(water_in[[#This Row],[Month]], dropdown!$S$4:$T$15, 2, FALSE),"")</f>
        <v>Q2</v>
      </c>
      <c r="L11" s="58" t="s">
        <v>124</v>
      </c>
      <c r="M11" s="29">
        <v>80</v>
      </c>
      <c r="N11" s="195"/>
      <c r="O11" s="44"/>
      <c r="P11" s="194">
        <f t="shared" si="1"/>
        <v>4</v>
      </c>
      <c r="Q11" s="58" t="s">
        <v>371</v>
      </c>
      <c r="R11" s="18" t="str">
        <f>IF(water_out[[#This Row],[Month]]&lt;&gt;"",VLOOKUP(water_out[[#This Row],[Month]], dropdown!$S$4:$T$15, 2, FALSE),"")</f>
        <v>Q2</v>
      </c>
      <c r="S11" s="60" t="s">
        <v>364</v>
      </c>
      <c r="T11" s="29">
        <v>64</v>
      </c>
      <c r="U11" s="195" t="s">
        <v>1431</v>
      </c>
      <c r="W11" s="20"/>
    </row>
    <row r="12" spans="2:23" ht="14" x14ac:dyDescent="0.2">
      <c r="B12" s="17" t="s">
        <v>128</v>
      </c>
      <c r="C12" s="17" t="s">
        <v>220</v>
      </c>
      <c r="D12" s="41">
        <f>SUMIFS(water_out[Volume2 (m3)],water_out[Quarter],D$10)</f>
        <v>152.80000000000001</v>
      </c>
      <c r="E12" s="41">
        <f>SUMIFS(water_out[Volume2 (m3)],water_out[Quarter],E$10)</f>
        <v>199.2</v>
      </c>
      <c r="F12" s="41">
        <f>SUMIFS(water_out[Volume2 (m3)],water_out[Quarter],F$10)</f>
        <v>0</v>
      </c>
      <c r="G12" s="41">
        <f>SUMIFS(water_out[Volume2 (m3)],water_out[Quarter],G$10)</f>
        <v>0</v>
      </c>
      <c r="I12" s="194">
        <f t="shared" si="0"/>
        <v>5</v>
      </c>
      <c r="J12" s="58" t="s">
        <v>379</v>
      </c>
      <c r="K12" s="425" t="str">
        <f>IF(water_in[[#This Row],[Month]]&lt;&gt;"",VLOOKUP(water_in[[#This Row],[Month]], dropdown!$S$4:$T$15, 2, FALSE),"")</f>
        <v>Q2</v>
      </c>
      <c r="L12" s="58" t="s">
        <v>124</v>
      </c>
      <c r="M12" s="29">
        <v>80</v>
      </c>
      <c r="N12" s="195"/>
      <c r="O12" s="44" t="str">
        <f>IF(J12="","",VLOOKUP($J12,dropdown!$S$3:$T$15,2,FALSE))</f>
        <v>Q2</v>
      </c>
      <c r="P12" s="194">
        <f t="shared" si="1"/>
        <v>5</v>
      </c>
      <c r="Q12" s="58" t="s">
        <v>379</v>
      </c>
      <c r="R12" s="18" t="str">
        <f>IF(water_out[[#This Row],[Month]]&lt;&gt;"",VLOOKUP(water_out[[#This Row],[Month]], dropdown!$S$4:$T$15, 2, FALSE),"")</f>
        <v>Q2</v>
      </c>
      <c r="S12" s="60" t="s">
        <v>364</v>
      </c>
      <c r="T12" s="29">
        <v>64</v>
      </c>
      <c r="U12" s="195" t="s">
        <v>1431</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5" t="str">
        <f>IF(water_in[[#This Row],[Month]]&lt;&gt;"",VLOOKUP(water_in[[#This Row],[Month]], dropdown!$S$4:$T$15, 2, FALSE),"")</f>
        <v>Q2</v>
      </c>
      <c r="L13" s="58" t="s">
        <v>124</v>
      </c>
      <c r="M13" s="29">
        <v>89</v>
      </c>
      <c r="N13" s="195"/>
      <c r="O13" s="44" t="str">
        <f>IF(J13="","",VLOOKUP($J13,dropdown!$S$3:$T$15,2,FALSE))</f>
        <v>Q2</v>
      </c>
      <c r="P13" s="194">
        <f t="shared" si="1"/>
        <v>6</v>
      </c>
      <c r="Q13" s="58" t="s">
        <v>386</v>
      </c>
      <c r="R13" s="18" t="str">
        <f>IF(water_out[[#This Row],[Month]]&lt;&gt;"",VLOOKUP(water_out[[#This Row],[Month]], dropdown!$S$4:$T$15, 2, FALSE),"")</f>
        <v>Q2</v>
      </c>
      <c r="S13" s="60" t="s">
        <v>364</v>
      </c>
      <c r="T13" s="29">
        <v>71.2</v>
      </c>
      <c r="U13" s="195" t="s">
        <v>1431</v>
      </c>
      <c r="W13" s="20"/>
    </row>
    <row r="14" spans="2:23" ht="14" x14ac:dyDescent="0.2">
      <c r="B14" s="119" t="s">
        <v>38</v>
      </c>
      <c r="I14" s="194" t="str">
        <f t="shared" si="0"/>
        <v/>
      </c>
      <c r="J14" s="58"/>
      <c r="K14" s="425"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5"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5"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5"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5"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5"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5"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5"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5"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5"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5"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5"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5"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5"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5"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5"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5"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5"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5"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5"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5"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5"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5"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5"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5"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5"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5"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5"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5"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5"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5"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5"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5"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5"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5"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5"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5"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5"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5"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5"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5"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5"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5"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5"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5"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5"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5"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5"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5"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5"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5"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5"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5"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5"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5"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5"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5"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5"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5"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5"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5"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5"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5"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5"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5"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5"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5"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5"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5"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5"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5"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5"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5"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5"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5"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5"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5"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5"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5"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5"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5"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5"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5"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5"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5"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5"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5"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5"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5"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5"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5"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5"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5"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5"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f>'1. Data Info and Summary'!$D$2</f>
        <v>0</v>
      </c>
      <c r="C4" s="37"/>
      <c r="D4" s="38">
        <f>'1. Data Info and Summary'!$D$3</f>
        <v>0</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20" zoomScaleNormal="100" workbookViewId="0">
      <selection activeCell="O19" sqref="O1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f>'1. Data Info and Summary'!$D$2</f>
        <v>0</v>
      </c>
      <c r="C4" s="37"/>
      <c r="D4" s="38" t="str">
        <f>IF('1. Data Info and Summary'!$D$3=0,"-",'1. Data Info and Summary'!$D$3)</f>
        <v>-</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5"/>
      <c r="D6" s="446"/>
      <c r="E6" s="446"/>
      <c r="F6" s="446"/>
      <c r="G6" s="447"/>
      <c r="I6" s="408" t="s">
        <v>282</v>
      </c>
      <c r="J6" s="406"/>
      <c r="K6" s="406"/>
      <c r="L6" s="406"/>
      <c r="M6" s="407"/>
      <c r="N6" s="406"/>
      <c r="O6" s="406"/>
      <c r="Q6" s="44"/>
    </row>
    <row r="7" spans="2:17" ht="25.5" customHeight="1" x14ac:dyDescent="0.2">
      <c r="B7" s="278" t="s">
        <v>174</v>
      </c>
      <c r="C7" s="445"/>
      <c r="D7" s="446"/>
      <c r="E7" s="446"/>
      <c r="F7" s="446"/>
      <c r="G7" s="447"/>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318</v>
      </c>
      <c r="M8" s="29">
        <v>2</v>
      </c>
      <c r="N8" s="57" t="s">
        <v>313</v>
      </c>
      <c r="O8" s="195" t="s">
        <v>1466</v>
      </c>
      <c r="Q8" s="44"/>
    </row>
    <row r="9" spans="2:17" x14ac:dyDescent="0.2">
      <c r="B9" s="14" t="s">
        <v>134</v>
      </c>
      <c r="C9" s="14"/>
      <c r="D9" s="14"/>
      <c r="E9" s="14"/>
      <c r="F9" s="14"/>
      <c r="G9" s="14"/>
      <c r="I9" s="194">
        <f t="shared" ref="I9:I72" si="0">IF($J9="","",$I8+1)</f>
        <v>2</v>
      </c>
      <c r="J9" s="58" t="s">
        <v>338</v>
      </c>
      <c r="K9" s="194" t="str">
        <f>IF(Waste[[#This Row],[Month]]&lt;&gt;"",VLOOKUP(Waste[[#This Row],[Month]], dropdown!$S$4:$T$15, 2, FALSE),"")</f>
        <v>Q1</v>
      </c>
      <c r="L9" s="57" t="s">
        <v>139</v>
      </c>
      <c r="M9" s="29">
        <v>1600</v>
      </c>
      <c r="N9" s="57" t="s">
        <v>313</v>
      </c>
      <c r="O9" s="195" t="s">
        <v>1466</v>
      </c>
      <c r="Q9" s="44"/>
    </row>
    <row r="10" spans="2:17" x14ac:dyDescent="0.2">
      <c r="B10" s="13" t="s">
        <v>137</v>
      </c>
      <c r="C10" s="13" t="s">
        <v>51</v>
      </c>
      <c r="D10" s="40" t="s">
        <v>45</v>
      </c>
      <c r="E10" s="40" t="s">
        <v>149</v>
      </c>
      <c r="F10" s="40" t="s">
        <v>150</v>
      </c>
      <c r="G10" s="40" t="s">
        <v>151</v>
      </c>
      <c r="I10" s="194">
        <f t="shared" si="0"/>
        <v>3</v>
      </c>
      <c r="J10" s="58" t="s">
        <v>338</v>
      </c>
      <c r="K10" s="194" t="str">
        <f>IF(Waste[[#This Row],[Month]]&lt;&gt;"",VLOOKUP(Waste[[#This Row],[Month]], dropdown!$S$4:$T$15, 2, FALSE),"")</f>
        <v>Q1</v>
      </c>
      <c r="L10" s="57" t="s">
        <v>383</v>
      </c>
      <c r="M10" s="29">
        <v>3</v>
      </c>
      <c r="N10" s="57" t="s">
        <v>313</v>
      </c>
      <c r="O10" s="195" t="s">
        <v>1466</v>
      </c>
      <c r="Q10" s="44"/>
    </row>
    <row r="11" spans="2:17" x14ac:dyDescent="0.2">
      <c r="B11" s="17" t="str">
        <f>dropdown!$B4</f>
        <v>Compostable</v>
      </c>
      <c r="C11" s="17" t="s">
        <v>283</v>
      </c>
      <c r="D11" s="41">
        <f>SUMIFS(Waste[Weight (kg)],Waste[Quarter],D$10,Waste[Waste Composition],$B$11)</f>
        <v>4800</v>
      </c>
      <c r="E11" s="41">
        <f>SUMIFS(Waste[Weight (kg)],Waste[Quarter],E$10,Waste[Waste Composition],$B11)</f>
        <v>4800</v>
      </c>
      <c r="F11" s="41">
        <f>SUMIFS(Waste[Weight (kg)],Waste[Quarter],F$10,Waste[Waste Composition],$B11)</f>
        <v>0</v>
      </c>
      <c r="G11" s="41">
        <f>SUMIFS(Waste[Weight (kg)],Waste[Quarter],G$10,Waste[Waste Composition],$B11)</f>
        <v>0</v>
      </c>
      <c r="I11" s="194">
        <f t="shared" si="0"/>
        <v>4</v>
      </c>
      <c r="J11" s="58" t="s">
        <v>338</v>
      </c>
      <c r="K11" s="194" t="str">
        <f>IF(Waste[[#This Row],[Month]]&lt;&gt;"",VLOOKUP(Waste[[#This Row],[Month]], dropdown!$S$4:$T$15, 2, FALSE),"")</f>
        <v>Q1</v>
      </c>
      <c r="L11" s="57" t="s">
        <v>317</v>
      </c>
      <c r="M11" s="29">
        <v>0</v>
      </c>
      <c r="N11" s="57" t="s">
        <v>345</v>
      </c>
      <c r="O11" s="195"/>
      <c r="Q11" s="44"/>
    </row>
    <row r="12" spans="2:17" x14ac:dyDescent="0.2">
      <c r="B12" s="17" t="str">
        <f>dropdown!$B5</f>
        <v>Recyclable</v>
      </c>
      <c r="C12" s="17" t="s">
        <v>283</v>
      </c>
      <c r="D12" s="41">
        <f>SUMIFS(Waste[Weight (kg)],Waste[Quarter],D$10,Waste[Waste Composition],$B12)</f>
        <v>6</v>
      </c>
      <c r="E12" s="41">
        <f>SUMIFS(Waste[Weight (kg)],Waste[Quarter],E$10,Waste[Waste Composition],$B12)</f>
        <v>6</v>
      </c>
      <c r="F12" s="41">
        <f>SUMIFS(Waste[Weight (kg)],Waste[Quarter],F$10,Waste[Waste Composition],$B12)</f>
        <v>0</v>
      </c>
      <c r="G12" s="41">
        <f>SUMIFS(Waste[Weight (kg)],Waste[Quarter],G$10,Waste[Waste Composition],$B12)</f>
        <v>0</v>
      </c>
      <c r="I12" s="194">
        <f t="shared" si="0"/>
        <v>5</v>
      </c>
      <c r="J12" s="58" t="s">
        <v>89</v>
      </c>
      <c r="K12" s="194" t="str">
        <f>IF(Waste[[#This Row],[Month]]&lt;&gt;"",VLOOKUP(Waste[[#This Row],[Month]], dropdown!$S$4:$T$15, 2, FALSE),"")</f>
        <v>Q1</v>
      </c>
      <c r="L12" s="57" t="s">
        <v>318</v>
      </c>
      <c r="M12" s="29">
        <v>2</v>
      </c>
      <c r="N12" s="57" t="s">
        <v>313</v>
      </c>
      <c r="O12" s="195" t="s">
        <v>1466</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89</v>
      </c>
      <c r="K13" s="194" t="str">
        <f>IF(Waste[[#This Row],[Month]]&lt;&gt;"",VLOOKUP(Waste[[#This Row],[Month]], dropdown!$S$4:$T$15, 2, FALSE),"")</f>
        <v>Q1</v>
      </c>
      <c r="L13" s="57" t="s">
        <v>139</v>
      </c>
      <c r="M13" s="29">
        <v>1600</v>
      </c>
      <c r="N13" s="57" t="s">
        <v>313</v>
      </c>
      <c r="O13" s="195" t="s">
        <v>1466</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89</v>
      </c>
      <c r="K14" s="194" t="str">
        <f>IF(Waste[[#This Row],[Month]]&lt;&gt;"",VLOOKUP(Waste[[#This Row],[Month]], dropdown!$S$4:$T$15, 2, FALSE),"")</f>
        <v>Q1</v>
      </c>
      <c r="L14" s="57" t="s">
        <v>383</v>
      </c>
      <c r="M14" s="29">
        <v>3</v>
      </c>
      <c r="N14" s="57" t="s">
        <v>313</v>
      </c>
      <c r="O14" s="195" t="s">
        <v>1466</v>
      </c>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317</v>
      </c>
      <c r="M15" s="29">
        <v>0</v>
      </c>
      <c r="N15" s="57" t="s">
        <v>345</v>
      </c>
      <c r="O15" s="195"/>
    </row>
    <row r="16" spans="2:17" x14ac:dyDescent="0.2">
      <c r="B16" s="17" t="str">
        <f>dropdown!$B9</f>
        <v>Residual/Landfill</v>
      </c>
      <c r="C16" s="17" t="s">
        <v>283</v>
      </c>
      <c r="D16" s="41">
        <f>SUMIFS(Waste[Weight (kg)],Waste[Quarter],D$10,Waste[Waste Composition],$B16)</f>
        <v>9</v>
      </c>
      <c r="E16" s="41">
        <f>SUMIFS(Waste[Weight (kg)],Waste[Quarter],E$10,Waste[Waste Composition],$B16)</f>
        <v>9</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318</v>
      </c>
      <c r="M16" s="29">
        <v>2</v>
      </c>
      <c r="N16" s="57" t="s">
        <v>313</v>
      </c>
      <c r="O16" s="195" t="s">
        <v>1466</v>
      </c>
    </row>
    <row r="17" spans="2:15" x14ac:dyDescent="0.2">
      <c r="I17" s="194">
        <f t="shared" si="0"/>
        <v>10</v>
      </c>
      <c r="J17" s="58" t="s">
        <v>362</v>
      </c>
      <c r="K17" s="194" t="str">
        <f>IF(Waste[[#This Row],[Month]]&lt;&gt;"",VLOOKUP(Waste[[#This Row],[Month]], dropdown!$S$4:$T$15, 2, FALSE),"")</f>
        <v>Q1</v>
      </c>
      <c r="L17" s="57" t="s">
        <v>139</v>
      </c>
      <c r="M17" s="29">
        <v>1600</v>
      </c>
      <c r="N17" s="57" t="s">
        <v>313</v>
      </c>
      <c r="O17" s="195" t="s">
        <v>1466</v>
      </c>
    </row>
    <row r="18" spans="2:15" x14ac:dyDescent="0.2">
      <c r="B18" s="267" t="s">
        <v>38</v>
      </c>
      <c r="I18" s="194">
        <f t="shared" si="0"/>
        <v>11</v>
      </c>
      <c r="J18" s="58" t="s">
        <v>362</v>
      </c>
      <c r="K18" s="194" t="str">
        <f>IF(Waste[[#This Row],[Month]]&lt;&gt;"",VLOOKUP(Waste[[#This Row],[Month]], dropdown!$S$4:$T$15, 2, FALSE),"")</f>
        <v>Q1</v>
      </c>
      <c r="L18" s="57" t="s">
        <v>383</v>
      </c>
      <c r="M18" s="29">
        <v>3</v>
      </c>
      <c r="N18" s="57" t="s">
        <v>313</v>
      </c>
      <c r="O18" s="195" t="s">
        <v>1466</v>
      </c>
    </row>
    <row r="19" spans="2:15" x14ac:dyDescent="0.2">
      <c r="B19" s="268" t="s">
        <v>175</v>
      </c>
      <c r="I19" s="194">
        <f t="shared" ref="I19" si="1">IF($J19="","",$I18+1)</f>
        <v>12</v>
      </c>
      <c r="J19" s="58" t="s">
        <v>362</v>
      </c>
      <c r="K19" s="194" t="str">
        <f>IF(Waste[[#This Row],[Month]]&lt;&gt;"",VLOOKUP(Waste[[#This Row],[Month]], dropdown!$S$4:$T$15, 2, FALSE),"")</f>
        <v>Q1</v>
      </c>
      <c r="L19" s="57" t="s">
        <v>317</v>
      </c>
      <c r="M19" s="29">
        <v>0</v>
      </c>
      <c r="N19" s="57" t="s">
        <v>345</v>
      </c>
      <c r="O19" s="195"/>
    </row>
    <row r="20" spans="2:15" x14ac:dyDescent="0.2">
      <c r="B20" s="266" t="s">
        <v>176</v>
      </c>
      <c r="I20" s="194">
        <f t="shared" si="0"/>
        <v>13</v>
      </c>
      <c r="J20" s="58" t="s">
        <v>371</v>
      </c>
      <c r="K20" s="194" t="str">
        <f>IF(Waste[[#This Row],[Month]]&lt;&gt;"",VLOOKUP(Waste[[#This Row],[Month]], dropdown!$S$4:$T$15, 2, FALSE),"")</f>
        <v>Q2</v>
      </c>
      <c r="L20" s="57" t="s">
        <v>318</v>
      </c>
      <c r="M20" s="29">
        <v>2</v>
      </c>
      <c r="N20" s="57" t="s">
        <v>313</v>
      </c>
      <c r="O20" s="195" t="s">
        <v>1466</v>
      </c>
    </row>
    <row r="21" spans="2:15" x14ac:dyDescent="0.2">
      <c r="B21" s="17" t="s">
        <v>177</v>
      </c>
      <c r="I21" s="194">
        <f t="shared" si="0"/>
        <v>14</v>
      </c>
      <c r="J21" s="58" t="s">
        <v>371</v>
      </c>
      <c r="K21" s="194" t="str">
        <f>IF(Waste[[#This Row],[Month]]&lt;&gt;"",VLOOKUP(Waste[[#This Row],[Month]], dropdown!$S$4:$T$15, 2, FALSE),"")</f>
        <v>Q2</v>
      </c>
      <c r="L21" s="57" t="s">
        <v>139</v>
      </c>
      <c r="M21" s="29">
        <v>1600</v>
      </c>
      <c r="N21" s="57" t="s">
        <v>313</v>
      </c>
      <c r="O21" s="195" t="s">
        <v>1466</v>
      </c>
    </row>
    <row r="22" spans="2:15" x14ac:dyDescent="0.2">
      <c r="I22" s="194">
        <f t="shared" si="0"/>
        <v>15</v>
      </c>
      <c r="J22" s="58" t="s">
        <v>371</v>
      </c>
      <c r="K22" s="194" t="str">
        <f>IF(Waste[[#This Row],[Month]]&lt;&gt;"",VLOOKUP(Waste[[#This Row],[Month]], dropdown!$S$4:$T$15, 2, FALSE),"")</f>
        <v>Q2</v>
      </c>
      <c r="L22" s="57" t="s">
        <v>383</v>
      </c>
      <c r="M22" s="29">
        <v>3</v>
      </c>
      <c r="N22" s="57" t="s">
        <v>313</v>
      </c>
      <c r="O22" s="195" t="s">
        <v>1466</v>
      </c>
    </row>
    <row r="23" spans="2:15" x14ac:dyDescent="0.2">
      <c r="I23" s="194">
        <f t="shared" si="0"/>
        <v>16</v>
      </c>
      <c r="J23" s="58" t="s">
        <v>371</v>
      </c>
      <c r="K23" s="194" t="str">
        <f>IF(Waste[[#This Row],[Month]]&lt;&gt;"",VLOOKUP(Waste[[#This Row],[Month]], dropdown!$S$4:$T$15, 2, FALSE),"")</f>
        <v>Q2</v>
      </c>
      <c r="L23" s="57" t="s">
        <v>317</v>
      </c>
      <c r="M23" s="29">
        <v>0</v>
      </c>
      <c r="N23" s="57" t="s">
        <v>345</v>
      </c>
      <c r="O23" s="195"/>
    </row>
    <row r="24" spans="2:15" x14ac:dyDescent="0.2">
      <c r="I24" s="194">
        <f t="shared" si="0"/>
        <v>17</v>
      </c>
      <c r="J24" s="58" t="s">
        <v>379</v>
      </c>
      <c r="K24" s="194" t="str">
        <f>IF(Waste[[#This Row],[Month]]&lt;&gt;"",VLOOKUP(Waste[[#This Row],[Month]], dropdown!$S$4:$T$15, 2, FALSE),"")</f>
        <v>Q2</v>
      </c>
      <c r="L24" s="57" t="s">
        <v>318</v>
      </c>
      <c r="M24" s="29">
        <v>2</v>
      </c>
      <c r="N24" s="57" t="s">
        <v>313</v>
      </c>
      <c r="O24" s="195" t="s">
        <v>1466</v>
      </c>
    </row>
    <row r="25" spans="2:15" x14ac:dyDescent="0.2">
      <c r="I25" s="194">
        <f t="shared" si="0"/>
        <v>18</v>
      </c>
      <c r="J25" s="58" t="s">
        <v>379</v>
      </c>
      <c r="K25" s="194" t="str">
        <f>IF(Waste[[#This Row],[Month]]&lt;&gt;"",VLOOKUP(Waste[[#This Row],[Month]], dropdown!$S$4:$T$15, 2, FALSE),"")</f>
        <v>Q2</v>
      </c>
      <c r="L25" s="57" t="s">
        <v>139</v>
      </c>
      <c r="M25" s="29">
        <v>1600</v>
      </c>
      <c r="N25" s="57" t="s">
        <v>313</v>
      </c>
      <c r="O25" s="195" t="s">
        <v>1466</v>
      </c>
    </row>
    <row r="26" spans="2:15" x14ac:dyDescent="0.2">
      <c r="I26" s="194">
        <f t="shared" si="0"/>
        <v>19</v>
      </c>
      <c r="J26" s="58" t="s">
        <v>379</v>
      </c>
      <c r="K26" s="194" t="str">
        <f>IF(Waste[[#This Row],[Month]]&lt;&gt;"",VLOOKUP(Waste[[#This Row],[Month]], dropdown!$S$4:$T$15, 2, FALSE),"")</f>
        <v>Q2</v>
      </c>
      <c r="L26" s="57" t="s">
        <v>383</v>
      </c>
      <c r="M26" s="29">
        <v>3</v>
      </c>
      <c r="N26" s="57" t="s">
        <v>313</v>
      </c>
      <c r="O26" s="195" t="s">
        <v>1466</v>
      </c>
    </row>
    <row r="27" spans="2:15" x14ac:dyDescent="0.2">
      <c r="I27" s="194">
        <f t="shared" si="0"/>
        <v>20</v>
      </c>
      <c r="J27" s="58" t="s">
        <v>379</v>
      </c>
      <c r="K27" s="194" t="str">
        <f>IF(Waste[[#This Row],[Month]]&lt;&gt;"",VLOOKUP(Waste[[#This Row],[Month]], dropdown!$S$4:$T$15, 2, FALSE),"")</f>
        <v>Q2</v>
      </c>
      <c r="L27" s="57" t="s">
        <v>317</v>
      </c>
      <c r="M27" s="29">
        <v>0</v>
      </c>
      <c r="N27" s="57" t="s">
        <v>345</v>
      </c>
      <c r="O27" s="195"/>
    </row>
    <row r="28" spans="2:15" x14ac:dyDescent="0.2">
      <c r="I28" s="194">
        <f t="shared" si="0"/>
        <v>21</v>
      </c>
      <c r="J28" s="58" t="s">
        <v>386</v>
      </c>
      <c r="K28" s="194" t="str">
        <f>IF(Waste[[#This Row],[Month]]&lt;&gt;"",VLOOKUP(Waste[[#This Row],[Month]], dropdown!$S$4:$T$15, 2, FALSE),"")</f>
        <v>Q2</v>
      </c>
      <c r="L28" s="57" t="s">
        <v>318</v>
      </c>
      <c r="M28" s="29">
        <v>2</v>
      </c>
      <c r="N28" s="57" t="s">
        <v>313</v>
      </c>
      <c r="O28" s="195" t="s">
        <v>1466</v>
      </c>
    </row>
    <row r="29" spans="2:15" x14ac:dyDescent="0.2">
      <c r="I29" s="194">
        <f t="shared" si="0"/>
        <v>22</v>
      </c>
      <c r="J29" s="58" t="s">
        <v>386</v>
      </c>
      <c r="K29" s="194" t="str">
        <f>IF(Waste[[#This Row],[Month]]&lt;&gt;"",VLOOKUP(Waste[[#This Row],[Month]], dropdown!$S$4:$T$15, 2, FALSE),"")</f>
        <v>Q2</v>
      </c>
      <c r="L29" s="57" t="s">
        <v>139</v>
      </c>
      <c r="M29" s="29">
        <v>1600</v>
      </c>
      <c r="N29" s="57" t="s">
        <v>313</v>
      </c>
      <c r="O29" s="195" t="s">
        <v>1466</v>
      </c>
    </row>
    <row r="30" spans="2:15" x14ac:dyDescent="0.2">
      <c r="I30" s="194">
        <f t="shared" si="0"/>
        <v>23</v>
      </c>
      <c r="J30" s="58" t="s">
        <v>386</v>
      </c>
      <c r="K30" s="194" t="str">
        <f>IF(Waste[[#This Row],[Month]]&lt;&gt;"",VLOOKUP(Waste[[#This Row],[Month]], dropdown!$S$4:$T$15, 2, FALSE),"")</f>
        <v>Q2</v>
      </c>
      <c r="L30" s="57" t="s">
        <v>383</v>
      </c>
      <c r="M30" s="29">
        <v>3</v>
      </c>
      <c r="N30" s="57" t="s">
        <v>313</v>
      </c>
      <c r="O30" s="195" t="s">
        <v>1466</v>
      </c>
    </row>
    <row r="31" spans="2:15" x14ac:dyDescent="0.2">
      <c r="I31" s="194">
        <f t="shared" si="0"/>
        <v>24</v>
      </c>
      <c r="J31" s="58" t="s">
        <v>386</v>
      </c>
      <c r="K31" s="194" t="str">
        <f>IF(Waste[[#This Row],[Month]]&lt;&gt;"",VLOOKUP(Waste[[#This Row],[Month]], dropdown!$S$4:$T$15, 2, FALSE),"")</f>
        <v>Q2</v>
      </c>
      <c r="L31" s="57" t="s">
        <v>317</v>
      </c>
      <c r="M31" s="29">
        <v>0</v>
      </c>
      <c r="N31" s="57" t="s">
        <v>345</v>
      </c>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0"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f>'1. Data Info and Summary'!$D$2</f>
        <v>0</v>
      </c>
      <c r="E6" s="459" t="s">
        <v>284</v>
      </c>
      <c r="F6" s="459"/>
      <c r="G6" s="459"/>
      <c r="H6" s="459"/>
      <c r="I6" s="459"/>
      <c r="J6" s="459"/>
      <c r="K6" s="459"/>
      <c r="L6" s="459"/>
      <c r="M6" s="459"/>
      <c r="N6" s="459"/>
      <c r="O6" s="459"/>
      <c r="P6" s="459"/>
      <c r="Q6" s="459"/>
    </row>
    <row r="7" spans="2:17" ht="20" customHeight="1" x14ac:dyDescent="0.2">
      <c r="B7" s="70" t="s">
        <v>12</v>
      </c>
      <c r="C7" s="59">
        <f>'1. Data Info and Summary'!$D$3</f>
        <v>0</v>
      </c>
      <c r="E7" s="459"/>
      <c r="F7" s="459"/>
      <c r="G7" s="459"/>
      <c r="H7" s="459"/>
      <c r="I7" s="459"/>
      <c r="J7" s="459"/>
      <c r="K7" s="459"/>
      <c r="L7" s="459"/>
      <c r="M7" s="459"/>
      <c r="N7" s="459"/>
      <c r="O7" s="459"/>
      <c r="P7" s="459"/>
      <c r="Q7" s="459"/>
    </row>
    <row r="8" spans="2:17" ht="20" customHeight="1" x14ac:dyDescent="0.2">
      <c r="B8" s="71"/>
    </row>
    <row r="9" spans="2:17" x14ac:dyDescent="0.2">
      <c r="C9" s="53"/>
      <c r="E9" s="461" t="s">
        <v>285</v>
      </c>
      <c r="F9" s="461"/>
      <c r="G9" s="461"/>
      <c r="H9" s="461"/>
      <c r="I9" s="461"/>
      <c r="J9" s="461"/>
      <c r="L9" s="461" t="s">
        <v>286</v>
      </c>
      <c r="M9" s="461"/>
      <c r="N9" s="461"/>
      <c r="O9" s="461"/>
      <c r="P9" s="461"/>
      <c r="Q9" s="461"/>
    </row>
    <row r="10" spans="2:17" ht="8" customHeight="1" x14ac:dyDescent="0.2">
      <c r="B10" s="71"/>
    </row>
    <row r="11" spans="2:17" x14ac:dyDescent="0.2">
      <c r="E11" s="460" t="s">
        <v>287</v>
      </c>
      <c r="F11" s="460"/>
      <c r="G11" s="460"/>
      <c r="H11" s="460"/>
      <c r="I11" s="460"/>
      <c r="J11" s="460"/>
      <c r="L11" s="460" t="s">
        <v>288</v>
      </c>
      <c r="M11" s="460"/>
      <c r="N11" s="460"/>
      <c r="O11" s="460"/>
      <c r="P11" s="460"/>
      <c r="Q11" s="460"/>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240.96000000000004</v>
      </c>
      <c r="G13" s="73" t="str">
        <f>'1. Data Info and Summary'!$D18</f>
        <v>Liters</v>
      </c>
      <c r="I13" s="76">
        <f>VLOOKUP($E13,Emission_Factors!$A$1:$G$20,5,FALSE)</f>
        <v>2.68</v>
      </c>
      <c r="J13" s="141">
        <f>F13*I13</f>
        <v>645.77280000000019</v>
      </c>
      <c r="L13" s="73" t="s">
        <v>155</v>
      </c>
      <c r="M13" s="78">
        <f>SUM('2.3a Electricity'!$D$12:$G$12)</f>
        <v>110208</v>
      </c>
      <c r="N13" s="73" t="str">
        <f>'2.3a Electricity'!$C$12</f>
        <v>Kilowatt-hour</v>
      </c>
      <c r="P13" s="76">
        <f>VLOOKUP($L13,Emission_Factors!$A$1:$G$20,5,FALSE)</f>
        <v>0.56000000000000005</v>
      </c>
      <c r="Q13" s="141">
        <f>M13*P13</f>
        <v>61716.480000000003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645.77280000000019</v>
      </c>
    </row>
    <row r="20" spans="5:10" x14ac:dyDescent="0.2">
      <c r="E20" s="460" t="s">
        <v>293</v>
      </c>
      <c r="F20" s="460"/>
      <c r="G20" s="460"/>
      <c r="H20" s="460"/>
      <c r="I20" s="460"/>
      <c r="J20" s="460"/>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1619.04</v>
      </c>
      <c r="G22" s="73" t="str">
        <f>'1. Data Info and Summary'!$D26</f>
        <v>Liters</v>
      </c>
      <c r="I22" s="76">
        <f>VLOOKUP($E22,Emission_Factors!$A$1:$G$20,5,FALSE)</f>
        <v>2.68</v>
      </c>
      <c r="J22" s="141">
        <f>F22*I22</f>
        <v>4339.0272000000004</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4339.0272000000004</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165.6</v>
      </c>
      <c r="D33" s="337">
        <v>406.97</v>
      </c>
      <c r="E33" s="337">
        <v>572.57000000000005</v>
      </c>
      <c r="I33" s="20"/>
      <c r="J33" s="20"/>
      <c r="K33" s="21"/>
      <c r="L33" s="21"/>
      <c r="M33" s="22"/>
      <c r="N33" s="22"/>
      <c r="O33" s="11"/>
      <c r="P33" s="22"/>
      <c r="Q33" s="20"/>
      <c r="R33" s="20"/>
      <c r="S33" s="44"/>
    </row>
    <row r="34" spans="1:19" outlineLevel="1" x14ac:dyDescent="0.2">
      <c r="A34" s="203" t="s">
        <v>63</v>
      </c>
      <c r="B34" s="337"/>
      <c r="C34" s="337">
        <v>165.6</v>
      </c>
      <c r="D34" s="337">
        <v>406.97</v>
      </c>
      <c r="E34" s="337">
        <v>572.57000000000005</v>
      </c>
      <c r="I34" s="20"/>
      <c r="J34" s="20"/>
      <c r="K34" s="21"/>
      <c r="L34" s="21"/>
      <c r="M34" s="22"/>
      <c r="N34" s="22"/>
      <c r="O34" s="11"/>
      <c r="P34" s="22"/>
      <c r="Q34" s="20"/>
      <c r="R34" s="20"/>
      <c r="S34" s="44"/>
    </row>
    <row r="35" spans="1:19" outlineLevel="1" x14ac:dyDescent="0.2">
      <c r="A35" s="19" t="s">
        <v>381</v>
      </c>
      <c r="B35" s="337"/>
      <c r="C35" s="337">
        <v>480.33999999999992</v>
      </c>
      <c r="D35" s="337">
        <v>373.88</v>
      </c>
      <c r="E35" s="337">
        <v>854.21999999999991</v>
      </c>
      <c r="I35" s="20"/>
      <c r="J35" s="20"/>
      <c r="K35" s="21"/>
      <c r="L35" s="21"/>
      <c r="M35" s="22"/>
      <c r="N35" s="22"/>
      <c r="O35" s="11"/>
      <c r="P35" s="22"/>
      <c r="Q35" s="20"/>
      <c r="R35" s="20"/>
      <c r="S35" s="44"/>
    </row>
    <row r="36" spans="1:19" outlineLevel="1" x14ac:dyDescent="0.2">
      <c r="A36" s="203" t="s">
        <v>63</v>
      </c>
      <c r="B36" s="337"/>
      <c r="C36" s="337">
        <v>480.33999999999992</v>
      </c>
      <c r="D36" s="337">
        <v>373.88</v>
      </c>
      <c r="E36" s="337">
        <v>854.21999999999991</v>
      </c>
      <c r="H36" s="12"/>
      <c r="I36" s="20"/>
      <c r="J36" s="20"/>
      <c r="K36" s="21"/>
      <c r="L36" s="21"/>
      <c r="M36" s="22"/>
      <c r="N36" s="22"/>
      <c r="O36" s="11"/>
      <c r="P36" s="22"/>
      <c r="Q36" s="20"/>
      <c r="R36" s="20"/>
      <c r="S36" s="44"/>
    </row>
    <row r="37" spans="1:19" outlineLevel="1" x14ac:dyDescent="0.2">
      <c r="A37" s="19" t="s">
        <v>365</v>
      </c>
      <c r="B37" s="337"/>
      <c r="C37" s="337">
        <v>108.1</v>
      </c>
      <c r="D37" s="337">
        <v>84.15</v>
      </c>
      <c r="E37" s="337">
        <v>192.25</v>
      </c>
      <c r="H37" s="12"/>
      <c r="I37" s="20"/>
      <c r="J37" s="20"/>
      <c r="K37" s="21"/>
      <c r="L37" s="21"/>
      <c r="M37" s="22"/>
      <c r="N37" s="22"/>
      <c r="O37" s="11"/>
      <c r="P37" s="22"/>
      <c r="Q37" s="20"/>
      <c r="R37" s="20"/>
      <c r="S37" s="44"/>
    </row>
    <row r="38" spans="1:19" outlineLevel="1" x14ac:dyDescent="0.2">
      <c r="A38" s="203" t="s">
        <v>63</v>
      </c>
      <c r="B38" s="337"/>
      <c r="C38" s="337">
        <v>108.1</v>
      </c>
      <c r="D38" s="337">
        <v>84.15</v>
      </c>
      <c r="E38" s="337">
        <v>192.25</v>
      </c>
      <c r="H38" s="12"/>
      <c r="I38" s="20"/>
      <c r="J38" s="20"/>
      <c r="K38" s="21"/>
      <c r="L38" s="21"/>
      <c r="M38" s="22"/>
      <c r="N38" s="22"/>
      <c r="O38" s="11"/>
      <c r="P38" s="22"/>
      <c r="Q38" s="20"/>
      <c r="R38" s="20"/>
      <c r="S38" s="44"/>
    </row>
    <row r="39" spans="1:19" outlineLevel="1" x14ac:dyDescent="0.2">
      <c r="A39" s="19" t="s">
        <v>297</v>
      </c>
      <c r="B39" s="337"/>
      <c r="C39" s="337">
        <v>754.04</v>
      </c>
      <c r="D39" s="337">
        <v>865</v>
      </c>
      <c r="E39" s="337">
        <v>1619.04</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45916.896574074075</v>
      </c>
      <c r="B927" t="s">
        <v>596</v>
      </c>
      <c r="C927" t="s">
        <v>597</v>
      </c>
      <c r="D927" t="s">
        <v>1467</v>
      </c>
      <c r="E927" t="s">
        <v>39</v>
      </c>
    </row>
    <row r="928" spans="1:5" x14ac:dyDescent="0.2">
      <c r="A928" s="269">
        <v>45916.896805555552</v>
      </c>
      <c r="B928" t="s">
        <v>596</v>
      </c>
      <c r="C928" t="s">
        <v>27</v>
      </c>
      <c r="D928" t="s">
        <v>1468</v>
      </c>
    </row>
    <row r="929" spans="1:5" x14ac:dyDescent="0.2">
      <c r="A929" s="269">
        <v>45916.896851851852</v>
      </c>
      <c r="B929" t="s">
        <v>596</v>
      </c>
      <c r="C929" t="s">
        <v>27</v>
      </c>
      <c r="D929" t="s">
        <v>1469</v>
      </c>
      <c r="E929"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2025-09-16T13:31:35Z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