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Legazpi Branch/"/>
    </mc:Choice>
  </mc:AlternateContent>
  <xr:revisionPtr revIDLastSave="0" documentId="13_ncr:1_{72720C13-0A71-524B-90AC-F05E9FDE55EB}" xr6:coauthVersionLast="47" xr6:coauthVersionMax="47" xr10:uidLastSave="{00000000-0000-0000-0000-000000000000}"/>
  <bookViews>
    <workbookView xWindow="0" yWindow="740" windowWidth="29400" windowHeight="17100" tabRatio="781" firstSheet="2"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689" r:id="rId19"/>
    <pivotCache cacheId="690" r:id="rId20"/>
    <pivotCache cacheId="691" r:id="rId21"/>
    <pivotCache cacheId="692" r:id="rId22"/>
    <pivotCache cacheId="693" r:id="rId23"/>
    <pivotCache cacheId="701"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N8" i="34" l="1"/>
  <c r="N9" i="34"/>
  <c r="N10" i="34"/>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5" i="40"/>
  <c r="I54" i="40"/>
  <c r="I53" i="40"/>
  <c r="I52" i="40"/>
  <c r="I51" i="40"/>
  <c r="I50" i="40"/>
  <c r="I49" i="40"/>
  <c r="I48" i="40"/>
  <c r="I47" i="40"/>
  <c r="I46" i="40"/>
  <c r="I45" i="40"/>
  <c r="I44" i="40"/>
  <c r="I43" i="40"/>
  <c r="I42" i="40"/>
  <c r="I41" i="40"/>
  <c r="I40" i="40"/>
  <c r="I39" i="40"/>
  <c r="I38" i="40"/>
  <c r="I37" i="40"/>
  <c r="I36" i="40"/>
  <c r="I35" i="40"/>
  <c r="I34" i="40"/>
  <c r="I33" i="40"/>
  <c r="I32" i="40"/>
  <c r="I31" i="40"/>
  <c r="I30" i="40"/>
  <c r="I29" i="40"/>
  <c r="I28" i="40"/>
  <c r="I27" i="40"/>
  <c r="I26" i="40"/>
  <c r="I25" i="40"/>
  <c r="I24" i="40"/>
  <c r="I23" i="40"/>
  <c r="I22" i="40"/>
  <c r="I21" i="40"/>
  <c r="I20" i="40"/>
  <c r="I9" i="40"/>
  <c r="I10" i="40" s="1"/>
  <c r="I11" i="40" s="1"/>
  <c r="I12" i="40" s="1"/>
  <c r="I13" i="40" s="1"/>
  <c r="I14" i="40" s="1"/>
  <c r="I15" i="40" s="1"/>
  <c r="I16" i="40" s="1"/>
  <c r="I17" i="40" s="1"/>
  <c r="I18" i="40" s="1"/>
  <c r="I8" i="40"/>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F12" i="38" s="1"/>
  <c r="V9" i="38"/>
  <c r="G13" i="38"/>
  <c r="G11" i="38"/>
  <c r="F13" i="38"/>
  <c r="F11" i="38"/>
  <c r="E13" i="38"/>
  <c r="E11" i="38"/>
  <c r="D13" i="38"/>
  <c r="D11"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14" i="41"/>
  <c r="P15" i="41"/>
  <c r="P16" i="41"/>
  <c r="P17" i="41"/>
  <c r="P18" i="41"/>
  <c r="P19"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8" i="41"/>
  <c r="P9" i="41" s="1"/>
  <c r="P10" i="41" s="1"/>
  <c r="P11" i="41" s="1"/>
  <c r="P12" i="41" s="1"/>
  <c r="P13" i="41" s="1"/>
  <c r="I10" i="41"/>
  <c r="I11" i="41" s="1"/>
  <c r="I12" i="41" s="1"/>
  <c r="I13" i="41" s="1"/>
  <c r="I14" i="41"/>
  <c r="I15" i="41"/>
  <c r="I16" i="41"/>
  <c r="I17" i="41"/>
  <c r="I18" i="41"/>
  <c r="I19" i="4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s="1"/>
  <c r="I12" i="34" s="1"/>
  <c r="I7" i="34"/>
  <c r="I18" i="39"/>
  <c r="I19" i="39"/>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E12" i="38" l="1"/>
  <c r="G12" i="38"/>
  <c r="D12" i="38"/>
  <c r="D12" i="39"/>
  <c r="D4" i="40"/>
  <c r="D4" i="41"/>
  <c r="D4" i="50"/>
  <c r="D4" i="39"/>
  <c r="D4" i="34"/>
  <c r="D4" i="44"/>
  <c r="D4" i="38"/>
  <c r="O7" i="44" l="1"/>
  <c r="M7" i="44"/>
  <c r="O86" i="44" l="1"/>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12" i="34" l="1"/>
  <c r="N11"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D13" i="37" l="1"/>
  <c r="F13" i="37"/>
  <c r="E13" i="37"/>
  <c r="G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O9" i="44"/>
  <c r="I7" i="44"/>
  <c r="I8" i="44" l="1"/>
  <c r="I9" i="44" s="1"/>
  <c r="I10" i="44" s="1"/>
  <c r="L30" i="48"/>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4" l="1"/>
  <c r="F11" i="44"/>
  <c r="E11" i="44"/>
  <c r="D11" i="44"/>
  <c r="G12" i="44"/>
  <c r="F12" i="44"/>
  <c r="E12" i="44"/>
  <c r="D12" i="44"/>
  <c r="G11" i="40"/>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F14" i="34" l="1"/>
  <c r="D14" i="34"/>
  <c r="G14" i="34"/>
  <c r="E14" i="34"/>
  <c r="F12" i="34"/>
  <c r="D12" i="34"/>
  <c r="E12" i="34"/>
  <c r="G12" i="34"/>
  <c r="E13" i="34"/>
  <c r="F13" i="34"/>
  <c r="D13" i="34"/>
  <c r="G13" i="34"/>
  <c r="G11" i="34"/>
  <c r="E11" i="34"/>
  <c r="F11" i="34"/>
  <c r="D11" i="34"/>
  <c r="F15" i="34"/>
  <c r="D15" i="34"/>
  <c r="G15" i="34"/>
  <c r="E15" i="34"/>
  <c r="E49" i="37"/>
  <c r="E48"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<sst xmlns="http://schemas.openxmlformats.org/spreadsheetml/2006/main" count="7244" uniqueCount="1540">
  <si>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</si>
  <si>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</si>
  <si>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</si>
  <si>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</si>
  <si>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</si>
  <si>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</si>
  <si>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</si>
  <si>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</si>
  <si>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</si>
  <si>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</si>
  <si>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</si>
  <si>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</si>
  <si>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</si>
  <si>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</si>
  <si>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</si>
  <si>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</si>
  <si>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</si>
  <si>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</si>
  <si>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</si>
  <si>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</si>
  <si>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</si>
  <si>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</si>
  <si>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</si>
  <si>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</si>
  <si>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</si>
  <si>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</si>
  <si>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</si>
  <si>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</si>
  <si>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</si>
  <si>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</si>
  <si>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</si>
  <si>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</si>
  <si>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</si>
  <si>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</si>
  <si>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</si>
  <si>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</si>
  <si>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</si>
  <si>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</si>
  <si>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</si>
  <si>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</si>
  <si>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</si>
  <si>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</si>
  <si>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</si>
  <si>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</si>
  <si>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</si>
  <si>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</si>
  <si>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</si>
  <si>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</si>
  <si>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</si>
  <si>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</si>
  <si>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</si>
  <si>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</si>
  <si>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</si>
  <si>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</si>
  <si>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</si>
  <si>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</si>
  <si>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</si>
  <si>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</si>
  <si>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</si>
  <si>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</si>
  <si>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</si>
  <si>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</si>
  <si>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</si>
  <si>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</si>
  <si>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</si>
  <si>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</si>
  <si>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</si>
  <si>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</si>
  <si>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</si>
  <si>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</si>
  <si>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</si>
  <si>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</si>
  <si>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</si>
  <si>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</si>
  <si>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</si>
  <si>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</si>
  <si>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</si>
  <si>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</si>
  <si>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</si>
  <si>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</si>
  <si>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</si>
  <si>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</si>
  <si>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</si>
  <si>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</si>
  <si>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</si>
  <si>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</si>
  <si>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</si>
  <si>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</si>
  <si>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</si>
  <si>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</si>
  <si>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</si>
  <si>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</si>
  <si>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</si>
  <si>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</si>
  <si>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</si>
  <si>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</si>
  <si>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</si>
  <si>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</si>
  <si>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</si>
  <si>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</si>
  <si>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</si>
  <si>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</si>
  <si>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</si>
  <si>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</si>
  <si>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</si>
  <si>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</si>
  <si>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</si>
  <si>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</si>
  <si>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</si>
  <si>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</si>
  <si>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</si>
  <si>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</si>
  <si>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</si>
  <si>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</si>
  <si>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</si>
  <si>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</si>
  <si>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</si>
  <si>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</si>
  <si>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</si>
  <si>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</si>
  <si>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</si>
  <si>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</si>
  <si>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</si>
  <si>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</si>
  <si>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</si>
  <si>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</si>
  <si>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</si>
  <si>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</si>
  <si>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</si>
  <si>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</si>
  <si>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</si>
  <si>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</si>
  <si>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</si>
  <si>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</si>
  <si>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</si>
  <si>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</si>
  <si>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</si>
  <si>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</si>
  <si>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</si>
  <si>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</si>
  <si>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</si>
  <si>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</si>
  <si>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</si>
  <si>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</si>
  <si>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</si>
  <si>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</si>
  <si>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</si>
  <si>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</si>
  <si>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</si>
  <si>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</si>
  <si>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</si>
  <si>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</si>
  <si>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</si>
  <si>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</si>
  <si>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</si>
  <si>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</si>
  <si>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</si>
  <si>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</si>
  <si>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</si>
  <si>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</si>
  <si>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</si>
  <si>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</si>
  <si>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</si>
  <si>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</si>
  <si>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</si>
  <si>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</si>
  <si>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</si>
  <si>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</si>
  <si>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</si>
  <si>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</si>
  <si>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</si>
  <si>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</si>
  <si>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</si>
  <si>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</si>
  <si>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</si>
  <si>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</si>
  <si>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</si>
  <si>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</si>
  <si>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</si>
  <si>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</si>
  <si>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</si>
  <si>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</si>
  <si>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</si>
  <si>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</si>
  <si>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</si>
  <si>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</si>
  <si>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</si>
  <si>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</si>
  <si>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</si>
  <si>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</si>
  <si>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</si>
  <si>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</si>
  <si>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</si>
  <si>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</si>
  <si>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</si>
  <si>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</si>
  <si>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</si>
  <si>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</si>
  <si>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</si>
  <si>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</si>
  <si>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</si>
  <si>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</si>
  <si>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</si>
  <si>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</si>
  <si>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</si>
  <si>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</si>
  <si>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</si>
  <si>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</si>
  <si>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</si>
  <si>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</si>
  <si>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</si>
  <si>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</si>
  <si>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</si>
  <si>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</si>
  <si>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</si>
  <si>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</si>
  <si>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</si>
  <si>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</si>
  <si>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</si>
  <si>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</si>
  <si>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</si>
  <si>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</si>
  <si>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</si>
  <si>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</si>
  <si>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</si>
  <si>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</si>
  <si>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</si>
  <si>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</si>
  <si>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</si>
  <si>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</si>
  <si>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</si>
  <si>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</si>
  <si>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</si>
  <si>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</si>
  <si>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</si>
  <si>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</si>
  <si>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</si>
  <si>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</si>
  <si>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</si>
  <si>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</si>
  <si>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</si>
  <si>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</si>
  <si>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</si>
  <si>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</si>
  <si>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</si>
  <si>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</si>
  <si>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</si>
  <si>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</si>
  <si>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</si>
  <si>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</si>
  <si>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</si>
  <si>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</si>
  <si>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</si>
  <si>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</si>
  <si>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</si>
  <si>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</si>
  <si>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</si>
  <si>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</si>
  <si>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</si>
  <si>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</si>
  <si>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</si>
  <si>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</si>
  <si>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</si>
  <si>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</si>
  <si>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</si>
  <si>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</si>
  <si>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</si>
  <si>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</si>
  <si>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</si>
  <si>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</si>
  <si>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</si>
  <si>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</si>
  <si>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</si>
  <si>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</si>
  <si>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</si>
  <si>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</si>
  <si>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</si>
  <si>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</si>
  <si>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</si>
  <si>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</si>
  <si>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</si>
  <si>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</si>
  <si>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</si>
  <si>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</si>
  <si>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</si>
  <si>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</si>
  <si>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</si>
  <si>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</si>
  <si>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</si>
  <si>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</si>
  <si>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</si>
  <si>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</si>
  <si>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</si>
  <si>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</si>
  <si>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</si>
  <si>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</si>
  <si>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</si>
  <si>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</si>
  <si>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</si>
  <si>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</si>
  <si>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</si>
  <si>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</si>
  <si>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</si>
  <si>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</si>
  <si>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</si>
  <si>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</si>
  <si>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</si>
  <si>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</si>
  <si>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</si>
  <si>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</si>
  <si>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</si>
  <si>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</si>
  <si>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</si>
  <si>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</si>
  <si>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</si>
  <si>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</si>
  <si>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</si>
  <si>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</si>
  <si>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</si>
  <si>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</si>
  <si>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</si>
  <si>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</si>
  <si>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</si>
  <si>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</si>
  <si>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</si>
  <si>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</si>
  <si>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</si>
  <si>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</si>
  <si>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</si>
  <si>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</si>
  <si>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</si>
  <si>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</si>
  <si>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</si>
  <si>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</si>
  <si>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</si>
  <si>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</si>
  <si>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</si>
  <si>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</si>
  <si>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</si>
  <si>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</si>
  <si>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</si>
  <si>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</si>
  <si>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</si>
  <si>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</si>
  <si>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</si>
  <si>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</si>
  <si>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</si>
  <si>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</si>
  <si>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</si>
  <si>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</si>
  <si>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</si>
  <si>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</si>
  <si>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</si>
  <si>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</si>
  <si>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</si>
  <si>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</si>
  <si>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</si>
  <si>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</si>
  <si>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</si>
  <si>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</si>
  <si>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</si>
  <si>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</si>
  <si>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</si>
  <si>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</si>
  <si>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</si>
  <si>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</si>
  <si>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</si>
  <si>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</si>
  <si>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</si>
  <si>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</si>
  <si>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</si>
  <si>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</si>
  <si>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</si>
  <si>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</si>
  <si>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</si>
  <si>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</si>
  <si>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</si>
  <si>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</si>
  <si>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</si>
  <si>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</si>
  <si>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</si>
  <si>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</si>
  <si>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</si>
  <si>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</si>
  <si>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</si>
  <si>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</si>
  <si>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</si>
  <si>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</si>
  <si>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</si>
  <si>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</si>
  <si>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</si>
  <si>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</si>
  <si>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</si>
  <si>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</si>
  <si>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</si>
  <si>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</si>
  <si>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</si>
  <si>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</si>
  <si>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</si>
  <si>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</si>
  <si>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</si>
  <si>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</si>
  <si>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</si>
  <si>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</si>
  <si>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</si>
  <si>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</si>
  <si>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</si>
  <si>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</si>
  <si>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</si>
  <si>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</si>
  <si>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</si>
  <si>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</si>
  <si>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</si>
  <si>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</si>
  <si>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</si>
  <si>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</si>
  <si>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</si>
  <si>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</si>
  <si>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</si>
  <si>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</si>
  <si>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</si>
  <si>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</si>
  <si>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</si>
  <si>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</si>
  <si>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</si>
  <si>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</si>
  <si>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</si>
  <si>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</si>
  <si>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</si>
  <si>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</si>
  <si>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</si>
  <si>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</si>
  <si>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</si>
  <si>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</si>
  <si>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</si>
  <si>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</si>
  <si>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</si>
  <si>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</si>
  <si>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</si>
  <si>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</si>
  <si>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</si>
  <si>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</si>
  <si>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</si>
  <si>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</si>
  <si>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</si>
  <si>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</si>
  <si>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</si>
  <si>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</si>
  <si>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</si>
  <si>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</si>
  <si>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</si>
  <si>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</si>
  <si>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</si>
  <si>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</si>
  <si>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</si>
  <si>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</si>
  <si>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</si>
  <si>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</si>
  <si>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</si>
  <si>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</si>
  <si>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</si>
  <si>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</si>
  <si>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</si>
  <si>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</si>
  <si>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</si>
  <si>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</si>
  <si>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</si>
  <si>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</si>
  <si>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</si>
  <si>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</si>
  <si>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</si>
  <si>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</si>
  <si>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</si>
  <si>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</si>
  <si>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</si>
  <si>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</si>
  <si>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</si>
  <si>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</si>
  <si>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</si>
  <si>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</si>
  <si>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</si>
  <si>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</si>
  <si>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</si>
  <si>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</si>
  <si>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</si>
  <si>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</si>
  <si>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</si>
  <si>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</si>
  <si>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</si>
  <si>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</si>
  <si>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</si>
  <si>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</si>
  <si>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</si>
  <si>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</si>
  <si>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</si>
  <si>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</si>
  <si>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</si>
  <si>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</si>
  <si>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</si>
  <si>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</si>
  <si>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</si>
  <si>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</si>
  <si>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</si>
  <si>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</si>
  <si>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</si>
  <si>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</si>
  <si>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</si>
  <si>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</si>
  <si>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</si>
  <si>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</si>
  <si>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</si>
  <si>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</si>
  <si>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</si>
  <si>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</si>
  <si>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</si>
  <si>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</si>
  <si>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</si>
  <si>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</si>
  <si>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</si>
  <si>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</si>
  <si>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</si>
  <si>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</si>
  <si>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</si>
  <si>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</si>
  <si>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</si>
  <si>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</si>
  <si>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</si>
  <si>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</si>
  <si>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</si>
  <si>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</si>
  <si>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</si>
  <si>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</si>
  <si>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</si>
  <si>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</si>
  <si>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</si>
  <si>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</si>
  <si>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</si>
  <si>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</si>
  <si>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</si>
  <si>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</si>
  <si>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</si>
  <si>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</si>
  <si>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</si>
  <si>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</si>
  <si>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</si>
  <si>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</si>
  <si>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</si>
  <si>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</si>
  <si>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</si>
  <si>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</si>
  <si>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</si>
  <si>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</si>
  <si>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</si>
  <si>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</si>
  <si>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</si>
  <si>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</si>
  <si>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</si>
  <si>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</si>
  <si>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</si>
  <si>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</si>
  <si>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</si>
  <si>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</si>
  <si>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</si>
  <si>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</si>
  <si>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</si>
  <si>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</si>
  <si>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</si>
  <si>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</si>
  <si>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</si>
  <si>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</si>
  <si>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</si>
  <si>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</si>
  <si>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</si>
  <si>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</si>
  <si>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</si>
  <si>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</si>
  <si>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</si>
  <si>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</si>
  <si>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</si>
  <si>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</si>
  <si>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</si>
  <si>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</si>
  <si>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</si>
  <si>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</si>
  <si>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</si>
  <si>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</si>
  <si>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</si>
  <si>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</si>
  <si>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</si>
  <si>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</si>
  <si>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</si>
  <si>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</si>
  <si>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</si>
  <si>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</si>
  <si>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</si>
  <si>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</si>
  <si>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</si>
  <si>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</si>
  <si>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</si>
  <si>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</si>
  <si>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</si>
  <si>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</si>
  <si>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</si>
  <si>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</si>
  <si>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</si>
  <si>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</si>
  <si>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</si>
  <si>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</si>
  <si>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</si>
  <si>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</si>
  <si>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</si>
  <si>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</si>
  <si>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</si>
  <si>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</si>
  <si>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</si>
  <si>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</si>
  <si>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</si>
  <si>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</si>
  <si>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</si>
  <si>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</si>
  <si>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</si>
  <si>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</si>
  <si>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</si>
  <si>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</si>
  <si>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</si>
  <si>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</si>
  <si>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</si>
  <si>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</si>
  <si>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</si>
  <si>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</si>
  <si>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</si>
  <si>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</si>
  <si>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</si>
  <si>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</si>
  <si>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</si>
  <si>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</si>
  <si>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</si>
  <si>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</si>
  <si>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</si>
  <si>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</si>
  <si>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</si>
  <si>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</si>
  <si>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</si>
  <si>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</si>
  <si>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</si>
  <si>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</si>
  <si>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</si>
  <si>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</si>
  <si>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</si>
  <si>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</si>
  <si>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</si>
  <si>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</si>
  <si>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</si>
  <si>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</si>
  <si>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</si>
  <si>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</si>
  <si>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</si>
  <si>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</si>
  <si>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</si>
  <si>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</si>
  <si>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</si>
  <si>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</si>
  <si>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</si>
  <si>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</si>
  <si>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</si>
  <si>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</si>
  <si>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</si>
  <si>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</si>
  <si>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</si>
  <si>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</si>
  <si>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</si>
  <si>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</si>
  <si>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</si>
  <si>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</si>
  <si>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</si>
  <si>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</si>
  <si>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</si>
  <si>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</si>
  <si>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</si>
  <si>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</si>
  <si>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</si>
  <si>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</si>
  <si>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</si>
  <si>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</si>
  <si>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</si>
  <si>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</si>
  <si>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</si>
  <si>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</si>
  <si>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</si>
  <si>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</si>
  <si>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</si>
  <si>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</si>
  <si>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</si>
  <si>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</si>
  <si>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</si>
  <si>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</si>
  <si>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</si>
  <si>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</si>
  <si>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</si>
  <si>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</si>
  <si>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</si>
  <si>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</si>
  <si>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</si>
  <si>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</si>
  <si>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</si>
  <si>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</si>
  <si>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</si>
  <si>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</si>
  <si>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</si>
  <si>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</si>
  <si>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</si>
  <si>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</si>
  <si>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</si>
  <si>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</si>
  <si>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</si>
  <si>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</si>
  <si>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</si>
  <si>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</si>
  <si>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</si>
  <si>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</si>
  <si>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</si>
  <si>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</si>
  <si>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</si>
  <si>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</si>
  <si>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</si>
  <si>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</si>
  <si>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</si>
  <si>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</si>
  <si>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</si>
  <si>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</si>
  <si>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</si>
  <si>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</si>
  <si>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</si>
  <si>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</si>
  <si>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</si>
  <si>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</si>
  <si>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</si>
  <si>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</si>
  <si>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</si>
  <si>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</si>
  <si>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</si>
  <si>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</si>
  <si>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</si>
  <si>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</si>
  <si>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</si>
  <si>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</si>
  <si>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</si>
  <si>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</si>
  <si>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</si>
  <si>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</si>
  <si>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</si>
  <si>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</si>
  <si>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</si>
  <si>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</si>
  <si>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</si>
  <si>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</si>
  <si>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</si>
  <si>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</si>
  <si>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</si>
  <si>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</si>
  <si>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</si>
  <si>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</si>
  <si>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</si>
  <si>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</si>
  <si>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</si>
  <si>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</si>
  <si>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</si>
  <si>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</si>
  <si>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</si>
  <si>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</si>
  <si>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</si>
  <si>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</si>
  <si>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</si>
  <si>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</si>
  <si>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</si>
  <si>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</si>
  <si>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</si>
  <si>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</si>
  <si>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</si>
  <si>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</si>
  <si>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</si>
  <si>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</si>
  <si>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</si>
  <si>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</si>
  <si>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</si>
  <si>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</si>
  <si>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</si>
  <si>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</si>
  <si>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</si>
  <si>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</si>
  <si>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</si>
  <si>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</si>
  <si>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</si>
  <si>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</si>
  <si>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</si>
  <si>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</si>
  <si>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</si>
  <si>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</si>
  <si>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</si>
  <si>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</si>
  <si>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</si>
  <si>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</si>
  <si>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</si>
  <si>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</si>
  <si>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</si>
  <si>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</si>
  <si>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</si>
  <si>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</si>
  <si>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</si>
  <si>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</si>
  <si>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</si>
  <si>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</si>
  <si>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</si>
  <si>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</si>
  <si>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</si>
  <si>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</si>
  <si>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</si>
  <si>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</si>
  <si>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</si>
  <si>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</si>
  <si>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</si>
  <si>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</si>
  <si>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</si>
  <si>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</si>
  <si>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</si>
  <si>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</si>
  <si>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</si>
  <si>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</si>
  <si>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</si>
  <si>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</si>
  <si>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</si>
  <si>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</si>
  <si>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</si>
  <si>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</si>
  <si>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</si>
  <si>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</si>
  <si>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</si>
  <si>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</si>
  <si>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</si>
  <si>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</si>
  <si>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</si>
  <si>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</si>
  <si>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</si>
  <si>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</si>
  <si>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</si>
  <si>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</si>
  <si>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</si>
  <si>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</si>
  <si>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</si>
  <si>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</si>
  <si>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</si>
  <si>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</si>
  <si>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</si>
  <si>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</si>
  <si>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</si>
  <si>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</si>
  <si>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</si>
  <si>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</si>
  <si>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</si>
  <si>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</si>
  <si>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</si>
  <si>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</si>
  <si>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</si>
  <si>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</si>
  <si>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</si>
  <si>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</si>
  <si>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</si>
  <si>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</si>
  <si>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</si>
  <si>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</si>
  <si>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</si>
  <si>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</si>
  <si>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</si>
  <si>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</si>
  <si>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</si>
  <si>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</si>
  <si>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</si>
  <si>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</si>
  <si>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</si>
  <si>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</si>
  <si>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</si>
  <si>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</si>
  <si>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</si>
  <si>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</si>
  <si>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</si>
  <si>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</si>
  <si>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</si>
  <si>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</si>
  <si>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</si>
  <si>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</si>
  <si>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</si>
  <si>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</si>
  <si>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</si>
  <si>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</si>
  <si>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</si>
  <si>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</si>
  <si>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</si>
  <si>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</si>
  <si>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</si>
  <si>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</si>
  <si>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</si>
  <si>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</si>
  <si>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</si>
  <si>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</si>
  <si>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</si>
  <si>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</si>
  <si>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</si>
  <si>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</si>
  <si>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</si>
  <si>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</si>
  <si>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</si>
  <si>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</si>
  <si>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</si>
  <si>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</si>
  <si>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</si>
  <si>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</si>
  <si>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</si>
  <si>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</si>
  <si>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</si>
  <si>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</si>
  <si>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</si>
  <si>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</si>
  <si>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</si>
  <si>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</si>
  <si>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</si>
  <si>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</si>
  <si>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</si>
  <si>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</si>
  <si>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</si>
  <si>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</si>
  <si>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</si>
  <si>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</si>
  <si>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</si>
  <si>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</si>
  <si>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</si>
  <si>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</si>
  <si>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</si>
  <si>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</si>
  <si>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</si>
  <si>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</si>
  <si>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</si>
  <si>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</si>
  <si>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</si>
  <si>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</si>
  <si>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</si>
  <si>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</si>
  <si>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</si>
  <si>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</si>
  <si>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</si>
  <si>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</si>
  <si>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</si>
  <si>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</si>
  <si>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</si>
  <si>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</si>
  <si>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</si>
  <si>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</si>
  <si>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</si>
  <si>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</si>
  <si>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</si>
  <si>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</si>
  <si>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</si>
  <si>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</si>
  <si>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</si>
  <si>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</si>
  <si>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</si>
  <si>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</si>
  <si>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</si>
  <si>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</si>
  <si>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</si>
  <si>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</si>
  <si>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</si>
  <si>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</si>
  <si>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</si>
  <si>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</si>
  <si>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</si>
  <si>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</si>
  <si>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</si>
  <si>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</si>
  <si>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</si>
  <si>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</si>
  <si>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</si>
  <si>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</si>
  <si>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</si>
  <si>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</si>
  <si>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</si>
  <si>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</si>
  <si>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</si>
  <si>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</si>
  <si>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</si>
  <si>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</si>
  <si>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</si>
  <si>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</si>
  <si>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</si>
  <si>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</si>
  <si>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</si>
  <si>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</si>
  <si>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</si>
  <si>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</si>
  <si>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</si>
  <si>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</si>
  <si>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</si>
  <si>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</si>
  <si>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</si>
  <si>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</si>
  <si>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</si>
  <si>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</si>
  <si>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</si>
  <si>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</si>
  <si>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</si>
  <si>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</si>
  <si>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</si>
  <si>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</si>
  <si>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</si>
  <si>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</si>
  <si>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</si>
  <si>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</si>
  <si>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</si>
  <si>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</si>
  <si>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</si>
  <si>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</si>
  <si>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</si>
  <si>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</si>
  <si>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</si>
  <si>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</si>
  <si>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</si>
  <si>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</si>
  <si>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</si>
  <si>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</si>
  <si>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</si>
  <si>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</si>
  <si>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</si>
  <si>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</si>
  <si>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</si>
  <si>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</si>
  <si>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</si>
  <si>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</si>
  <si>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</si>
  <si>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</si>
  <si>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</si>
  <si>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</si>
  <si>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</si>
  <si>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</si>
  <si>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</si>
  <si>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</si>
  <si>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</si>
  <si>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</si>
  <si>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</si>
  <si>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</si>
  <si>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</si>
  <si>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</si>
  <si>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</si>
  <si>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</si>
  <si>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</si>
  <si>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</si>
  <si>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</si>
  <si>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</si>
  <si>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</si>
  <si>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</si>
  <si>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</si>
  <si>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</si>
  <si>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</si>
  <si>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</si>
  <si>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</si>
  <si>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</si>
  <si>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</si>
  <si>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</si>
  <si>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</si>
  <si>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</si>
  <si>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</si>
  <si>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</si>
  <si>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</si>
  <si>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</si>
  <si>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</si>
  <si>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</si>
  <si>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</si>
  <si>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</si>
  <si>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</si>
  <si>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</si>
  <si>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</si>
  <si>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</si>
  <si>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</si>
  <si>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</si>
  <si>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</si>
  <si>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</si>
  <si>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</si>
  <si>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</si>
  <si>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</si>
  <si>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</si>
  <si>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</si>
  <si>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</si>
  <si>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</si>
  <si>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</si>
  <si>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</si>
  <si>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</si>
  <si>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</si>
  <si>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</si>
  <si>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</si>
  <si>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</si>
  <si>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</si>
  <si>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</si>
  <si>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</si>
  <si>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</si>
  <si>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</si>
  <si>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</si>
  <si>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</si>
  <si>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</si>
  <si>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</si>
  <si>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</si>
  <si>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</si>
  <si>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</si>
  <si>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</si>
  <si>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</si>
  <si>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</si>
  <si>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</si>
  <si>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</si>
  <si>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</si>
  <si>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</si>
  <si>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</si>
  <si>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</si>
  <si>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</si>
  <si>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</si>
  <si>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</si>
  <si>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</si>
  <si>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</si>
  <si>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</si>
  <si>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</si>
  <si>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</si>
  <si>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</si>
  <si>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</si>
  <si>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</si>
  <si>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</si>
  <si>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</si>
  <si>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</si>
  <si>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</si>
  <si>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</si>
  <si>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</si>
  <si>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</si>
  <si>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</si>
  <si>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</si>
  <si>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</si>
  <si>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</si>
  <si>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</si>
  <si>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</si>
  <si>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</si>
  <si>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</si>
  <si>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</si>
  <si>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</si>
  <si>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</si>
  <si>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</si>
  <si>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</si>
  <si>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</si>
  <si>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</si>
  <si>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</si>
  <si>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</si>
  <si>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</si>
  <si>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</si>
  <si>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</si>
  <si>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</si>
  <si>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</si>
  <si>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</si>
  <si>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</si>
  <si>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</si>
  <si>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</si>
  <si>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</si>
  <si>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</si>
  <si>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</si>
  <si>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</si>
  <si>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</si>
  <si>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</si>
  <si>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</si>
  <si>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</si>
  <si>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</si>
  <si>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</si>
  <si>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</si>
  <si>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</si>
  <si>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</si>
  <si>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</si>
  <si>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</si>
  <si>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</si>
  <si>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</si>
  <si>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</si>
  <si>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</si>
  <si>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</si>
  <si>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</si>
  <si>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</si>
  <si>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</si>
  <si>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</si>
  <si>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</si>
  <si>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</si>
  <si>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</si>
  <si>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</si>
  <si>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</si>
  <si>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</si>
  <si>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</si>
  <si>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</si>
  <si>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</si>
  <si>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</si>
  <si>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</si>
  <si>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</si>
  <si>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</si>
  <si>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</si>
  <si>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</si>
  <si>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</si>
  <si>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</si>
  <si>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</si>
  <si>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</si>
  <si>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</si>
  <si>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</si>
  <si>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</si>
  <si>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</si>
  <si>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</si>
  <si>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</si>
  <si>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</si>
  <si>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</si>
  <si>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</si>
  <si>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</si>
  <si>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</si>
  <si>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</si>
  <si>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</si>
  <si>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</si>
  <si>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</si>
  <si>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</si>
  <si>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</si>
  <si>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</si>
  <si>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</si>
  <si>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</si>
  <si>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</si>
  <si>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</si>
  <si>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</si>
  <si>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</si>
  <si>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</si>
  <si>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</si>
  <si>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</si>
  <si>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</si>
  <si>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</si>
  <si>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</si>
  <si>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</si>
  <si>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</si>
  <si>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</si>
  <si>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</si>
  <si>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</si>
  <si>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</si>
  <si>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</si>
  <si>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</si>
  <si>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</si>
  <si>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</si>
  <si>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</si>
  <si>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</si>
  <si>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</si>
  <si>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</si>
  <si>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</si>
  <si>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</si>
  <si>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</si>
  <si>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</si>
  <si>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</si>
  <si>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</si>
  <si>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</si>
  <si>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</si>
  <si>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</si>
  <si>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</si>
  <si>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</si>
  <si>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</si>
  <si>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</si>
  <si>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</si>
  <si>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</si>
  <si>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</si>
  <si>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</si>
  <si>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</si>
  <si>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</si>
  <si>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</si>
  <si>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</si>
  <si>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</si>
  <si>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</si>
  <si>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</si>
  <si>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</si>
  <si>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</si>
  <si>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</si>
  <si>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</si>
  <si>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</si>
  <si>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</si>
  <si>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</si>
  <si>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</si>
  <si>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</si>
  <si>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</si>
  <si>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</si>
  <si>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</si>
  <si>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</si>
  <si>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</si>
  <si>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</si>
  <si>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</si>
  <si>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</si>
  <si>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</si>
  <si>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</si>
  <si>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</si>
  <si>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</si>
  <si>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</si>
  <si>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</si>
  <si>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</si>
  <si>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</si>
  <si>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</si>
  <si>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</si>
  <si>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</si>
  <si>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</si>
  <si>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</si>
  <si>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</si>
  <si>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</si>
  <si>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</si>
  <si>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</si>
  <si>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</si>
  <si>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</si>
  <si>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</si>
  <si>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</si>
  <si>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</si>
  <si>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</si>
  <si>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</si>
  <si>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</si>
  <si>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</si>
  <si>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</si>
  <si>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</si>
  <si>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</si>
  <si>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</si>
  <si>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</si>
  <si>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</si>
  <si>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</si>
  <si>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</si>
  <si>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</si>
  <si>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</si>
  <si>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</si>
  <si>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</si>
  <si>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</si>
  <si>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</si>
  <si>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</si>
  <si>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</si>
  <si>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</si>
  <si>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</si>
  <si>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</si>
  <si>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</si>
  <si>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</si>
  <si>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</si>
  <si>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</si>
  <si>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</si>
  <si>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</si>
  <si>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</si>
  <si>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</si>
  <si>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</si>
  <si>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</si>
  <si>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</si>
  <si>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</si>
  <si>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</si>
  <si>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</si>
  <si>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</si>
  <si>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</si>
  <si>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</si>
  <si>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</si>
  <si>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</si>
  <si>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</si>
  <si>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</si>
  <si>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</si>
  <si>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</si>
  <si>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</si>
  <si>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</si>
  <si>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</si>
  <si>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</si>
  <si>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</si>
  <si>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</si>
  <si>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</si>
  <si>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</si>
  <si>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</si>
  <si>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</si>
  <si>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</si>
  <si>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</si>
  <si>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</si>
  <si>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</si>
  <si>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</si>
  <si>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</si>
  <si>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</si>
  <si>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</si>
  <si>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</si>
  <si>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</si>
  <si>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</si>
  <si>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</si>
  <si>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</si>
  <si>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</si>
  <si>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</si>
  <si>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</si>
  <si>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</si>
  <si>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</si>
  <si>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</si>
  <si>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</si>
  <si>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</si>
  <si>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</si>
  <si>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</si>
  <si>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</si>
  <si>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</si>
  <si>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</si>
  <si>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</si>
  <si>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</si>
  <si>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</si>
  <si>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</si>
  <si>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</si>
  <si>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</si>
  <si>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</si>
  <si>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</si>
  <si>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</si>
  <si>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</si>
  <si>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</si>
  <si>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</si>
  <si>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</si>
  <si>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</si>
  <si>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</si>
  <si>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</si>
  <si>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</si>
  <si>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</si>
  <si>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</si>
  <si>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</si>
  <si>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</si>
  <si>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</si>
  <si>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</si>
  <si>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</si>
  <si>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</si>
  <si>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</si>
  <si>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</si>
  <si>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</si>
  <si>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</si>
  <si>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</si>
  <si>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</si>
  <si>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</si>
  <si>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</si>
  <si>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</si>
  <si>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</si>
  <si>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</si>
  <si>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Renan Jet Noelito B. Bornas</t>
  </si>
  <si>
    <t>$D$2</t>
  </si>
  <si>
    <t>$D$3</t>
  </si>
  <si>
    <t>$C$6</t>
  </si>
  <si>
    <t>$C$7</t>
  </si>
  <si>
    <t>$C$6:$G$7</t>
  </si>
  <si>
    <t>$C$6:$G$6</t>
  </si>
  <si>
    <t>$J$8</t>
  </si>
  <si>
    <t>$K$8</t>
  </si>
  <si>
    <t>$M$8</t>
  </si>
  <si>
    <t>$N$7</t>
  </si>
  <si>
    <t>$P$8</t>
  </si>
  <si>
    <t>75,87</t>
  </si>
  <si>
    <t>$J$13</t>
  </si>
  <si>
    <t>$J$14</t>
  </si>
  <si>
    <t>$J$15</t>
  </si>
  <si>
    <t>$K$13</t>
  </si>
  <si>
    <t>$K$14</t>
  </si>
  <si>
    <t>$K$15</t>
  </si>
  <si>
    <t>$K$16</t>
  </si>
  <si>
    <t>$K$18</t>
  </si>
  <si>
    <t>$K$17</t>
  </si>
  <si>
    <t>$N$11</t>
  </si>
  <si>
    <t>$P$11</t>
  </si>
  <si>
    <t>$L$15</t>
  </si>
  <si>
    <t>$N$12</t>
  </si>
  <si>
    <t>$P$12</t>
  </si>
  <si>
    <t>$N$13</t>
  </si>
  <si>
    <t>$N$14</t>
  </si>
  <si>
    <t>$P$14</t>
  </si>
  <si>
    <t>$N$15</t>
  </si>
  <si>
    <t>$P$15</t>
  </si>
  <si>
    <t>$L$16</t>
  </si>
  <si>
    <t>$L$17</t>
  </si>
  <si>
    <t>$L$18</t>
  </si>
  <si>
    <t>$N$13:$N$15</t>
  </si>
  <si>
    <t>$N$16:$N$18</t>
  </si>
  <si>
    <t>$P$13:$P$15</t>
  </si>
  <si>
    <t>$P$16:$P$18</t>
  </si>
  <si>
    <t>$P$17</t>
  </si>
  <si>
    <t>$P$18</t>
  </si>
  <si>
    <t>$P$13:$P$18</t>
  </si>
  <si>
    <t>$J$22</t>
  </si>
  <si>
    <t>$J$23</t>
  </si>
  <si>
    <t>$J$24</t>
  </si>
  <si>
    <t>$K$19</t>
  </si>
  <si>
    <t>$K$20</t>
  </si>
  <si>
    <t>$K$21</t>
  </si>
  <si>
    <t>$K$22</t>
  </si>
  <si>
    <t>$K$23</t>
  </si>
  <si>
    <t>$K$24</t>
  </si>
  <si>
    <t>$L$19</t>
  </si>
  <si>
    <t>$L$20</t>
  </si>
  <si>
    <t>$L$21</t>
  </si>
  <si>
    <t>$L$22</t>
  </si>
  <si>
    <t>$L$23</t>
  </si>
  <si>
    <t>$L$24</t>
  </si>
  <si>
    <t>$N$19</t>
  </si>
  <si>
    <t>$P$19</t>
  </si>
  <si>
    <t>$N$20</t>
  </si>
  <si>
    <t>$P$20</t>
  </si>
  <si>
    <t>$N$21</t>
  </si>
  <si>
    <t>$P$21</t>
  </si>
  <si>
    <t>$N$22</t>
  </si>
  <si>
    <t>$P$22</t>
  </si>
  <si>
    <t>$N$23</t>
  </si>
  <si>
    <t>$P$23</t>
  </si>
  <si>
    <t>$N$24</t>
  </si>
  <si>
    <t>$P$24</t>
  </si>
  <si>
    <t>Chiller</t>
  </si>
  <si>
    <t>Various Areas</t>
  </si>
  <si>
    <t>$Q$9</t>
  </si>
  <si>
    <t>$Q$10</t>
  </si>
  <si>
    <t>$R$10</t>
  </si>
  <si>
    <t xml:space="preserve">2 units of MPV </t>
  </si>
  <si>
    <t>1 unit Van</t>
  </si>
  <si>
    <t>3 units Armored Vehicles</t>
  </si>
  <si>
    <t>$R$7:$R$24</t>
  </si>
  <si>
    <t>$M$15</t>
  </si>
  <si>
    <t>$M$17</t>
  </si>
  <si>
    <t>$M$18</t>
  </si>
  <si>
    <t>$M$10:$M$13</t>
  </si>
  <si>
    <t>$A$27:$E$39</t>
  </si>
  <si>
    <t>$Q$11</t>
  </si>
  <si>
    <t>$Q$12</t>
  </si>
  <si>
    <t>$Q$13</t>
  </si>
  <si>
    <t>$S$9</t>
  </si>
  <si>
    <t>$S$11</t>
  </si>
  <si>
    <t>$S$10</t>
  </si>
  <si>
    <t>$S$13</t>
  </si>
  <si>
    <t>$S$12</t>
  </si>
  <si>
    <t>$T$8:$T$13</t>
  </si>
  <si>
    <t>Destination (domestic usage and landscaping)</t>
  </si>
  <si>
    <t>$U$8</t>
  </si>
  <si>
    <t>$U$9:$U$13</t>
  </si>
  <si>
    <t>$M$18:$M$19</t>
  </si>
  <si>
    <t>$N$16</t>
  </si>
  <si>
    <t>$N$17</t>
  </si>
  <si>
    <t>$N$18</t>
  </si>
  <si>
    <t>Estimated accumulated volume</t>
  </si>
  <si>
    <t>Stockpiled in the MRF subject for haz waste disposal through 3rd party contraactors</t>
  </si>
  <si>
    <t>$O$8:$O$9</t>
  </si>
  <si>
    <t>$O$10:$O$11</t>
  </si>
  <si>
    <t>$O$12:$O$13</t>
  </si>
  <si>
    <t>$O$14:$O$15</t>
  </si>
  <si>
    <t>$O$16:$O$17</t>
  </si>
  <si>
    <t>$O$18:$O$19</t>
  </si>
  <si>
    <t>$N$7:$N$10</t>
  </si>
  <si>
    <t>$I$13:$O$106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</si>
</sst>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5">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14" fontId="0" fillId="0" borderId="0" xfId="0" applyNumberFormat="1"/>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15" fontId="8" fillId="3" borderId="4" xfId="0" applyNumberFormat="1" applyFont="1" applyFill="1" applyBorder="1" applyAlignment="1" applyProtection="1">
      <alignment horizontal="center" vertical="center"/>
      <protection locked="0"/>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8" fillId="0" borderId="3" xfId="0" applyFont="1" applyBorder="1" applyAlignment="1">
      <alignment horizontal="left" vertical="center" wrapText="1"/>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1">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6.900491435183"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18"/>
    </cacheField>
    <cacheField name="Vehicle Type" numFmtId="0">
      <sharedItems containsBlank="1" count="11">
        <s v="Multi-Purpose Vehicle"/>
        <s v="Van  "/>
        <s v="Armored Vehicle"/>
        <m/>
        <s v="Passenger Car" u="1"/>
        <s v="Large Bus" u="1"/>
        <s v="Large Truck" u="1"/>
        <s v="Motorbike" u="1"/>
        <s v="Small Truck" u="1"/>
        <s v="Service Vehicles" u="1"/>
        <s v="Armored Vehicles" u="1"/>
      </sharedItems>
    </cacheField>
    <cacheField name="Fuel Type" numFmtId="0">
      <sharedItems containsBlank="1" count="4">
        <s v="Diesel - Transport vehicles"/>
        <m/>
        <s v="Gasoline - Transport vehicles" u="1"/>
        <s v="LPG" u="1"/>
      </sharedItems>
    </cacheField>
    <cacheField name="Month" numFmtId="0">
      <sharedItems containsBlank="1" count="9">
        <s v="Jan"/>
        <s v="Feb"/>
        <s v="Mar"/>
        <s v="Apr"/>
        <s v="May"/>
        <s v="Jun"/>
        <m/>
        <s v="Oct" u="1"/>
        <s v="Sep" u="1"/>
      </sharedItems>
    </cacheField>
    <cacheField name="Quarter" numFmtId="0">
      <sharedItems containsBlank="1" count="6">
        <s v="Q1"/>
        <s v="Q2"/>
        <s v=""/>
        <m u="1"/>
        <s v="Q4" u="1"/>
        <s v="Q3" u="1"/>
      </sharedItems>
    </cacheField>
    <cacheField name="Consumption" numFmtId="4">
      <sharedItems containsString="0" containsBlank="1" containsNumber="1" minValue="0" maxValue="172"/>
    </cacheField>
    <cacheField name="Unit" numFmtId="0">
      <sharedItems containsBlank="1"/>
    </cacheField>
    <cacheField name="Total kilometers travelled (all vehicles)" numFmtId="4">
      <sharedItems containsString="0" containsBlank="1" containsNumber="1" minValue="0" maxValue="1577"/>
    </cacheField>
    <cacheField name="Unit2" numFmtId="0">
      <sharedItems/>
    </cacheField>
    <cacheField name="Remarks" numFmtId="0">
      <sharedItems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95.85"/>
    <s v="Liters"/>
    <n v="1112"/>
    <s v="Kilometers"/>
    <s v="2 units of MPV "/>
  </r>
  <r>
    <n v="2"/>
    <x v="1"/>
    <x v="0"/>
    <x v="0"/>
    <x v="0"/>
    <n v="156"/>
    <m/>
    <n v="1510"/>
    <s v="Kilometers"/>
    <s v="1 unit Van"/>
  </r>
  <r>
    <n v="3"/>
    <x v="2"/>
    <x v="0"/>
    <x v="0"/>
    <x v="0"/>
    <n v="75.87"/>
    <s v="Liters"/>
    <n v="148.4"/>
    <s v="Kilometers"/>
    <s v="3 units Armored Vehicles"/>
  </r>
  <r>
    <n v="4"/>
    <x v="0"/>
    <x v="0"/>
    <x v="1"/>
    <x v="0"/>
    <n v="51.52"/>
    <s v="Liters"/>
    <n v="949"/>
    <s v="Kilometers"/>
    <s v="2 units of MPV "/>
  </r>
  <r>
    <n v="5"/>
    <x v="1"/>
    <x v="0"/>
    <x v="1"/>
    <x v="0"/>
    <n v="172"/>
    <s v="Liters"/>
    <n v="1577"/>
    <s v="Kilometers"/>
    <s v="1 unit Van"/>
  </r>
  <r>
    <n v="6"/>
    <x v="2"/>
    <x v="0"/>
    <x v="1"/>
    <x v="0"/>
    <n v="0"/>
    <s v="Liters"/>
    <n v="0"/>
    <s v="Kilometers"/>
    <s v="3 units Armored Vehicles"/>
  </r>
  <r>
    <n v="7"/>
    <x v="0"/>
    <x v="0"/>
    <x v="2"/>
    <x v="0"/>
    <n v="40.69"/>
    <s v="Liters"/>
    <n v="397"/>
    <s v="Kilometers"/>
    <s v="2 units of MPV "/>
  </r>
  <r>
    <n v="8"/>
    <x v="1"/>
    <x v="0"/>
    <x v="2"/>
    <x v="0"/>
    <n v="162.01"/>
    <s v="Liters"/>
    <n v="1305"/>
    <s v="Kilometers"/>
    <s v="1 unit Van"/>
  </r>
  <r>
    <n v="9"/>
    <x v="2"/>
    <x v="0"/>
    <x v="2"/>
    <x v="0"/>
    <n v="0"/>
    <s v="Liters"/>
    <n v="0"/>
    <s v="Kilometers"/>
    <s v="3 units Armored Vehicles"/>
  </r>
  <r>
    <n v="10"/>
    <x v="0"/>
    <x v="0"/>
    <x v="3"/>
    <x v="1"/>
    <n v="52.42"/>
    <s v="Liters"/>
    <n v="581"/>
    <s v="Kilometers"/>
    <s v="2 units of MPV "/>
  </r>
  <r>
    <n v="11"/>
    <x v="1"/>
    <x v="0"/>
    <x v="3"/>
    <x v="1"/>
    <n v="87.97"/>
    <s v="Liters"/>
    <n v="653"/>
    <s v="Kilometers"/>
    <s v="1 unit Van"/>
  </r>
  <r>
    <n v="12"/>
    <x v="2"/>
    <x v="0"/>
    <x v="3"/>
    <x v="1"/>
    <n v="0"/>
    <s v="Liters"/>
    <n v="0"/>
    <s v="Kilometers"/>
    <s v="3 units Armored Vehicles"/>
  </r>
  <r>
    <n v="13"/>
    <x v="0"/>
    <x v="0"/>
    <x v="4"/>
    <x v="1"/>
    <n v="47.5"/>
    <s v="Liters"/>
    <n v="686"/>
    <s v="Kilometers"/>
    <s v="2 units of MPV "/>
  </r>
  <r>
    <n v="14"/>
    <x v="1"/>
    <x v="0"/>
    <x v="4"/>
    <x v="1"/>
    <n v="83.32"/>
    <s v="Liters"/>
    <n v="780"/>
    <s v="Kilometers"/>
    <s v="1 unit Van"/>
  </r>
  <r>
    <n v="15"/>
    <x v="2"/>
    <x v="0"/>
    <x v="4"/>
    <x v="1"/>
    <n v="0"/>
    <s v="Liters"/>
    <n v="0"/>
    <s v="Kilometers"/>
    <s v="3 units Armored Vehicles"/>
  </r>
  <r>
    <n v="16"/>
    <x v="0"/>
    <x v="0"/>
    <x v="5"/>
    <x v="1"/>
    <n v="61.8"/>
    <s v="Liters"/>
    <n v="601"/>
    <s v="Kilometers"/>
    <s v="2 units of MPV "/>
  </r>
  <r>
    <n v="17"/>
    <x v="1"/>
    <x v="0"/>
    <x v="5"/>
    <x v="1"/>
    <n v="92.5"/>
    <s v="Liters"/>
    <n v="675"/>
    <s v="Kilometers"/>
    <s v="1 unit Van"/>
  </r>
  <r>
    <n v="18"/>
    <x v="2"/>
    <x v="0"/>
    <x v="5"/>
    <x v="1"/>
    <n v="2.66"/>
    <s v="Liters"/>
    <n v="7.24"/>
    <s v="Kilometers"/>
    <s v="3 units Armored Vehicles"/>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69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70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E39" firstHeaderRow="1" firstDataRow="2" firstDataCol="1" rowPageCount="1" colPageCount="1"/>
  <pivotFields count="10">
    <pivotField showAll="0"/>
    <pivotField axis="axisRow" showAll="0">
      <items count="12">
        <item m="1" x="10"/>
        <item m="1" x="9"/>
        <item x="3"/>
        <item m="1" x="4"/>
        <item m="1" x="8"/>
        <item m="1" x="5"/>
        <item m="1" x="6"/>
        <item m="1" x="7"/>
        <item x="2"/>
        <item x="0"/>
        <item x="1"/>
        <item t="default"/>
      </items>
    </pivotField>
    <pivotField axis="axisRow" showAll="0">
      <items count="5">
        <item x="0"/>
        <item m="1" x="2"/>
        <item x="1"/>
        <item m="1" x="3"/>
        <item t="default"/>
      </items>
    </pivotField>
    <pivotField axis="axisPage" showAll="0">
      <items count="10">
        <item x="0"/>
        <item x="1"/>
        <item m="1" x="7"/>
        <item x="6"/>
        <item x="4"/>
        <item m="1" x="8"/>
        <item x="2"/>
        <item x="3"/>
        <item x="5"/>
        <item t="default"/>
      </items>
    </pivotField>
    <pivotField axis="axisCol" showAll="0">
      <items count="7">
        <item x="2"/>
        <item x="0"/>
        <item m="1" x="4"/>
        <item x="1"/>
        <item m="1" x="5"/>
        <item m="1" x="3"/>
        <item t="default"/>
      </items>
    </pivotField>
    <pivotField dataField="1" showAll="0"/>
    <pivotField showAll="0"/>
    <pivotField showAll="0"/>
    <pivotField showAll="0"/>
    <pivotField showAll="0"/>
  </pivotFields>
  <rowFields count="2">
    <field x="1"/>
    <field x="2"/>
  </rowFields>
  <rowItems count="9">
    <i>
      <x v="2"/>
    </i>
    <i r="1">
      <x v="2"/>
    </i>
    <i>
      <x v="8"/>
    </i>
    <i r="1">
      <x/>
    </i>
    <i>
      <x v="9"/>
    </i>
    <i r="1">
      <x/>
    </i>
    <i>
      <x v="10"/>
    </i>
    <i r="1">
      <x/>
    </i>
    <i t="grand">
      <x/>
    </i>
  </rowItems>
  <colFields count="1">
    <field x="4"/>
  </colFields>
  <colItems count="4">
    <i>
      <x/>
    </i>
    <i>
      <x v="1"/>
    </i>
    <i>
      <x v="3"/>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69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69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69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68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69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1">
        <i x="2" s="1"/>
        <i x="0" s="1"/>
        <i x="1" s="1"/>
        <i x="10" s="1" nd="1"/>
        <i x="5" s="1" nd="1"/>
        <i x="6" s="1" nd="1"/>
        <i x="7" s="1" nd="1"/>
        <i x="4" s="1" nd="1"/>
        <i x="9" s="1" nd="1"/>
        <i x="8"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9">
        <i x="0" s="1"/>
        <i x="1" s="1"/>
        <i x="2" s="1"/>
        <i x="3" s="1"/>
        <i x="4" s="1"/>
        <i x="5" s="1"/>
        <i x="8" s="1" nd="1"/>
        <i x="7" s="1" nd="1"/>
        <i x="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nd="1"/>
        <i x="5" s="1" nd="1"/>
        <i x="4" s="1" nd="1"/>
        <i x="3"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2" totalsRowShown="0" headerRowDxfId="110" dataDxfId="108" headerRowBorderDxfId="109" tableBorderDxfId="107">
  <autoFilter ref="I6:O12" xr:uid="{5D54EA1C-BF56-1C41-A397-8FB104BB2C69}"/>
  <tableColumns count="7">
    <tableColumn id="1" xr3:uid="{0736B116-FD52-4F4F-884D-77C731445CFF}" name="No." dataDxfId="106">
      <calculatedColumnFormula>IF(#REF!="","",$I7+1)</calculatedColumnFormula>
    </tableColumn>
    <tableColumn id="5" xr3:uid="{C603CCC2-2764-574B-B616-B1F220EFF63F}" name="Fuel Type" dataDxfId="105"/>
    <tableColumn id="6" xr3:uid="{29E6127A-1BBD-4D42-8A5A-1FA1E160EC19}" name="Month" dataDxfId="104"/>
    <tableColumn id="7" xr3:uid="{AAB63BD1-C28A-2145-9671-756792E786E6}" name="Quarter" dataDxfId="103">
      <calculatedColumnFormula>IF(Fuel_Blg[[#This Row],[Month]]&lt;&gt;"",VLOOKUP(Fuel_Blg[[#This Row],[Month]], dropdown!$S$4:$T$15, 2, FALSE),"")</calculatedColumnFormula>
    </tableColumn>
    <tableColumn id="8" xr3:uid="{2659C633-FEE7-7446-91C8-0ACAADD03760}" name="Consumption" dataDxfId="102"/>
    <tableColumn id="9" xr3:uid="{83261790-77E9-A84F-890F-8F209571520F}" name="Unit" dataDxfId="101">
      <calculatedColumnFormula>IF($J7="","",VLOOKUP($J7,dropdown!$P$3:$Q$8,2,FALSE))</calculatedColumnFormula>
    </tableColumn>
    <tableColumn id="10" xr3:uid="{ADF20B56-6D74-6149-B0C0-FB9AA3F5AC8E}" name="Remarks" dataDxfId="10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99" dataDxfId="97" headerRowBorderDxfId="98" tableBorderDxfId="96" totalsRowBorderDxfId="95">
  <autoFilter ref="I6:R106" xr:uid="{A85D45EB-1572-A543-812E-815536D59C14}"/>
  <tableColumns count="10">
    <tableColumn id="1" xr3:uid="{CA340CBE-9D85-6C42-9CA1-DDAD368521C3}" name="No." dataDxfId="94">
      <calculatedColumnFormula>IF($J7="","",$I6+1)</calculatedColumnFormula>
    </tableColumn>
    <tableColumn id="2" xr3:uid="{CFAD3D96-F137-044A-AE4C-49E5188E1144}" name="Vehicle Type" dataDxfId="93"/>
    <tableColumn id="3" xr3:uid="{5A421D87-7A43-B14E-BA71-EABB4924A663}" name="Fuel Type" dataDxfId="92"/>
    <tableColumn id="4" xr3:uid="{9C4094CC-7613-9147-BAF8-A31087280A9A}" name="Month" dataDxfId="91"/>
    <tableColumn id="10" xr3:uid="{5211A67F-348D-494D-AD2E-AD4A362BCD78}" name="Quarter" dataDxfId="90">
      <calculatedColumnFormula>IF(Fuel_Veh[[#This Row],[Month]]&lt;&gt;"",VLOOKUP(Fuel_Veh[[#This Row],[Month]], dropdown!$S$4:$T$15, 2, FALSE),"")</calculatedColumnFormula>
    </tableColumn>
    <tableColumn id="5" xr3:uid="{6EDA12F9-55D0-694A-BAB9-B15BDE58CA76}" name="Consumption" dataDxfId="89"/>
    <tableColumn id="7" xr3:uid="{E7761959-51F4-954F-B8FB-F46DCC54C53F}" name="Unit" dataDxfId="88">
      <calculatedColumnFormula>IF($K7="","",VLOOKUP($K7,dropdown!$P$14:$Q$18,2,FALSE))</calculatedColumnFormula>
    </tableColumn>
    <tableColumn id="8" xr3:uid="{AD5D0247-3B56-D146-B22E-45D44E44A249}" name="Total kilometers travelled (all vehicles)" dataDxfId="87"/>
    <tableColumn id="6" xr3:uid="{7D9E5DFA-64C2-4B06-A40F-0BC8CB602574}" name="Unit2" dataDxfId="86">
      <calculatedColumnFormula>IF($P7="","","Kilometers")</calculatedColumnFormula>
    </tableColumn>
    <tableColumn id="9" xr3:uid="{3C24034E-2544-5447-B927-0F565A869F60}" name="Remarks" dataDxfId="8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84" dataDxfId="83">
  <autoFilter ref="I8:W107" xr:uid="{4EA7077C-50F7-42D2-96F2-51568F67E7B2}"/>
  <tableColumns count="15">
    <tableColumn id="1" xr3:uid="{F5FCA22D-7063-431B-9399-42C43DB71411}" name="No." dataDxfId="82">
      <calculatedColumnFormula>IF($K9="","",$I8+1)</calculatedColumnFormula>
    </tableColumn>
    <tableColumn id="2" xr3:uid="{132030AD-4541-47EB-A337-EEE87637C1DE}" name="Location" dataDxfId="81"/>
    <tableColumn id="3" xr3:uid="{E38A8A42-DF98-463F-8F43-42FB3365C31D}" name="Equipment Category" dataDxfId="80"/>
    <tableColumn id="4" xr3:uid="{73A30FFB-A2D9-422E-811C-B1A1BA4CF2FF}" name="No. of Units" dataDxfId="79"/>
    <tableColumn id="5" xr3:uid="{C542C367-6C7C-4A2E-AFC0-70AA09658289}" name="Refrigerant" dataDxfId="78"/>
    <tableColumn id="6" xr3:uid="{A49CD649-8CDA-4BDE-9E6C-7CED9E0C5258}" name="Equipment Status" dataDxfId="77"/>
    <tableColumn id="7" xr3:uid="{496D94A5-FA4D-4CAE-BA86-0076C8252260}" name="Month Purchased" dataDxfId="76"/>
    <tableColumn id="8" xr3:uid="{C2C4A362-BE62-4AD9-8A32-0EE063613BFF}" name="Charge (kg)" dataDxfId="75"/>
    <tableColumn id="9" xr3:uid="{72FA09EB-82CD-4F9D-B0C6-9BC0E94D6119}" name="Month Recharged" dataDxfId="74"/>
    <tableColumn id="10" xr3:uid="{47F108D4-F5B0-471A-95AA-199B8E9D5D51}" name="Recharge (kg)" dataDxfId="73"/>
    <tableColumn id="11" xr3:uid="{7F5D579B-DB98-4EE1-9316-59541598F54B}" name="Month Disposed" dataDxfId="72"/>
    <tableColumn id="12" xr3:uid="{27D4DE6A-84A7-49EE-85CD-4A4C4CF0E9C1}" name="Capacity (kg)" dataDxfId="71"/>
    <tableColumn id="13" xr3:uid="{57B4A461-924D-48EC-A43C-5A1EEE91ED09}" name="Recovered (kg)" dataDxfId="70"/>
    <tableColumn id="14" xr3:uid="{4A88164E-A6C3-4FE4-8DE4-0C0950D809F0}" name="Quarter" dataDxfId="69">
      <calculatedColumnFormula>IFERROR(VLOOKUP($O9, dropdown!$S$4:$T$15, 2, FALSE),
 IFERROR(VLOOKUP($Q9, dropdown!$S$4:$T$15, 2, FALSE),
 IFERROR(VLOOKUP($S9, dropdown!$S$4:$T$15, 2, FALSE),
 "")))</calculatedColumnFormula>
    </tableColumn>
    <tableColumn id="15" xr3:uid="{D18D61D3-B9DB-40F4-9EBB-61DAFC976BF5}" name="Remarks" dataDxfId="68"/>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67" tableBorderDxfId="66">
  <autoFilter ref="I7:O107" xr:uid="{4E808252-F12F-E841-AB57-6A82E4759C1A}"/>
  <tableColumns count="7">
    <tableColumn id="1" xr3:uid="{D5D30AA3-E573-734B-B6AB-3BC327F8D967}" name="No." dataDxfId="65"/>
    <tableColumn id="3" xr3:uid="{E49E940C-A64E-A446-B958-9A58950DBA26}" name="Month" dataDxfId="64"/>
    <tableColumn id="8" xr3:uid="{A32745C6-53F1-AF48-B40D-2062538BA76C}" name="Quarter" dataDxfId="63">
      <calculatedColumnFormula>IF(Electricity[[#This Row],[Month]]&lt;&gt;"",VLOOKUP(Electricity[[#This Row],[Month]], dropdown!$S$4:$T$15, 2, FALSE),"")</calculatedColumnFormula>
    </tableColumn>
    <tableColumn id="4" xr3:uid="{7BDA3B9E-E331-A040-8D00-68C0D245C2DD}" name="Consumption (kWh)" dataDxfId="62"/>
    <tableColumn id="5" xr3:uid="{4597EC97-806C-4E41-8BA3-E789252B06C0}" name="Cost (PHP)" dataDxfId="61"/>
    <tableColumn id="6" xr3:uid="{4139C44D-830B-F247-8F9C-494AF4CBED3A}" name="Utility Provider" dataDxfId="60"/>
    <tableColumn id="7" xr3:uid="{A1E305CA-3F3B-AC45-B4A9-903D25ED562F}" name="Remarks" dataDxfId="5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8" tableBorderDxfId="57">
  <autoFilter ref="I6:N106" xr:uid="{4E808252-F12F-E841-AB57-6A82E4759C1A}"/>
  <tableColumns count="6">
    <tableColumn id="1" xr3:uid="{96892042-DA4D-554E-B6C0-56CC2E778BE0}" name="No." dataDxfId="56">
      <calculatedColumnFormula>IF(Electricity6[[#This Row],[Month]]="","",1)</calculatedColumnFormula>
    </tableColumn>
    <tableColumn id="3" xr3:uid="{4D461598-2D62-B244-9F61-EF4079251355}" name="Month" dataDxfId="55"/>
    <tableColumn id="8" xr3:uid="{45DB6F9E-A541-A04C-BEB7-D0FD16821599}" name="Quarter" dataDxfId="54">
      <calculatedColumnFormula>IF(Electricity6[[#This Row],[Month]]&lt;&gt;"",VLOOKUP(Electricity6[[#This Row],[Month]], dropdown!$S$4:$T$15, 2, FALSE),"")</calculatedColumnFormula>
    </tableColumn>
    <tableColumn id="4" xr3:uid="{2384A887-6797-9D45-A82F-AD87B1CEA514}" name="Solar Energy Generated (kWh)" dataDxfId="53"/>
    <tableColumn id="6" xr3:uid="{C0C5600A-2A4F-42FA-A171-A7D77002B82E}" name="Operational Energy Demand - One Shift (kWH)" dataDxfId="52"/>
    <tableColumn id="7" xr3:uid="{0E49F2FA-DF95-494F-B55D-59E5FA7DFB31}" name="Remarks" dataDxfId="5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50" dataDxfId="48" headerRowBorderDxfId="49" tableBorderDxfId="47" totalsRowBorderDxfId="46">
  <autoFilter ref="I7:N107" xr:uid="{D1C0C9B2-779D-1649-AFF9-2DC747BD8D8E}"/>
  <tableColumns count="6">
    <tableColumn id="1" xr3:uid="{98251D21-9B72-FF46-855C-29CDFC3F8C49}" name="No." dataDxfId="45">
      <calculatedColumnFormula>IF(#REF!="","",$I7+1)</calculatedColumnFormula>
    </tableColumn>
    <tableColumn id="3" xr3:uid="{79584AA0-F1B7-3B41-BB42-77B2A9F16C14}" name="Month" dataDxfId="44"/>
    <tableColumn id="4" xr3:uid="{A3CA35C2-DBF2-C44A-8453-C1C3204D173D}" name="Quarter" dataDxfId="43">
      <calculatedColumnFormula>IF(water_in[[#This Row],[Month]]&lt;&gt;"",VLOOKUP(water_in[[#This Row],[Month]], dropdown!$S$4:$T$15, 2, FALSE),"")</calculatedColumnFormula>
    </tableColumn>
    <tableColumn id="5" xr3:uid="{94E41BA5-FE14-7A42-A566-007A23C80527}" name="Source" dataDxfId="42"/>
    <tableColumn id="6" xr3:uid="{06C9DE83-99A6-6E42-BFF6-BBB009F75383}" name="Volume (m3)" dataDxfId="41"/>
    <tableColumn id="7" xr3:uid="{76D3A7A4-7A71-A740-A5FE-E0978AE0D14C}" name="Remarks" dataDxfId="4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9" dataDxfId="37" headerRowBorderDxfId="38" tableBorderDxfId="36" totalsRowBorderDxfId="35">
  <autoFilter ref="P7:U107" xr:uid="{417FDA8E-3E35-E54B-B144-32DD667BE400}"/>
  <tableColumns count="6">
    <tableColumn id="1" xr3:uid="{C13D90C4-D898-7E42-BF11-5CEB6AE3F508}" name="No." dataDxfId="34">
      <calculatedColumnFormula>IF(#REF!="","",$P7+1)</calculatedColumnFormula>
    </tableColumn>
    <tableColumn id="3" xr3:uid="{FB4E4C5F-3555-F84A-866C-D2E830B01E5D}" name="Month" dataDxfId="33"/>
    <tableColumn id="4" xr3:uid="{619B28E5-6E0C-9445-94A5-CFE5B7E140CF}" name="Quarter" dataDxfId="32">
      <calculatedColumnFormula>IF(water_out[[#This Row],[Month]]&lt;&gt;"",VLOOKUP(water_out[[#This Row],[Month]], dropdown!$S$4:$T$15, 2, FALSE),"")</calculatedColumnFormula>
    </tableColumn>
    <tableColumn id="6" xr3:uid="{FC43882E-BF75-DA4D-B572-DC2FBD6873DC}" name="Water Destination" dataDxfId="31"/>
    <tableColumn id="2" xr3:uid="{10C062EB-B924-4DED-B867-1CB5A5574221}" name="Volume2 (m3)" dataDxfId="30"/>
    <tableColumn id="8" xr3:uid="{41D6224C-69B7-5E4A-8BC8-C342068A9656}" name="Remarks" dataDxfId="2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8" dataDxfId="27" tableBorderDxfId="26">
  <autoFilter ref="I12:O30" xr:uid="{644952C9-78B7-944D-8BFB-5F0BBB441E25}"/>
  <tableColumns count="7">
    <tableColumn id="1" xr3:uid="{905CBBCA-C4CE-E64F-8577-DD820D762EBE}" name="Component" dataDxfId="25"/>
    <tableColumn id="2" xr3:uid="{95B1D560-7606-8440-A263-1F3488DDCF60}" name="Chemical Formula" dataDxfId="24"/>
    <tableColumn id="3" xr3:uid="{BAFDD3D8-B5F1-0945-B68F-96F3F4D4E83A}" name="Molar Fraction (%)" dataDxfId="23"/>
    <tableColumn id="4" xr3:uid="{8ED09876-064B-5643-B346-8B9BE03FCA7C}" name="Total Moles (kg-mole/m3)" dataDxfId="22">
      <calculatedColumnFormula>IF(Waste_Gases[[#This Row],[Molar Fraction (%)]]=0,"",Waste_Gases[[#This Row],[Molar Fraction (%)]]*$D$15)</calculatedColumnFormula>
    </tableColumn>
    <tableColumn id="5" xr3:uid="{AF137C96-997B-0043-A824-BF6EB99BF204}" name="Molecular Weight" dataDxfId="21"/>
    <tableColumn id="6" xr3:uid="{45DE64DD-9AEC-7A47-BFD6-46841261F085}" name="Percent Carbon (%)" dataDxfId="20">
      <calculatedColumnFormula>Emission_Factors!$B$17/Waste_Gases[[#This Row],[Molecular Weight]]</calculatedColumnFormula>
    </tableColumn>
    <tableColumn id="7" xr3:uid="{2A4C64A5-A239-5A46-9E95-F45AEE05D934}" name="Carbon Content(kg/m3)" dataDxfId="19">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8" tableBorderDxfId="17">
  <autoFilter ref="I7:O104" xr:uid="{0230B550-3160-A24C-BB39-D77FBA7436E1}"/>
  <tableColumns count="7">
    <tableColumn id="1" xr3:uid="{E1E9FF9D-27E3-7D49-AEA6-2B1729AB118D}" name="No." dataDxfId="16"/>
    <tableColumn id="2" xr3:uid="{8380DC80-2805-C14F-AD3B-7C45100601CB}" name="Month" dataDxfId="15"/>
    <tableColumn id="3" xr3:uid="{8B50C8B1-2B60-7D48-8932-B0CD897CE645}" name="Quarter" dataDxfId="14">
      <calculatedColumnFormula>IF(Waste[[#This Row],[Month]]&lt;&gt;"",VLOOKUP(Waste[[#This Row],[Month]], dropdown!$S$4:$T$15, 2, FALSE),"")</calculatedColumnFormula>
    </tableColumn>
    <tableColumn id="4" xr3:uid="{1D0A3C03-9904-E148-8A78-B82195B0EA5C}" name="Waste Composition" dataDxfId="13"/>
    <tableColumn id="5" xr3:uid="{93373184-794D-CF48-B2C6-609884108023}" name="Weight (kg)" dataDxfId="12"/>
    <tableColumn id="6" xr3:uid="{AEA2ECE1-073B-3E43-BACD-0EDC33C61465}" name="Disposal/Recovery Method" dataDxfId="11"/>
    <tableColumn id="7" xr3:uid="{5D0BB89C-B4C6-D54A-A767-64E8AE7DDBFE}" name="Remarks" dataDxfId="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1279" totalsRowShown="0" headerRowDxfId="9">
  <autoFilter ref="A1:E1279" xr:uid="{76DE87AF-814A-AB4A-8281-B0E5A4C74319}"/>
  <tableColumns count="5">
    <tableColumn id="1" xr3:uid="{26002ACD-4A1E-4D49-89F1-047F359822D0}" name="Timestamp" dataDxfId="8"/>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zoomScaleNormal="130" workbookViewId="0">
      <selection activeCell="B2" sqref="B2"/>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27</v>
      </c>
      <c r="D6" s="86">
        <v>1</v>
      </c>
      <c r="E6" s="90" t="s">
        <v>8</v>
      </c>
      <c r="F6" s="91" t="s">
        <v>9</v>
      </c>
      <c r="G6" s="92" t="s">
        <v>10</v>
      </c>
      <c r="H6" s="93" t="s">
        <v>11</v>
      </c>
    </row>
    <row r="7" spans="2:8" ht="16" x14ac:dyDescent="0.2">
      <c r="B7" s="437" t="s">
        <v>58</v>
      </c>
      <c r="D7" s="86">
        <f>D6+1</f>
        <v>2</v>
      </c>
      <c r="E7" s="90" t="s">
        <v>12</v>
      </c>
      <c r="F7" s="91" t="s">
        <v>13</v>
      </c>
      <c r="G7" s="92" t="s">
        <v>14</v>
      </c>
      <c r="H7" s="93">
        <v>2024</v>
      </c>
    </row>
    <row r="8" spans="2:8" ht="16" x14ac:dyDescent="0.2">
      <c r="B8" s="438" t="s">
        <v>15</v>
      </c>
      <c r="D8" s="383">
        <f>D7+1</f>
        <v>3</v>
      </c>
      <c r="E8" s="389" t="s">
        <v>16</v>
      </c>
      <c r="F8" s="390" t="s">
        <v>17</v>
      </c>
      <c r="G8" s="384" t="s">
        <v>18</v>
      </c>
      <c r="H8" s="385" t="s">
        <v>19</v>
      </c>
    </row>
    <row r="9" spans="2:8" ht="16" x14ac:dyDescent="0.2">
      <c r="B9" s="439" t="s">
        <v>20</v>
      </c>
      <c r="D9" s="86">
        <f>D8+1</f>
        <v>4</v>
      </c>
      <c r="E9" s="91" t="s">
        <v>21</v>
      </c>
      <c r="F9" s="91" t="s">
        <v>22</v>
      </c>
      <c r="G9" s="158" t="s">
        <v>23</v>
      </c>
      <c r="H9" s="159" t="s">
        <v>24</v>
      </c>
    </row>
    <row r="10" spans="2:8" x14ac:dyDescent="0.2">
      <c r="B10" s="439" t="s">
        <v>25</v>
      </c>
      <c r="D10" s="386"/>
      <c r="E10" s="387"/>
      <c r="F10" s="387"/>
      <c r="G10" s="174"/>
      <c r="H10" s="388"/>
    </row>
    <row r="11" spans="2:8" ht="16" x14ac:dyDescent="0.2">
      <c r="B11" s="440" t="s">
        <v>26</v>
      </c>
      <c r="D11" s="84" t="s">
        <v>27</v>
      </c>
      <c r="E11" s="96"/>
      <c r="F11" s="97"/>
      <c r="G11" s="96"/>
      <c r="H11" s="98"/>
    </row>
    <row r="12" spans="2:8" ht="16" x14ac:dyDescent="0.2">
      <c r="B12" s="441"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topLeftCell="A28" zoomScale="88" zoomScaleNormal="60" workbookViewId="0">
      <selection activeCell="E8" sqref="E8"/>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4" t="s">
        <v>409</v>
      </c>
      <c r="E2" s="445"/>
      <c r="F2" s="445"/>
      <c r="G2" s="446"/>
    </row>
    <row r="3" spans="3:7" x14ac:dyDescent="0.2">
      <c r="C3" s="117" t="s">
        <v>12</v>
      </c>
      <c r="D3" s="444">
        <v>2025</v>
      </c>
      <c r="E3" s="445"/>
      <c r="F3" s="445"/>
      <c r="G3" s="446"/>
    </row>
    <row r="5" spans="3:7" ht="19" customHeight="1" x14ac:dyDescent="0.2">
      <c r="C5" s="443" t="s">
        <v>148</v>
      </c>
      <c r="D5" s="443"/>
      <c r="E5" s="443"/>
      <c r="F5" s="443"/>
      <c r="G5" s="443"/>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
      </c>
      <c r="G8" s="181" t="str" cm="1">
        <f t="array" ref="G8">IF(SUMPRODUCT(--('2.1a Fuel - Buildings'!G11:G15&gt;0))&gt;0, "x", "")</f>
        <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
      </c>
      <c r="G9" s="183" t="str" cm="1">
        <f t="array" ref="G9">IF(SUMPRODUCT(--('2.1b Fuel - Vehicles'!G11:G12&gt;0))&gt;0, "x", "")</f>
        <v/>
      </c>
    </row>
    <row r="10" spans="3:7" x14ac:dyDescent="0.2">
      <c r="C10" s="182" t="s">
        <v>154</v>
      </c>
      <c r="D10" s="183" t="str" cm="1">
        <f t="array" ref="D10">IF(SUMPRODUCT(--('2.2 Refrigerants'!D11:D13&gt;0))&gt;0, "x", "")</f>
        <v>x</v>
      </c>
      <c r="E10" s="183" t="str" cm="1">
        <f t="array" ref="E10">IF(SUMPRODUCT(--('2.2 Refrigerants'!E11:E13&gt;0))&gt;0, "x", "")</f>
        <v/>
      </c>
      <c r="F10" s="183" t="str" cm="1">
        <f t="array" ref="F10">IF(SUMPRODUCT(--('2.2 Refrigerants'!F11:F13&gt;0))&gt;0, "x", "")</f>
        <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
      </c>
      <c r="G11" s="183" t="str" cm="1">
        <f t="array" ref="G11">IF(SUMPRODUCT(--('2.3a Electricity'!G12:G12&gt;0))&gt;0, "x", "")</f>
        <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
      </c>
      <c r="G13" s="183" t="str">
        <f>IF(SUM('2.4 Water'!G11:G12)&lt;&gt;0,"x","")</f>
        <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
      </c>
      <c r="G14" s="183" t="str" cm="1">
        <f t="array" ref="G14">IF(SUMPRODUCT(--('2.5 Waste'!G11:G16&gt;0))&gt;0, "x", "")</f>
        <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11310</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1182.1100000000001</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182364</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1616</v>
      </c>
    </row>
    <row r="40" spans="3:5" x14ac:dyDescent="0.2">
      <c r="C40" s="189" t="str">
        <f>'2.4 Water'!B12</f>
        <v>Water Discharge</v>
      </c>
      <c r="D40" s="189" t="str">
        <f>'2.4 Water'!C12</f>
        <v>Cubic meters</v>
      </c>
      <c r="E40" s="190">
        <f>SUM('2.4 Water'!$D$12:$G$12)</f>
        <v>1616</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0</v>
      </c>
    </row>
    <row r="45" spans="3:5" x14ac:dyDescent="0.2">
      <c r="C45" s="189" t="str">
        <f>'2.5 Waste'!B12</f>
        <v>Recyclable</v>
      </c>
      <c r="D45" s="189" t="str">
        <f>'2.5 Waste'!C12</f>
        <v>Kilograms</v>
      </c>
      <c r="E45" s="191">
        <f>SUM('2.5 Waste'!$D$12:$G$12)</f>
        <v>0</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0</v>
      </c>
    </row>
    <row r="48" spans="3:5" x14ac:dyDescent="0.2">
      <c r="C48" s="189" t="str">
        <f>'2.5 Waste'!B15</f>
        <v>Hazardous</v>
      </c>
      <c r="D48" s="189" t="str">
        <f>'2.5 Waste'!C15</f>
        <v>Kilograms</v>
      </c>
      <c r="E48" s="191">
        <f>SUM('2.5 Waste'!$D$14:$G$14)</f>
        <v>0</v>
      </c>
    </row>
    <row r="49" spans="3:5" x14ac:dyDescent="0.2">
      <c r="C49" s="189" t="str">
        <f>'2.5 Waste'!B16</f>
        <v>Residual/Landfill</v>
      </c>
      <c r="D49" s="189" t="str">
        <f>'2.5 Waste'!C16</f>
        <v>Kilograms</v>
      </c>
      <c r="E49" s="191">
        <f>SUM('2.5 Waste'!$D$14:$G$14)</f>
        <v>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zoomScaleNormal="100" workbookViewId="0">
      <selection activeCell="I13" sqref="I13:O106"/>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t="str">
        <f>'1. Data Info and Summary'!$D$2</f>
        <v>Legazpi Branch</v>
      </c>
      <c r="C4" s="37"/>
      <c r="D4" s="38">
        <f>IF('1. Data Info and Summary'!$D$3=0,"-",'1. Data Info and Summary'!$D$3)</f>
        <v>2025</v>
      </c>
      <c r="E4" s="37"/>
      <c r="F4" s="37" t="s">
        <v>171</v>
      </c>
      <c r="G4" s="39"/>
      <c r="I4" s="338"/>
      <c r="J4" s="276"/>
      <c r="K4" s="276"/>
      <c r="L4" s="276"/>
      <c r="M4" s="277"/>
      <c r="N4" s="277"/>
      <c r="O4" s="414"/>
      <c r="P4" s="213"/>
    </row>
    <row r="5" spans="2:16" x14ac:dyDescent="0.2">
      <c r="I5" s="20"/>
      <c r="J5" s="272"/>
    </row>
    <row r="6" spans="2:16" x14ac:dyDescent="0.2">
      <c r="B6" s="278" t="s">
        <v>172</v>
      </c>
      <c r="C6" s="447" t="s">
        <v>1431</v>
      </c>
      <c r="D6" s="448"/>
      <c r="E6" s="448"/>
      <c r="F6" s="448"/>
      <c r="G6" s="449"/>
      <c r="I6" s="209" t="s">
        <v>173</v>
      </c>
      <c r="J6" s="209" t="s">
        <v>35</v>
      </c>
      <c r="K6" s="209" t="s">
        <v>39</v>
      </c>
      <c r="L6" s="209" t="s">
        <v>43</v>
      </c>
      <c r="M6" s="209" t="s">
        <v>47</v>
      </c>
      <c r="N6" s="209" t="s">
        <v>51</v>
      </c>
      <c r="O6" s="209" t="s">
        <v>54</v>
      </c>
      <c r="P6" s="20"/>
    </row>
    <row r="7" spans="2:16" x14ac:dyDescent="0.2">
      <c r="B7" s="278" t="s">
        <v>174</v>
      </c>
      <c r="C7" s="450">
        <v>45910</v>
      </c>
      <c r="D7" s="448"/>
      <c r="E7" s="448"/>
      <c r="F7" s="448"/>
      <c r="G7" s="449"/>
      <c r="I7" s="194">
        <f>IF($M7="","",1)</f>
        <v>1</v>
      </c>
      <c r="J7" s="57" t="s">
        <v>37</v>
      </c>
      <c r="K7" s="58" t="s">
        <v>338</v>
      </c>
      <c r="L7" s="18" t="str">
        <f>IF(Fuel_Blg[[#This Row],[Month]]&lt;&gt;"",VLOOKUP(Fuel_Blg[[#This Row],[Month]], dropdown!$S$4:$T$15, 2, FALSE),"")</f>
        <v>Q1</v>
      </c>
      <c r="M7" s="29">
        <v>48</v>
      </c>
      <c r="N7" s="17" t="str">
        <f>IF($J7="","",VLOOKUP($J7,dropdown!$P$3:$Q$8,2,FALSE))</f>
        <v>Liters</v>
      </c>
      <c r="O7" s="195"/>
      <c r="P7" s="20"/>
    </row>
    <row r="8" spans="2:16" x14ac:dyDescent="0.2">
      <c r="I8" s="194"/>
      <c r="J8" s="57" t="s">
        <v>37</v>
      </c>
      <c r="K8" s="58" t="s">
        <v>89</v>
      </c>
      <c r="L8" s="18" t="str">
        <f>IF(Fuel_Blg[[#This Row],[Month]]&lt;&gt;"",VLOOKUP(Fuel_Blg[[#This Row],[Month]], dropdown!$S$4:$T$15, 2, FALSE),"")</f>
        <v>Q1</v>
      </c>
      <c r="M8" s="29">
        <v>393</v>
      </c>
      <c r="N8" s="17" t="str">
        <f>IF($J8="","",VLOOKUP($J8,dropdown!$P$3:$Q$8,2,FALSE))</f>
        <v>Liters</v>
      </c>
      <c r="O8" s="195"/>
      <c r="P8" s="20"/>
    </row>
    <row r="9" spans="2:16" x14ac:dyDescent="0.2">
      <c r="B9" s="14" t="s">
        <v>33</v>
      </c>
      <c r="C9" s="14"/>
      <c r="D9" s="14"/>
      <c r="E9" s="14"/>
      <c r="F9" s="14"/>
      <c r="G9" s="14"/>
      <c r="I9" s="194"/>
      <c r="J9" s="57" t="s">
        <v>37</v>
      </c>
      <c r="K9" s="58" t="s">
        <v>362</v>
      </c>
      <c r="L9" s="18" t="str">
        <f>IF(Fuel_Blg[[#This Row],[Month]]&lt;&gt;"",VLOOKUP(Fuel_Blg[[#This Row],[Month]], dropdown!$S$4:$T$15, 2, FALSE),"")</f>
        <v>Q1</v>
      </c>
      <c r="M9" s="29">
        <v>9119</v>
      </c>
      <c r="N9" s="17" t="str">
        <f>IF($J9="","",VLOOKUP($J9,dropdown!$P$3:$Q$8,2,FALSE))</f>
        <v>Liters</v>
      </c>
      <c r="O9" s="195"/>
      <c r="P9" s="20"/>
    </row>
    <row r="10" spans="2:16" x14ac:dyDescent="0.2">
      <c r="B10" s="13" t="s">
        <v>35</v>
      </c>
      <c r="C10" s="13" t="s">
        <v>51</v>
      </c>
      <c r="D10" s="40" t="s">
        <v>45</v>
      </c>
      <c r="E10" s="40" t="s">
        <v>149</v>
      </c>
      <c r="F10" s="40" t="s">
        <v>150</v>
      </c>
      <c r="G10" s="40" t="s">
        <v>151</v>
      </c>
      <c r="I10" s="194">
        <f t="shared" ref="I10:I12" si="0">IF($M10="","",$I9+1)</f>
        <v>1</v>
      </c>
      <c r="J10" s="57" t="s">
        <v>37</v>
      </c>
      <c r="K10" s="58" t="s">
        <v>371</v>
      </c>
      <c r="L10" s="18" t="str">
        <f>IF(Fuel_Blg[[#This Row],[Month]]&lt;&gt;"",VLOOKUP(Fuel_Blg[[#This Row],[Month]], dropdown!$S$4:$T$15, 2, FALSE),"")</f>
        <v>Q2</v>
      </c>
      <c r="M10" s="29">
        <v>944</v>
      </c>
      <c r="N10" s="17" t="str">
        <f>IF($J10="","",VLOOKUP($J10,dropdown!$P$3:$Q$8,2,FALSE))</f>
        <v>Liters</v>
      </c>
      <c r="O10" s="195"/>
      <c r="P10" s="20"/>
    </row>
    <row r="11" spans="2:16" x14ac:dyDescent="0.2">
      <c r="B11" s="17" t="str">
        <f>dropdown!$P4</f>
        <v>Diesel - Standby generator sets</v>
      </c>
      <c r="C11" s="17" t="str">
        <f>dropdown!$Q4</f>
        <v>Liters</v>
      </c>
      <c r="D11" s="41">
        <f>SUMIFS(Fuel_Blg[Consumption],Fuel_Blg[Quarter],D$10,Fuel_Blg[Fuel Type],$B$11)</f>
        <v>9560</v>
      </c>
      <c r="E11" s="41">
        <f>SUMIFS(Fuel_Blg[Consumption],Fuel_Blg[Quarter],E$10,Fuel_Blg[Fuel Type],$B$11)</f>
        <v>1750</v>
      </c>
      <c r="F11" s="41">
        <f>SUMIFS(Fuel_Blg[Consumption],Fuel_Blg[Quarter],F$10,Fuel_Blg[Fuel Type],$B$11)</f>
        <v>0</v>
      </c>
      <c r="G11" s="41">
        <f>SUMIFS(Fuel_Blg[Consumption],Fuel_Blg[Quarter],G$10,Fuel_Blg[Fuel Type],$B$11)</f>
        <v>0</v>
      </c>
      <c r="I11" s="194">
        <f t="shared" si="0"/>
        <v>2</v>
      </c>
      <c r="J11" s="57" t="s">
        <v>37</v>
      </c>
      <c r="K11" s="58" t="s">
        <v>379</v>
      </c>
      <c r="L11" s="18" t="str">
        <f>IF(Fuel_Blg[[#This Row],[Month]]&lt;&gt;"",VLOOKUP(Fuel_Blg[[#This Row],[Month]], dropdown!$S$4:$T$15, 2, FALSE),"")</f>
        <v>Q2</v>
      </c>
      <c r="M11" s="29">
        <v>645</v>
      </c>
      <c r="N11" s="17" t="str">
        <f>IF($J11="","",VLOOKUP($J11,dropdown!$P$3:$Q$8,2,FALSE))</f>
        <v>Liters</v>
      </c>
      <c r="O11" s="195"/>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37</v>
      </c>
      <c r="K12" s="58" t="s">
        <v>386</v>
      </c>
      <c r="L12" s="18" t="str">
        <f>IF(Fuel_Blg[[#This Row],[Month]]&lt;&gt;"",VLOOKUP(Fuel_Blg[[#This Row],[Month]], dropdown!$S$4:$T$15, 2, FALSE),"")</f>
        <v>Q2</v>
      </c>
      <c r="M12" s="29">
        <v>161</v>
      </c>
      <c r="N12" s="17" t="str">
        <f>IF($J12="","",VLOOKUP($J12,dropdown!$P$3:$Q$8,2,FALSE))</f>
        <v>Liters</v>
      </c>
      <c r="O12" s="195"/>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322" t="s">
        <v>178</v>
      </c>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P15" s="20"/>
    </row>
    <row r="16" spans="2:16" x14ac:dyDescent="0.2">
      <c r="P16" s="20"/>
    </row>
    <row r="17" spans="2:16" x14ac:dyDescent="0.2">
      <c r="B17" s="267" t="s">
        <v>38</v>
      </c>
      <c r="P17" s="20"/>
    </row>
    <row r="18" spans="2:16" x14ac:dyDescent="0.2">
      <c r="B18" s="268" t="s">
        <v>175</v>
      </c>
      <c r="P18" s="20"/>
    </row>
    <row r="19" spans="2:16" x14ac:dyDescent="0.2">
      <c r="B19" s="266" t="s">
        <v>176</v>
      </c>
      <c r="P19" s="20"/>
    </row>
    <row r="20" spans="2:16" x14ac:dyDescent="0.2">
      <c r="B20" s="17" t="s">
        <v>177</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12 O6:O12 J6:K12"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J7:J12</xm:sqref>
        </x14:dataValidation>
        <x14:dataValidation type="list" allowBlank="1" showInputMessage="1" showErrorMessage="1" xr:uid="{3A41C1D1-FB7A-9447-9EAB-0BFDEC48FE4C}">
          <x14:formula1>
            <xm:f>dropdown!$S$4:$S$15</xm:f>
          </x14:formula1>
          <xm:sqref>K7:K12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opLeftCell="E6" zoomScaleNormal="100" workbookViewId="0">
      <selection activeCell="L10" sqref="L10"/>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t="str">
        <f>'1. Data Info and Summary'!$D$2</f>
        <v>Legazpi Branch</v>
      </c>
      <c r="C4" s="201"/>
      <c r="D4" s="38">
        <f>IF('1. Data Info and Summary'!$D$3=0,"-",'1. Data Info and Summary'!$D$3)</f>
        <v>2025</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7" t="s">
        <v>1431</v>
      </c>
      <c r="D6" s="448"/>
      <c r="E6" s="448"/>
      <c r="F6" s="448"/>
      <c r="G6" s="449"/>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50">
        <v>45910</v>
      </c>
      <c r="D7" s="448"/>
      <c r="E7" s="448"/>
      <c r="F7" s="448"/>
      <c r="G7" s="449"/>
      <c r="I7" s="194">
        <f>IF($J7="","",1)</f>
        <v>1</v>
      </c>
      <c r="J7" s="57" t="s">
        <v>365</v>
      </c>
      <c r="K7" s="57" t="s">
        <v>63</v>
      </c>
      <c r="L7" s="58" t="s">
        <v>338</v>
      </c>
      <c r="M7" s="18" t="str">
        <f>IF(Fuel_Veh[[#This Row],[Month]]&lt;&gt;"",VLOOKUP(Fuel_Veh[[#This Row],[Month]], dropdown!$S$4:$T$15, 2, FALSE),"")</f>
        <v>Q1</v>
      </c>
      <c r="N7" s="29">
        <v>95.85</v>
      </c>
      <c r="O7" s="17" t="str">
        <f>IF($K7="","",VLOOKUP($K7,dropdown!$P$14:$Q$18,2,FALSE))</f>
        <v>Liters</v>
      </c>
      <c r="P7" s="29">
        <v>1112</v>
      </c>
      <c r="Q7" s="17" t="str">
        <f t="shared" ref="Q7:Q70" si="0">IF($P7="","","Kilometers")</f>
        <v>Kilometers</v>
      </c>
      <c r="R7" s="195" t="s">
        <v>1505</v>
      </c>
    </row>
    <row r="8" spans="2:18" x14ac:dyDescent="0.2">
      <c r="I8" s="194">
        <f>IF($J8="","",$I7+1)</f>
        <v>2</v>
      </c>
      <c r="J8" s="57" t="s">
        <v>381</v>
      </c>
      <c r="K8" s="57" t="s">
        <v>63</v>
      </c>
      <c r="L8" s="58" t="s">
        <v>338</v>
      </c>
      <c r="M8" s="18" t="str">
        <f>IF(Fuel_Veh[[#This Row],[Month]]&lt;&gt;"",VLOOKUP(Fuel_Veh[[#This Row],[Month]], dropdown!$S$4:$T$15, 2, FALSE),"")</f>
        <v>Q1</v>
      </c>
      <c r="N8" s="29">
        <v>156</v>
      </c>
      <c r="O8" s="17"/>
      <c r="P8" s="29">
        <v>1510</v>
      </c>
      <c r="Q8" s="17" t="str">
        <f t="shared" si="0"/>
        <v>Kilometers</v>
      </c>
      <c r="R8" s="195" t="s">
        <v>1506</v>
      </c>
    </row>
    <row r="9" spans="2:18" x14ac:dyDescent="0.2">
      <c r="B9" s="14" t="s">
        <v>33</v>
      </c>
      <c r="C9" s="14"/>
      <c r="D9" s="14"/>
      <c r="E9" s="14"/>
      <c r="F9" s="14"/>
      <c r="G9" s="14"/>
      <c r="I9" s="194">
        <f>IF($J9="","",$I8+1)</f>
        <v>3</v>
      </c>
      <c r="J9" s="57" t="s">
        <v>343</v>
      </c>
      <c r="K9" s="57" t="s">
        <v>63</v>
      </c>
      <c r="L9" s="58" t="s">
        <v>338</v>
      </c>
      <c r="M9" s="18" t="str">
        <f>IF(Fuel_Veh[[#This Row],[Month]]&lt;&gt;"",VLOOKUP(Fuel_Veh[[#This Row],[Month]], dropdown!$S$4:$T$15, 2, FALSE),"")</f>
        <v>Q1</v>
      </c>
      <c r="N9" s="29">
        <v>75.87</v>
      </c>
      <c r="O9" s="17" t="str">
        <f>IF($K9="","",VLOOKUP($K9,dropdown!$P$14:$Q$18,2,FALSE))</f>
        <v>Liters</v>
      </c>
      <c r="P9" s="29">
        <v>148.4</v>
      </c>
      <c r="Q9" s="17" t="str">
        <f t="shared" si="0"/>
        <v>Kilometers</v>
      </c>
      <c r="R9" s="195" t="s">
        <v>1507</v>
      </c>
    </row>
    <row r="10" spans="2:18" x14ac:dyDescent="0.2">
      <c r="B10" s="13" t="s">
        <v>35</v>
      </c>
      <c r="C10" s="13" t="s">
        <v>51</v>
      </c>
      <c r="D10" s="40" t="s">
        <v>45</v>
      </c>
      <c r="E10" s="40" t="s">
        <v>149</v>
      </c>
      <c r="F10" s="40" t="s">
        <v>150</v>
      </c>
      <c r="G10" s="40" t="s">
        <v>151</v>
      </c>
      <c r="I10" s="194">
        <f>IF($J10="","",$I9+1)</f>
        <v>4</v>
      </c>
      <c r="J10" s="57" t="s">
        <v>365</v>
      </c>
      <c r="K10" s="57" t="s">
        <v>63</v>
      </c>
      <c r="L10" s="58" t="s">
        <v>89</v>
      </c>
      <c r="M10" s="18" t="str">
        <f>IF(Fuel_Veh[[#This Row],[Month]]&lt;&gt;"",VLOOKUP(Fuel_Veh[[#This Row],[Month]], dropdown!$S$4:$T$15, 2, FALSE),"")</f>
        <v>Q1</v>
      </c>
      <c r="N10" s="29">
        <v>51.52</v>
      </c>
      <c r="O10" s="17" t="str">
        <f>IF($K10="","",VLOOKUP($K10,dropdown!$P$14:$Q$18,2,FALSE))</f>
        <v>Liters</v>
      </c>
      <c r="P10" s="29">
        <v>949</v>
      </c>
      <c r="Q10" s="17" t="str">
        <f t="shared" si="0"/>
        <v>Kilometers</v>
      </c>
      <c r="R10" s="195" t="s">
        <v>1505</v>
      </c>
    </row>
    <row r="11" spans="2:18" x14ac:dyDescent="0.2">
      <c r="B11" s="17" t="str">
        <f>dropdown!$P15</f>
        <v>Diesel - Transport vehicles</v>
      </c>
      <c r="C11" s="17" t="str">
        <f>dropdown!$Q15</f>
        <v>Liters</v>
      </c>
      <c r="D11" s="41">
        <f>SUMIFS(Fuel_Veh[Consumption],Fuel_Veh[Quarter],D$10,Fuel_Veh[Fuel Type],$B$11)</f>
        <v>753.94</v>
      </c>
      <c r="E11" s="41">
        <f>SUMIFS(Fuel_Veh[Consumption],Fuel_Veh[Quarter],E$10,Fuel_Veh[Fuel Type],$B$11)</f>
        <v>428.17</v>
      </c>
      <c r="F11" s="41">
        <f>SUMIFS(Fuel_Veh[Consumption],Fuel_Veh[Quarter],F$10,Fuel_Veh[Fuel Type],$B$11)</f>
        <v>0</v>
      </c>
      <c r="G11" s="41">
        <f>SUMIFS(Fuel_Veh[Consumption],Fuel_Veh[Quarter],G$10,Fuel_Veh[Fuel Type],$B$11)</f>
        <v>0</v>
      </c>
      <c r="I11" s="194">
        <f>IF($J11="","",$I10+1)</f>
        <v>5</v>
      </c>
      <c r="J11" s="57" t="s">
        <v>381</v>
      </c>
      <c r="K11" s="57" t="s">
        <v>63</v>
      </c>
      <c r="L11" s="58" t="s">
        <v>89</v>
      </c>
      <c r="M11" s="18" t="str">
        <f>IF(Fuel_Veh[[#This Row],[Month]]&lt;&gt;"",VLOOKUP(Fuel_Veh[[#This Row],[Month]], dropdown!$S$4:$T$15, 2, FALSE),"")</f>
        <v>Q1</v>
      </c>
      <c r="N11" s="29">
        <v>172</v>
      </c>
      <c r="O11" s="17" t="str">
        <f>IF($K11="","",VLOOKUP($K11,dropdown!$P$14:$Q$18,2,FALSE))</f>
        <v>Liters</v>
      </c>
      <c r="P11" s="29">
        <v>1577</v>
      </c>
      <c r="Q11" s="17" t="str">
        <f t="shared" si="0"/>
        <v>Kilometers</v>
      </c>
      <c r="R11" s="195" t="s">
        <v>1506</v>
      </c>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343</v>
      </c>
      <c r="K12" s="57" t="s">
        <v>63</v>
      </c>
      <c r="L12" s="58" t="s">
        <v>89</v>
      </c>
      <c r="M12" s="18" t="str">
        <f>IF(Fuel_Veh[[#This Row],[Month]]&lt;&gt;"",VLOOKUP(Fuel_Veh[[#This Row],[Month]], dropdown!$S$4:$T$15, 2, FALSE),"")</f>
        <v>Q1</v>
      </c>
      <c r="N12" s="29">
        <v>0</v>
      </c>
      <c r="O12" s="17" t="str">
        <f>IF($K12="","",VLOOKUP($K12,dropdown!$P$14:$Q$18,2,FALSE))</f>
        <v>Liters</v>
      </c>
      <c r="P12" s="29">
        <v>0</v>
      </c>
      <c r="Q12" s="17" t="str">
        <f t="shared" si="0"/>
        <v>Kilometers</v>
      </c>
      <c r="R12" s="195" t="s">
        <v>1507</v>
      </c>
    </row>
    <row r="13" spans="2:18" ht="14" customHeight="1" x14ac:dyDescent="0.2">
      <c r="I13" s="194">
        <f t="shared" si="1"/>
        <v>7</v>
      </c>
      <c r="J13" s="57" t="s">
        <v>365</v>
      </c>
      <c r="K13" s="57" t="s">
        <v>63</v>
      </c>
      <c r="L13" s="58" t="s">
        <v>362</v>
      </c>
      <c r="M13" s="18" t="str">
        <f>IF(Fuel_Veh[[#This Row],[Month]]&lt;&gt;"",VLOOKUP(Fuel_Veh[[#This Row],[Month]], dropdown!$S$4:$T$15, 2, FALSE),"")</f>
        <v>Q1</v>
      </c>
      <c r="N13" s="29">
        <v>40.69</v>
      </c>
      <c r="O13" s="17" t="str">
        <f>IF($K13="","",VLOOKUP($K13,dropdown!$P$14:$Q$18,2,FALSE))</f>
        <v>Liters</v>
      </c>
      <c r="P13" s="29">
        <v>397</v>
      </c>
      <c r="Q13" s="17" t="str">
        <f t="shared" ref="Q13:Q18" si="2">IF($P13="","","Kilometers")</f>
        <v>Kilometers</v>
      </c>
      <c r="R13" s="195" t="s">
        <v>1505</v>
      </c>
    </row>
    <row r="14" spans="2:18" x14ac:dyDescent="0.2">
      <c r="B14" s="267" t="s">
        <v>38</v>
      </c>
      <c r="I14" s="194">
        <f t="shared" si="1"/>
        <v>8</v>
      </c>
      <c r="J14" s="57" t="s">
        <v>381</v>
      </c>
      <c r="K14" s="57" t="s">
        <v>63</v>
      </c>
      <c r="L14" s="58" t="s">
        <v>362</v>
      </c>
      <c r="M14" s="18" t="str">
        <f>IF(Fuel_Veh[[#This Row],[Month]]&lt;&gt;"",VLOOKUP(Fuel_Veh[[#This Row],[Month]], dropdown!$S$4:$T$15, 2, FALSE),"")</f>
        <v>Q1</v>
      </c>
      <c r="N14" s="29">
        <v>162.01</v>
      </c>
      <c r="O14" s="17" t="str">
        <f>IF($K14="","",VLOOKUP($K14,dropdown!$P$14:$Q$18,2,FALSE))</f>
        <v>Liters</v>
      </c>
      <c r="P14" s="29">
        <v>1305</v>
      </c>
      <c r="Q14" s="17" t="str">
        <f t="shared" si="2"/>
        <v>Kilometers</v>
      </c>
      <c r="R14" s="195" t="s">
        <v>1506</v>
      </c>
    </row>
    <row r="15" spans="2:18" x14ac:dyDescent="0.2">
      <c r="B15" s="268" t="s">
        <v>175</v>
      </c>
      <c r="I15" s="194">
        <f t="shared" si="1"/>
        <v>9</v>
      </c>
      <c r="J15" s="57" t="s">
        <v>343</v>
      </c>
      <c r="K15" s="57" t="s">
        <v>63</v>
      </c>
      <c r="L15" s="58" t="s">
        <v>362</v>
      </c>
      <c r="M15" s="18" t="str">
        <f>IF(Fuel_Veh[[#This Row],[Month]]&lt;&gt;"",VLOOKUP(Fuel_Veh[[#This Row],[Month]], dropdown!$S$4:$T$15, 2, FALSE),"")</f>
        <v>Q1</v>
      </c>
      <c r="N15" s="29">
        <v>0</v>
      </c>
      <c r="O15" s="17" t="str">
        <f>IF($K15="","",VLOOKUP($K15,dropdown!$P$14:$Q$18,2,FALSE))</f>
        <v>Liters</v>
      </c>
      <c r="P15" s="29">
        <v>0</v>
      </c>
      <c r="Q15" s="17" t="str">
        <f t="shared" si="2"/>
        <v>Kilometers</v>
      </c>
      <c r="R15" s="195" t="s">
        <v>1507</v>
      </c>
    </row>
    <row r="16" spans="2:18" x14ac:dyDescent="0.2">
      <c r="B16" s="266" t="s">
        <v>176</v>
      </c>
      <c r="I16" s="194">
        <f t="shared" si="1"/>
        <v>10</v>
      </c>
      <c r="J16" s="57" t="s">
        <v>365</v>
      </c>
      <c r="K16" s="57" t="s">
        <v>63</v>
      </c>
      <c r="L16" s="58" t="s">
        <v>371</v>
      </c>
      <c r="M16" s="18" t="str">
        <f>IF(Fuel_Veh[[#This Row],[Month]]&lt;&gt;"",VLOOKUP(Fuel_Veh[[#This Row],[Month]], dropdown!$S$4:$T$15, 2, FALSE),"")</f>
        <v>Q2</v>
      </c>
      <c r="N16" s="29">
        <v>52.42</v>
      </c>
      <c r="O16" s="17" t="str">
        <f>IF($K16="","",VLOOKUP($K16,dropdown!$P$14:$Q$18,2,FALSE))</f>
        <v>Liters</v>
      </c>
      <c r="P16" s="29">
        <v>581</v>
      </c>
      <c r="Q16" s="17" t="str">
        <f t="shared" si="2"/>
        <v>Kilometers</v>
      </c>
      <c r="R16" s="195" t="s">
        <v>1505</v>
      </c>
    </row>
    <row r="17" spans="2:18" x14ac:dyDescent="0.2">
      <c r="B17" s="17" t="s">
        <v>177</v>
      </c>
      <c r="I17" s="194">
        <f t="shared" si="1"/>
        <v>11</v>
      </c>
      <c r="J17" s="57" t="s">
        <v>381</v>
      </c>
      <c r="K17" s="57" t="s">
        <v>63</v>
      </c>
      <c r="L17" s="58" t="s">
        <v>371</v>
      </c>
      <c r="M17" s="18" t="str">
        <f>IF(Fuel_Veh[[#This Row],[Month]]&lt;&gt;"",VLOOKUP(Fuel_Veh[[#This Row],[Month]], dropdown!$S$4:$T$15, 2, FALSE),"")</f>
        <v>Q2</v>
      </c>
      <c r="N17" s="29">
        <v>87.97</v>
      </c>
      <c r="O17" s="17" t="str">
        <f>IF($K17="","",VLOOKUP($K17,dropdown!$P$14:$Q$18,2,FALSE))</f>
        <v>Liters</v>
      </c>
      <c r="P17" s="29">
        <v>653</v>
      </c>
      <c r="Q17" s="17" t="str">
        <f t="shared" si="2"/>
        <v>Kilometers</v>
      </c>
      <c r="R17" s="195" t="s">
        <v>1506</v>
      </c>
    </row>
    <row r="18" spans="2:18" x14ac:dyDescent="0.2">
      <c r="I18" s="194">
        <f t="shared" si="1"/>
        <v>12</v>
      </c>
      <c r="J18" s="57" t="s">
        <v>343</v>
      </c>
      <c r="K18" s="57" t="s">
        <v>63</v>
      </c>
      <c r="L18" s="58" t="s">
        <v>371</v>
      </c>
      <c r="M18" s="18" t="str">
        <f>IF(Fuel_Veh[[#This Row],[Month]]&lt;&gt;"",VLOOKUP(Fuel_Veh[[#This Row],[Month]], dropdown!$S$4:$T$15, 2, FALSE),"")</f>
        <v>Q2</v>
      </c>
      <c r="N18" s="29">
        <v>0</v>
      </c>
      <c r="O18" s="17" t="str">
        <f>IF($K18="","",VLOOKUP($K18,dropdown!$P$14:$Q$18,2,FALSE))</f>
        <v>Liters</v>
      </c>
      <c r="P18" s="29">
        <v>0</v>
      </c>
      <c r="Q18" s="17" t="str">
        <f t="shared" si="2"/>
        <v>Kilometers</v>
      </c>
      <c r="R18" s="195" t="s">
        <v>1507</v>
      </c>
    </row>
    <row r="19" spans="2:18" x14ac:dyDescent="0.2">
      <c r="I19" s="194">
        <f t="shared" si="1"/>
        <v>13</v>
      </c>
      <c r="J19" s="57" t="s">
        <v>365</v>
      </c>
      <c r="K19" s="57" t="s">
        <v>63</v>
      </c>
      <c r="L19" s="58" t="s">
        <v>379</v>
      </c>
      <c r="M19" s="18" t="str">
        <f>IF(Fuel_Veh[[#This Row],[Month]]&lt;&gt;"",VLOOKUP(Fuel_Veh[[#This Row],[Month]], dropdown!$S$4:$T$15, 2, FALSE),"")</f>
        <v>Q2</v>
      </c>
      <c r="N19" s="29">
        <v>47.5</v>
      </c>
      <c r="O19" s="17" t="str">
        <f>IF($K19="","",VLOOKUP($K19,dropdown!$P$14:$Q$18,2,FALSE))</f>
        <v>Liters</v>
      </c>
      <c r="P19" s="29">
        <v>686</v>
      </c>
      <c r="Q19" s="17" t="str">
        <f t="shared" si="0"/>
        <v>Kilometers</v>
      </c>
      <c r="R19" s="195" t="s">
        <v>1505</v>
      </c>
    </row>
    <row r="20" spans="2:18" x14ac:dyDescent="0.2">
      <c r="I20" s="194">
        <f t="shared" si="1"/>
        <v>14</v>
      </c>
      <c r="J20" s="57" t="s">
        <v>381</v>
      </c>
      <c r="K20" s="57" t="s">
        <v>63</v>
      </c>
      <c r="L20" s="58" t="s">
        <v>379</v>
      </c>
      <c r="M20" s="18" t="str">
        <f>IF(Fuel_Veh[[#This Row],[Month]]&lt;&gt;"",VLOOKUP(Fuel_Veh[[#This Row],[Month]], dropdown!$S$4:$T$15, 2, FALSE),"")</f>
        <v>Q2</v>
      </c>
      <c r="N20" s="29">
        <v>83.32</v>
      </c>
      <c r="O20" s="17" t="str">
        <f>IF($K20="","",VLOOKUP($K20,dropdown!$P$14:$Q$18,2,FALSE))</f>
        <v>Liters</v>
      </c>
      <c r="P20" s="29">
        <v>780</v>
      </c>
      <c r="Q20" s="17" t="str">
        <f t="shared" si="0"/>
        <v>Kilometers</v>
      </c>
      <c r="R20" s="195" t="s">
        <v>1506</v>
      </c>
    </row>
    <row r="21" spans="2:18" x14ac:dyDescent="0.2">
      <c r="I21" s="194">
        <f t="shared" si="1"/>
        <v>15</v>
      </c>
      <c r="J21" s="57" t="s">
        <v>343</v>
      </c>
      <c r="K21" s="57" t="s">
        <v>63</v>
      </c>
      <c r="L21" s="58" t="s">
        <v>379</v>
      </c>
      <c r="M21" s="18" t="str">
        <f>IF(Fuel_Veh[[#This Row],[Month]]&lt;&gt;"",VLOOKUP(Fuel_Veh[[#This Row],[Month]], dropdown!$S$4:$T$15, 2, FALSE),"")</f>
        <v>Q2</v>
      </c>
      <c r="N21" s="29">
        <v>0</v>
      </c>
      <c r="O21" s="17" t="str">
        <f>IF($K21="","",VLOOKUP($K21,dropdown!$P$14:$Q$18,2,FALSE))</f>
        <v>Liters</v>
      </c>
      <c r="P21" s="29">
        <v>0</v>
      </c>
      <c r="Q21" s="17" t="str">
        <f t="shared" si="0"/>
        <v>Kilometers</v>
      </c>
      <c r="R21" s="195" t="s">
        <v>1507</v>
      </c>
    </row>
    <row r="22" spans="2:18" x14ac:dyDescent="0.2">
      <c r="I22" s="194">
        <f t="shared" si="1"/>
        <v>16</v>
      </c>
      <c r="J22" s="57" t="s">
        <v>365</v>
      </c>
      <c r="K22" s="57" t="s">
        <v>63</v>
      </c>
      <c r="L22" s="58" t="s">
        <v>386</v>
      </c>
      <c r="M22" s="18" t="str">
        <f>IF(Fuel_Veh[[#This Row],[Month]]&lt;&gt;"",VLOOKUP(Fuel_Veh[[#This Row],[Month]], dropdown!$S$4:$T$15, 2, FALSE),"")</f>
        <v>Q2</v>
      </c>
      <c r="N22" s="29">
        <v>61.8</v>
      </c>
      <c r="O22" s="17" t="str">
        <f>IF($K22="","",VLOOKUP($K22,dropdown!$P$14:$Q$18,2,FALSE))</f>
        <v>Liters</v>
      </c>
      <c r="P22" s="29">
        <v>601</v>
      </c>
      <c r="Q22" s="17" t="str">
        <f t="shared" si="0"/>
        <v>Kilometers</v>
      </c>
      <c r="R22" s="195" t="s">
        <v>1505</v>
      </c>
    </row>
    <row r="23" spans="2:18" x14ac:dyDescent="0.2">
      <c r="I23" s="194">
        <f t="shared" si="1"/>
        <v>17</v>
      </c>
      <c r="J23" s="57" t="s">
        <v>381</v>
      </c>
      <c r="K23" s="57" t="s">
        <v>63</v>
      </c>
      <c r="L23" s="58" t="s">
        <v>386</v>
      </c>
      <c r="M23" s="18" t="str">
        <f>IF(Fuel_Veh[[#This Row],[Month]]&lt;&gt;"",VLOOKUP(Fuel_Veh[[#This Row],[Month]], dropdown!$S$4:$T$15, 2, FALSE),"")</f>
        <v>Q2</v>
      </c>
      <c r="N23" s="29">
        <v>92.5</v>
      </c>
      <c r="O23" s="17" t="str">
        <f>IF($K23="","",VLOOKUP($K23,dropdown!$P$14:$Q$18,2,FALSE))</f>
        <v>Liters</v>
      </c>
      <c r="P23" s="29">
        <v>675</v>
      </c>
      <c r="Q23" s="17" t="str">
        <f t="shared" si="0"/>
        <v>Kilometers</v>
      </c>
      <c r="R23" s="195" t="s">
        <v>1506</v>
      </c>
    </row>
    <row r="24" spans="2:18" x14ac:dyDescent="0.2">
      <c r="I24" s="194">
        <f t="shared" si="1"/>
        <v>18</v>
      </c>
      <c r="J24" s="57" t="s">
        <v>343</v>
      </c>
      <c r="K24" s="57" t="s">
        <v>63</v>
      </c>
      <c r="L24" s="58" t="s">
        <v>386</v>
      </c>
      <c r="M24" s="18" t="str">
        <f>IF(Fuel_Veh[[#This Row],[Month]]&lt;&gt;"",VLOOKUP(Fuel_Veh[[#This Row],[Month]], dropdown!$S$4:$T$15, 2, FALSE),"")</f>
        <v>Q2</v>
      </c>
      <c r="N24" s="29">
        <v>2.66</v>
      </c>
      <c r="O24" s="17" t="str">
        <f>IF($K24="","",VLOOKUP($K24,dropdown!$P$14:$Q$18,2,FALSE))</f>
        <v>Liters</v>
      </c>
      <c r="P24" s="29">
        <v>7.24</v>
      </c>
      <c r="Q24" s="17" t="str">
        <f t="shared" si="0"/>
        <v>Kilometers</v>
      </c>
      <c r="R24" s="195" t="s">
        <v>1507</v>
      </c>
    </row>
    <row r="25" spans="2:18" x14ac:dyDescent="0.2">
      <c r="I25" s="194" t="str">
        <f t="shared" si="1"/>
        <v/>
      </c>
      <c r="J25" s="57"/>
      <c r="K25" s="57"/>
      <c r="L25" s="58"/>
      <c r="M25" s="18" t="str">
        <f>IF(Fuel_Veh[[#This Row],[Month]]&lt;&gt;"",VLOOKUP(Fuel_Veh[[#This Row],[Month]], dropdown!$S$4:$T$15, 2, FALSE),"")</f>
        <v/>
      </c>
      <c r="N25" s="29"/>
      <c r="O25" s="17" t="str">
        <f>IF($K25="","",VLOOKUP($K25,dropdown!$P$14:$Q$18,2,FALSE))</f>
        <v/>
      </c>
      <c r="P25" s="29"/>
      <c r="Q25" s="17" t="str">
        <f t="shared" si="0"/>
        <v/>
      </c>
      <c r="R25" s="195"/>
    </row>
    <row r="26" spans="2:18" x14ac:dyDescent="0.2">
      <c r="I26" s="194" t="str">
        <f t="shared" si="1"/>
        <v/>
      </c>
      <c r="J26" s="57"/>
      <c r="K26" s="57"/>
      <c r="L26" s="196"/>
      <c r="M26" s="18" t="str">
        <f>IF(Fuel_Veh[[#This Row],[Month]]&lt;&gt;"",VLOOKUP(Fuel_Veh[[#This Row],[Month]], dropdown!$S$4:$T$15, 2, FALSE),"")</f>
        <v/>
      </c>
      <c r="N26" s="197"/>
      <c r="O26" s="198" t="str">
        <f>IF($K26="","",VLOOKUP($K26,dropdown!$P$14:$Q$18,2,FALSE))</f>
        <v/>
      </c>
      <c r="P26" s="197"/>
      <c r="Q26" s="17" t="str">
        <f t="shared" si="0"/>
        <v/>
      </c>
      <c r="R26" s="199"/>
    </row>
    <row r="27" spans="2:18" x14ac:dyDescent="0.2">
      <c r="I27" s="194" t="str">
        <f t="shared" si="1"/>
        <v/>
      </c>
      <c r="J27" s="57"/>
      <c r="K27" s="57"/>
      <c r="L27" s="58"/>
      <c r="M27" s="18" t="str">
        <f>IF(Fuel_Veh[[#This Row],[Month]]&lt;&gt;"",VLOOKUP(Fuel_Veh[[#This Row],[Month]], dropdown!$S$4:$T$15, 2, FALSE),"")</f>
        <v/>
      </c>
      <c r="N27" s="29"/>
      <c r="O27" s="17" t="str">
        <f>IF($K27="","",VLOOKUP($K27,dropdown!$P$14:$Q$18,2,FALSE))</f>
        <v/>
      </c>
      <c r="P27" s="29"/>
      <c r="Q27" s="17" t="str">
        <f t="shared" si="0"/>
        <v/>
      </c>
      <c r="R27" s="195"/>
    </row>
    <row r="28" spans="2:18" x14ac:dyDescent="0.2">
      <c r="I28" s="194" t="str">
        <f t="shared" si="1"/>
        <v/>
      </c>
      <c r="J28" s="57"/>
      <c r="K28" s="57"/>
      <c r="L28" s="58"/>
      <c r="M28" s="18" t="str">
        <f>IF(Fuel_Veh[[#This Row],[Month]]&lt;&gt;"",VLOOKUP(Fuel_Veh[[#This Row],[Month]], dropdown!$S$4:$T$15, 2, FALSE),"")</f>
        <v/>
      </c>
      <c r="N28" s="29"/>
      <c r="O28" s="17" t="str">
        <f>IF($K28="","",VLOOKUP($K28,dropdown!$P$14:$Q$18,2,FALSE))</f>
        <v/>
      </c>
      <c r="P28" s="29"/>
      <c r="Q28" s="17" t="str">
        <f t="shared" si="0"/>
        <v/>
      </c>
      <c r="R28" s="195"/>
    </row>
    <row r="29" spans="2:18" x14ac:dyDescent="0.2">
      <c r="I29" s="194" t="str">
        <f t="shared" si="1"/>
        <v/>
      </c>
      <c r="J29" s="57"/>
      <c r="K29" s="57"/>
      <c r="L29" s="58"/>
      <c r="M29" s="18" t="str">
        <f>IF(Fuel_Veh[[#This Row],[Month]]&lt;&gt;"",VLOOKUP(Fuel_Veh[[#This Row],[Month]], dropdown!$S$4:$T$15, 2, FALSE),"")</f>
        <v/>
      </c>
      <c r="N29" s="29"/>
      <c r="O29" s="17" t="str">
        <f>IF($K29="","",VLOOKUP($K29,dropdown!$P$14:$Q$18,2,FALSE))</f>
        <v/>
      </c>
      <c r="P29" s="29"/>
      <c r="Q29" s="17" t="str">
        <f t="shared" si="0"/>
        <v/>
      </c>
      <c r="R29" s="195"/>
    </row>
    <row r="30" spans="2:18" x14ac:dyDescent="0.2">
      <c r="I30" s="194" t="str">
        <f t="shared" si="1"/>
        <v/>
      </c>
      <c r="J30" s="57"/>
      <c r="K30" s="345"/>
      <c r="L30" s="196"/>
      <c r="M30" s="18" t="str">
        <f>IF(Fuel_Veh[[#This Row],[Month]]&lt;&gt;"",VLOOKUP(Fuel_Veh[[#This Row],[Month]], dropdown!$S$4:$T$15, 2, FALSE),"")</f>
        <v/>
      </c>
      <c r="N30" s="197"/>
      <c r="O30" s="198" t="str">
        <f>IF($K30="","",VLOOKUP($K30,dropdown!$P$14:$Q$18,2,FALSE))</f>
        <v/>
      </c>
      <c r="P30" s="197"/>
      <c r="Q30" s="17" t="str">
        <f t="shared" si="0"/>
        <v/>
      </c>
      <c r="R30" s="199"/>
    </row>
    <row r="31" spans="2:18" x14ac:dyDescent="0.2">
      <c r="I31" s="194" t="str">
        <f t="shared" si="1"/>
        <v/>
      </c>
      <c r="J31" s="57"/>
      <c r="K31" s="57"/>
      <c r="L31" s="58"/>
      <c r="M31" s="18" t="str">
        <f>IF(Fuel_Veh[[#This Row],[Month]]&lt;&gt;"",VLOOKUP(Fuel_Veh[[#This Row],[Month]], dropdown!$S$4:$T$15, 2, FALSE),"")</f>
        <v/>
      </c>
      <c r="N31" s="29"/>
      <c r="O31" s="17" t="str">
        <f>IF($K31="","",VLOOKUP($K31,dropdown!$P$14:$Q$18,2,FALSE))</f>
        <v/>
      </c>
      <c r="P31" s="29"/>
      <c r="Q31" s="17" t="str">
        <f t="shared" si="0"/>
        <v/>
      </c>
      <c r="R31" s="199"/>
    </row>
    <row r="32" spans="2:18" x14ac:dyDescent="0.2">
      <c r="I32" s="194" t="str">
        <f t="shared" si="1"/>
        <v/>
      </c>
      <c r="J32" s="57"/>
      <c r="K32" s="57"/>
      <c r="L32" s="58"/>
      <c r="M32" s="18" t="str">
        <f>IF(Fuel_Veh[[#This Row],[Month]]&lt;&gt;"",VLOOKUP(Fuel_Veh[[#This Row],[Month]], dropdown!$S$4:$T$15, 2, FALSE),"")</f>
        <v/>
      </c>
      <c r="N32" s="29"/>
      <c r="O32" s="17" t="str">
        <f>IF($K32="","",VLOOKUP($K32,dropdown!$P$14:$Q$18,2,FALSE))</f>
        <v/>
      </c>
      <c r="P32" s="29"/>
      <c r="Q32" s="17" t="str">
        <f t="shared" si="0"/>
        <v/>
      </c>
      <c r="R32" s="199"/>
    </row>
    <row r="33" spans="9:18" x14ac:dyDescent="0.2">
      <c r="I33" s="194" t="str">
        <f t="shared" si="1"/>
        <v/>
      </c>
      <c r="J33" s="57"/>
      <c r="K33" s="57"/>
      <c r="L33" s="58"/>
      <c r="M33" s="18" t="str">
        <f>IF(Fuel_Veh[[#This Row],[Month]]&lt;&gt;"",VLOOKUP(Fuel_Veh[[#This Row],[Month]], dropdown!$S$4:$T$15, 2, FALSE),"")</f>
        <v/>
      </c>
      <c r="N33" s="29"/>
      <c r="O33" s="17" t="str">
        <f>IF($K33="","",VLOOKUP($K33,dropdown!$P$14:$Q$18,2,FALSE))</f>
        <v/>
      </c>
      <c r="P33" s="29"/>
      <c r="Q33" s="17" t="str">
        <f t="shared" si="0"/>
        <v/>
      </c>
      <c r="R33" s="199"/>
    </row>
    <row r="34" spans="9:18" x14ac:dyDescent="0.2">
      <c r="I34" s="194" t="str">
        <f t="shared" si="1"/>
        <v/>
      </c>
      <c r="J34" s="57"/>
      <c r="K34" s="57"/>
      <c r="L34" s="58"/>
      <c r="M34" s="18" t="str">
        <f>IF(Fuel_Veh[[#This Row],[Month]]&lt;&gt;"",VLOOKUP(Fuel_Veh[[#This Row],[Month]], dropdown!$S$4:$T$15, 2, FALSE),"")</f>
        <v/>
      </c>
      <c r="N34" s="29"/>
      <c r="O34" s="17" t="str">
        <f>IF($K34="","",VLOOKUP($K34,dropdown!$P$14:$Q$18,2,FALSE))</f>
        <v/>
      </c>
      <c r="P34" s="29"/>
      <c r="Q34" s="17" t="str">
        <f t="shared" si="0"/>
        <v/>
      </c>
      <c r="R34" s="199"/>
    </row>
    <row r="35" spans="9:18" x14ac:dyDescent="0.2">
      <c r="I35" s="194" t="str">
        <f t="shared" si="1"/>
        <v/>
      </c>
      <c r="J35" s="57"/>
      <c r="K35" s="57"/>
      <c r="L35" s="58"/>
      <c r="M35" s="18" t="str">
        <f>IF(Fuel_Veh[[#This Row],[Month]]&lt;&gt;"",VLOOKUP(Fuel_Veh[[#This Row],[Month]], dropdown!$S$4:$T$15, 2, FALSE),"")</f>
        <v/>
      </c>
      <c r="N35" s="29"/>
      <c r="O35" s="17" t="str">
        <f>IF($K35="","",VLOOKUP($K35,dropdown!$P$14:$Q$18,2,FALSE))</f>
        <v/>
      </c>
      <c r="P35" s="29"/>
      <c r="Q35" s="17" t="str">
        <f t="shared" si="0"/>
        <v/>
      </c>
      <c r="R35" s="199"/>
    </row>
    <row r="36" spans="9:18" x14ac:dyDescent="0.2">
      <c r="I36" s="194" t="str">
        <f t="shared" si="1"/>
        <v/>
      </c>
      <c r="J36" s="57"/>
      <c r="K36" s="57"/>
      <c r="L36" s="58"/>
      <c r="M36" s="18" t="str">
        <f>IF(Fuel_Veh[[#This Row],[Month]]&lt;&gt;"",VLOOKUP(Fuel_Veh[[#This Row],[Month]], dropdown!$S$4:$T$15, 2, FALSE),"")</f>
        <v/>
      </c>
      <c r="N36" s="29"/>
      <c r="O36" s="17" t="str">
        <f>IF($K36="","",VLOOKUP($K36,dropdown!$P$14:$Q$18,2,FALSE))</f>
        <v/>
      </c>
      <c r="P36" s="29"/>
      <c r="Q36" s="17" t="str">
        <f t="shared" si="0"/>
        <v/>
      </c>
      <c r="R36" s="199"/>
    </row>
    <row r="37" spans="9:18" x14ac:dyDescent="0.2">
      <c r="I37" s="194" t="str">
        <f t="shared" si="1"/>
        <v/>
      </c>
      <c r="J37" s="57"/>
      <c r="K37" s="57"/>
      <c r="L37" s="58"/>
      <c r="M37" s="18" t="str">
        <f>IF(Fuel_Veh[[#This Row],[Month]]&lt;&gt;"",VLOOKUP(Fuel_Veh[[#This Row],[Month]], dropdown!$S$4:$T$15, 2, FALSE),"")</f>
        <v/>
      </c>
      <c r="N37" s="29"/>
      <c r="O37" s="17" t="str">
        <f>IF($K37="","",VLOOKUP($K37,dropdown!$P$14:$Q$18,2,FALSE))</f>
        <v/>
      </c>
      <c r="P37" s="29"/>
      <c r="Q37" s="17" t="str">
        <f t="shared" si="0"/>
        <v/>
      </c>
      <c r="R37" s="199"/>
    </row>
    <row r="38" spans="9:18" x14ac:dyDescent="0.2">
      <c r="I38" s="194" t="str">
        <f t="shared" si="1"/>
        <v/>
      </c>
      <c r="J38" s="57"/>
      <c r="K38" s="57"/>
      <c r="L38" s="58"/>
      <c r="M38" s="18" t="str">
        <f>IF(Fuel_Veh[[#This Row],[Month]]&lt;&gt;"",VLOOKUP(Fuel_Veh[[#This Row],[Month]], dropdown!$S$4:$T$15, 2, FALSE),"")</f>
        <v/>
      </c>
      <c r="N38" s="29"/>
      <c r="O38" s="17" t="str">
        <f>IF($K38="","",VLOOKUP($K38,dropdown!$P$14:$Q$18,2,FALSE))</f>
        <v/>
      </c>
      <c r="P38" s="29"/>
      <c r="Q38" s="17" t="str">
        <f t="shared" si="0"/>
        <v/>
      </c>
      <c r="R38" s="199"/>
    </row>
    <row r="39" spans="9:18" x14ac:dyDescent="0.2">
      <c r="I39" s="194" t="str">
        <f t="shared" si="1"/>
        <v/>
      </c>
      <c r="J39" s="57"/>
      <c r="K39" s="57"/>
      <c r="L39" s="58"/>
      <c r="M39" s="18" t="str">
        <f>IF(Fuel_Veh[[#This Row],[Month]]&lt;&gt;"",VLOOKUP(Fuel_Veh[[#This Row],[Month]], dropdown!$S$4:$T$15, 2, FALSE),"")</f>
        <v/>
      </c>
      <c r="N39" s="29"/>
      <c r="O39" s="17" t="str">
        <f>IF($K39="","",VLOOKUP($K39,dropdown!$P$14:$Q$18,2,FALSE))</f>
        <v/>
      </c>
      <c r="P39" s="29"/>
      <c r="Q39" s="17" t="str">
        <f t="shared" si="0"/>
        <v/>
      </c>
      <c r="R39" s="199"/>
    </row>
    <row r="40" spans="9:18" x14ac:dyDescent="0.2">
      <c r="I40" s="194" t="str">
        <f t="shared" si="1"/>
        <v/>
      </c>
      <c r="J40" s="57"/>
      <c r="K40" s="57"/>
      <c r="L40" s="58"/>
      <c r="M40" s="18" t="str">
        <f>IF(Fuel_Veh[[#This Row],[Month]]&lt;&gt;"",VLOOKUP(Fuel_Veh[[#This Row],[Month]], dropdown!$S$4:$T$15, 2, FALSE),"")</f>
        <v/>
      </c>
      <c r="N40" s="29"/>
      <c r="O40" s="17" t="str">
        <f>IF($K40="","",VLOOKUP($K40,dropdown!$P$14:$Q$18,2,FALSE))</f>
        <v/>
      </c>
      <c r="P40" s="29"/>
      <c r="Q40" s="17" t="str">
        <f t="shared" si="0"/>
        <v/>
      </c>
      <c r="R40" s="199"/>
    </row>
    <row r="41" spans="9:18" x14ac:dyDescent="0.2">
      <c r="I41" s="194" t="str">
        <f t="shared" si="1"/>
        <v/>
      </c>
      <c r="J41" s="57"/>
      <c r="K41" s="57"/>
      <c r="L41" s="58"/>
      <c r="M41" s="18" t="str">
        <f>IF(Fuel_Veh[[#This Row],[Month]]&lt;&gt;"",VLOOKUP(Fuel_Veh[[#This Row],[Month]], dropdown!$S$4:$T$15, 2, FALSE),"")</f>
        <v/>
      </c>
      <c r="N41" s="29"/>
      <c r="O41" s="17" t="str">
        <f>IF($K41="","",VLOOKUP($K41,dropdown!$P$14:$Q$18,2,FALSE))</f>
        <v/>
      </c>
      <c r="P41" s="29"/>
      <c r="Q41" s="17" t="str">
        <f t="shared" si="0"/>
        <v/>
      </c>
      <c r="R41" s="199"/>
    </row>
    <row r="42" spans="9:18" x14ac:dyDescent="0.2">
      <c r="I42" s="194" t="str">
        <f t="shared" si="1"/>
        <v/>
      </c>
      <c r="J42" s="57"/>
      <c r="K42" s="57"/>
      <c r="L42" s="58"/>
      <c r="M42" s="18" t="str">
        <f>IF(Fuel_Veh[[#This Row],[Month]]&lt;&gt;"",VLOOKUP(Fuel_Veh[[#This Row],[Month]], dropdown!$S$4:$T$15, 2, FALSE),"")</f>
        <v/>
      </c>
      <c r="N42" s="29"/>
      <c r="O42" s="17" t="str">
        <f>IF($K42="","",VLOOKUP($K42,dropdown!$P$14:$Q$18,2,FALSE))</f>
        <v/>
      </c>
      <c r="P42" s="29"/>
      <c r="Q42" s="17" t="str">
        <f t="shared" si="0"/>
        <v/>
      </c>
      <c r="R42" s="199"/>
    </row>
    <row r="43" spans="9:18" x14ac:dyDescent="0.2">
      <c r="I43" s="194" t="str">
        <f t="shared" si="1"/>
        <v/>
      </c>
      <c r="J43" s="57"/>
      <c r="K43" s="57"/>
      <c r="L43" s="58"/>
      <c r="M43" s="18" t="str">
        <f>IF(Fuel_Veh[[#This Row],[Month]]&lt;&gt;"",VLOOKUP(Fuel_Veh[[#This Row],[Month]], dropdown!$S$4:$T$15, 2, FALSE),"")</f>
        <v/>
      </c>
      <c r="N43" s="29"/>
      <c r="O43" s="17" t="str">
        <f>IF($K43="","",VLOOKUP($K43,dropdown!$P$14:$Q$18,2,FALSE))</f>
        <v/>
      </c>
      <c r="P43" s="29"/>
      <c r="Q43" s="17" t="str">
        <f t="shared" si="0"/>
        <v/>
      </c>
      <c r="R43" s="199"/>
    </row>
    <row r="44" spans="9:18" x14ac:dyDescent="0.2">
      <c r="I44" s="194" t="str">
        <f t="shared" si="1"/>
        <v/>
      </c>
      <c r="J44" s="57"/>
      <c r="K44" s="57"/>
      <c r="L44" s="58"/>
      <c r="M44" s="18" t="str">
        <f>IF(Fuel_Veh[[#This Row],[Month]]&lt;&gt;"",VLOOKUP(Fuel_Veh[[#This Row],[Month]], dropdown!$S$4:$T$15, 2, FALSE),"")</f>
        <v/>
      </c>
      <c r="N44" s="29"/>
      <c r="O44" s="17" t="str">
        <f>IF($K44="","",VLOOKUP($K44,dropdown!$P$14:$Q$18,2,FALSE))</f>
        <v/>
      </c>
      <c r="P44" s="29"/>
      <c r="Q44" s="17" t="str">
        <f t="shared" si="0"/>
        <v/>
      </c>
      <c r="R44" s="199"/>
    </row>
    <row r="45" spans="9:18" x14ac:dyDescent="0.2">
      <c r="I45" s="194" t="str">
        <f t="shared" si="1"/>
        <v/>
      </c>
      <c r="J45" s="57"/>
      <c r="K45" s="57"/>
      <c r="L45" s="58"/>
      <c r="M45" s="18" t="str">
        <f>IF(Fuel_Veh[[#This Row],[Month]]&lt;&gt;"",VLOOKUP(Fuel_Veh[[#This Row],[Month]], dropdown!$S$4:$T$15, 2, FALSE),"")</f>
        <v/>
      </c>
      <c r="N45" s="29"/>
      <c r="O45" s="17" t="str">
        <f>IF($K45="","",VLOOKUP($K45,dropdown!$P$14:$Q$18,2,FALSE))</f>
        <v/>
      </c>
      <c r="P45" s="29"/>
      <c r="Q45" s="17" t="str">
        <f t="shared" si="0"/>
        <v/>
      </c>
      <c r="R45" s="199"/>
    </row>
    <row r="46" spans="9:18" x14ac:dyDescent="0.2">
      <c r="I46" s="194" t="str">
        <f t="shared" si="1"/>
        <v/>
      </c>
      <c r="J46" s="57"/>
      <c r="K46" s="57"/>
      <c r="L46" s="58"/>
      <c r="M46" s="18" t="str">
        <f>IF(Fuel_Veh[[#This Row],[Month]]&lt;&gt;"",VLOOKUP(Fuel_Veh[[#This Row],[Month]], dropdown!$S$4:$T$15, 2, FALSE),"")</f>
        <v/>
      </c>
      <c r="N46" s="29"/>
      <c r="O46" s="17" t="str">
        <f>IF($K46="","",VLOOKUP($K46,dropdown!$P$14:$Q$18,2,FALSE))</f>
        <v/>
      </c>
      <c r="P46" s="29"/>
      <c r="Q46" s="17" t="str">
        <f t="shared" si="0"/>
        <v/>
      </c>
      <c r="R46" s="199"/>
    </row>
    <row r="47" spans="9:18" x14ac:dyDescent="0.2">
      <c r="I47" s="194" t="str">
        <f t="shared" si="1"/>
        <v/>
      </c>
      <c r="J47" s="57"/>
      <c r="K47" s="57"/>
      <c r="L47" s="58"/>
      <c r="M47" s="18" t="str">
        <f>IF(Fuel_Veh[[#This Row],[Month]]&lt;&gt;"",VLOOKUP(Fuel_Veh[[#This Row],[Month]], dropdown!$S$4:$T$15, 2, FALSE),"")</f>
        <v/>
      </c>
      <c r="N47" s="29"/>
      <c r="O47" s="17" t="str">
        <f>IF($K47="","",VLOOKUP($K47,dropdown!$P$14:$Q$18,2,FALSE))</f>
        <v/>
      </c>
      <c r="P47" s="29"/>
      <c r="Q47" s="17" t="str">
        <f t="shared" si="0"/>
        <v/>
      </c>
      <c r="R47" s="199"/>
    </row>
    <row r="48" spans="9:18" x14ac:dyDescent="0.2">
      <c r="I48" s="194" t="str">
        <f t="shared" si="1"/>
        <v/>
      </c>
      <c r="J48" s="57"/>
      <c r="K48" s="57"/>
      <c r="L48" s="58"/>
      <c r="M48" s="18" t="str">
        <f>IF(Fuel_Veh[[#This Row],[Month]]&lt;&gt;"",VLOOKUP(Fuel_Veh[[#This Row],[Month]], dropdown!$S$4:$T$15, 2, FALSE),"")</f>
        <v/>
      </c>
      <c r="N48" s="29"/>
      <c r="O48" s="17" t="str">
        <f>IF($K48="","",VLOOKUP($K48,dropdown!$P$14:$Q$18,2,FALSE))</f>
        <v/>
      </c>
      <c r="P48" s="29"/>
      <c r="Q48" s="17" t="str">
        <f t="shared" si="0"/>
        <v/>
      </c>
      <c r="R48" s="199"/>
    </row>
    <row r="49" spans="9:18" x14ac:dyDescent="0.2">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9"/>
    </row>
    <row r="50" spans="9:18" x14ac:dyDescent="0.2">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9"/>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3">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3"/>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3"/>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3"/>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3"/>
        <v/>
      </c>
      <c r="R75" s="199"/>
    </row>
    <row r="76" spans="9:18" x14ac:dyDescent="0.2">
      <c r="I76" s="194" t="str">
        <f t="shared" ref="I76:I77" si="4">IF($J76="","",$I75+1)</f>
        <v/>
      </c>
      <c r="J76" s="57"/>
      <c r="K76" s="57"/>
      <c r="L76" s="58"/>
      <c r="M76" s="18" t="str">
        <f>IF(Fuel_Veh[[#This Row],[Month]]&lt;&gt;"",VLOOKUP(Fuel_Veh[[#This Row],[Month]], dropdown!$S$4:$T$15, 2, FALSE),"")</f>
        <v/>
      </c>
      <c r="N76" s="29"/>
      <c r="O76" s="17" t="str">
        <f>IF($K76="","",VLOOKUP($K76,dropdown!$P$14:$Q$18,2,FALSE))</f>
        <v/>
      </c>
      <c r="P76" s="29"/>
      <c r="Q76" s="17" t="str">
        <f t="shared" si="3"/>
        <v/>
      </c>
      <c r="R76" s="199"/>
    </row>
    <row r="77" spans="9:18" x14ac:dyDescent="0.2">
      <c r="I77" s="194" t="str">
        <f t="shared" si="4"/>
        <v/>
      </c>
      <c r="J77" s="57"/>
      <c r="K77" s="57"/>
      <c r="L77" s="58"/>
      <c r="M77" s="18" t="str">
        <f>IF(Fuel_Veh[[#This Row],[Month]]&lt;&gt;"",VLOOKUP(Fuel_Veh[[#This Row],[Month]], dropdown!$S$4:$T$15, 2, FALSE),"")</f>
        <v/>
      </c>
      <c r="N77" s="29"/>
      <c r="O77" s="17" t="str">
        <f>IF($K77="","",VLOOKUP($K77,dropdown!$P$14:$Q$18,2,FALSE))</f>
        <v/>
      </c>
      <c r="P77" s="29"/>
      <c r="Q77" s="17" t="str">
        <f t="shared" si="3"/>
        <v/>
      </c>
      <c r="R77" s="199"/>
    </row>
    <row r="78" spans="9:18" x14ac:dyDescent="0.2">
      <c r="I78" s="194" t="str">
        <f t="shared" ref="I78:I85" si="5">IF($J78="","",$I77+1)</f>
        <v/>
      </c>
      <c r="J78" s="57"/>
      <c r="K78" s="57"/>
      <c r="L78" s="58"/>
      <c r="M78" s="18" t="str">
        <f>IF(Fuel_Veh[[#This Row],[Month]]&lt;&gt;"",VLOOKUP(Fuel_Veh[[#This Row],[Month]], dropdown!$S$4:$T$15, 2, FALSE),"")</f>
        <v/>
      </c>
      <c r="N78" s="29"/>
      <c r="O78" s="17" t="str">
        <f>IF($K78="","",VLOOKUP($K78,dropdown!$P$14:$Q$18,2,FALSE))</f>
        <v/>
      </c>
      <c r="P78" s="29"/>
      <c r="Q78" s="17" t="str">
        <f t="shared" si="3"/>
        <v/>
      </c>
      <c r="R78" s="199"/>
    </row>
    <row r="79" spans="9:18" x14ac:dyDescent="0.2">
      <c r="I79" s="194" t="str">
        <f t="shared" si="5"/>
        <v/>
      </c>
      <c r="J79" s="57"/>
      <c r="K79" s="57"/>
      <c r="L79" s="58"/>
      <c r="M79" s="18" t="str">
        <f>IF(Fuel_Veh[[#This Row],[Month]]&lt;&gt;"",VLOOKUP(Fuel_Veh[[#This Row],[Month]], dropdown!$S$4:$T$15, 2, FALSE),"")</f>
        <v/>
      </c>
      <c r="N79" s="29"/>
      <c r="O79" s="17" t="str">
        <f>IF($K79="","",VLOOKUP($K79,dropdown!$P$14:$Q$18,2,FALSE))</f>
        <v/>
      </c>
      <c r="P79" s="29"/>
      <c r="Q79" s="17" t="str">
        <f t="shared" si="3"/>
        <v/>
      </c>
      <c r="R79" s="199"/>
    </row>
    <row r="80" spans="9:18" x14ac:dyDescent="0.2">
      <c r="I80" s="194" t="str">
        <f t="shared" si="5"/>
        <v/>
      </c>
      <c r="J80" s="57"/>
      <c r="K80" s="57"/>
      <c r="L80" s="58"/>
      <c r="M80" s="18" t="str">
        <f>IF(Fuel_Veh[[#This Row],[Month]]&lt;&gt;"",VLOOKUP(Fuel_Veh[[#This Row],[Month]], dropdown!$S$4:$T$15, 2, FALSE),"")</f>
        <v/>
      </c>
      <c r="N80" s="29"/>
      <c r="O80" s="17" t="str">
        <f>IF($K80="","",VLOOKUP($K80,dropdown!$P$14:$Q$18,2,FALSE))</f>
        <v/>
      </c>
      <c r="P80" s="29"/>
      <c r="Q80" s="17" t="str">
        <f t="shared" si="3"/>
        <v/>
      </c>
      <c r="R80" s="199"/>
    </row>
    <row r="81" spans="9:18" x14ac:dyDescent="0.2">
      <c r="I81" s="194" t="str">
        <f t="shared" si="5"/>
        <v/>
      </c>
      <c r="J81" s="57"/>
      <c r="K81" s="57"/>
      <c r="L81" s="58"/>
      <c r="M81" s="18" t="str">
        <f>IF(Fuel_Veh[[#This Row],[Month]]&lt;&gt;"",VLOOKUP(Fuel_Veh[[#This Row],[Month]], dropdown!$S$4:$T$15, 2, FALSE),"")</f>
        <v/>
      </c>
      <c r="N81" s="29"/>
      <c r="O81" s="17" t="str">
        <f>IF($K81="","",VLOOKUP($K81,dropdown!$P$14:$Q$18,2,FALSE))</f>
        <v/>
      </c>
      <c r="P81" s="29"/>
      <c r="Q81" s="17" t="str">
        <f t="shared" si="3"/>
        <v/>
      </c>
      <c r="R81" s="199"/>
    </row>
    <row r="82" spans="9:18" x14ac:dyDescent="0.2">
      <c r="I82" s="194" t="str">
        <f t="shared" si="5"/>
        <v/>
      </c>
      <c r="J82" s="57"/>
      <c r="K82" s="57"/>
      <c r="L82" s="58"/>
      <c r="M82" s="18" t="str">
        <f>IF(Fuel_Veh[[#This Row],[Month]]&lt;&gt;"",VLOOKUP(Fuel_Veh[[#This Row],[Month]], dropdown!$S$4:$T$15, 2, FALSE),"")</f>
        <v/>
      </c>
      <c r="N82" s="29"/>
      <c r="O82" s="17" t="str">
        <f>IF($K82="","",VLOOKUP($K82,dropdown!$P$14:$Q$18,2,FALSE))</f>
        <v/>
      </c>
      <c r="P82" s="29"/>
      <c r="Q82" s="17" t="str">
        <f t="shared" si="3"/>
        <v/>
      </c>
      <c r="R82" s="199"/>
    </row>
    <row r="83" spans="9:18" x14ac:dyDescent="0.2">
      <c r="I83" s="194" t="str">
        <f t="shared" si="5"/>
        <v/>
      </c>
      <c r="J83" s="57"/>
      <c r="K83" s="57"/>
      <c r="L83" s="58"/>
      <c r="M83" s="18" t="str">
        <f>IF(Fuel_Veh[[#This Row],[Month]]&lt;&gt;"",VLOOKUP(Fuel_Veh[[#This Row],[Month]], dropdown!$S$4:$T$15, 2, FALSE),"")</f>
        <v/>
      </c>
      <c r="N83" s="29"/>
      <c r="O83" s="17" t="str">
        <f>IF($K83="","",VLOOKUP($K83,dropdown!$P$14:$Q$18,2,FALSE))</f>
        <v/>
      </c>
      <c r="P83" s="29"/>
      <c r="Q83" s="17" t="str">
        <f t="shared" si="3"/>
        <v/>
      </c>
      <c r="R83" s="199"/>
    </row>
    <row r="84" spans="9:18" x14ac:dyDescent="0.2">
      <c r="I84" s="194" t="str">
        <f t="shared" si="5"/>
        <v/>
      </c>
      <c r="J84" s="57"/>
      <c r="K84" s="57"/>
      <c r="L84" s="58"/>
      <c r="M84" s="18" t="str">
        <f>IF(Fuel_Veh[[#This Row],[Month]]&lt;&gt;"",VLOOKUP(Fuel_Veh[[#This Row],[Month]], dropdown!$S$4:$T$15, 2, FALSE),"")</f>
        <v/>
      </c>
      <c r="N84" s="29"/>
      <c r="O84" s="17" t="str">
        <f>IF($K84="","",VLOOKUP($K84,dropdown!$P$14:$Q$18,2,FALSE))</f>
        <v/>
      </c>
      <c r="P84" s="29"/>
      <c r="Q84" s="17" t="str">
        <f t="shared" si="3"/>
        <v/>
      </c>
      <c r="R84" s="199"/>
    </row>
    <row r="85" spans="9:18" x14ac:dyDescent="0.2">
      <c r="I85" s="194" t="str">
        <f t="shared" si="5"/>
        <v/>
      </c>
      <c r="J85" s="57"/>
      <c r="K85" s="57"/>
      <c r="L85" s="58"/>
      <c r="M85" s="18" t="str">
        <f>IF(Fuel_Veh[[#This Row],[Month]]&lt;&gt;"",VLOOKUP(Fuel_Veh[[#This Row],[Month]], dropdown!$S$4:$T$15, 2, FALSE),"")</f>
        <v/>
      </c>
      <c r="N85" s="29"/>
      <c r="O85" s="17" t="str">
        <f>IF($K85="","",VLOOKUP($K85,dropdown!$P$14:$Q$18,2,FALSE))</f>
        <v/>
      </c>
      <c r="P85" s="29"/>
      <c r="Q85" s="17" t="str">
        <f t="shared" si="3"/>
        <v/>
      </c>
      <c r="R85" s="199"/>
    </row>
    <row r="86" spans="9:18" x14ac:dyDescent="0.2">
      <c r="I86" s="194" t="str">
        <f t="shared" ref="I86:I106" si="6">IF($J86="","",$I85+1)</f>
        <v/>
      </c>
      <c r="J86" s="57"/>
      <c r="K86" s="57"/>
      <c r="L86" s="58"/>
      <c r="M86" s="18" t="str">
        <f>IF(Fuel_Veh[[#This Row],[Month]]&lt;&gt;"",VLOOKUP(Fuel_Veh[[#This Row],[Month]], dropdown!$S$4:$T$15, 2, FALSE),"")</f>
        <v/>
      </c>
      <c r="N86" s="29"/>
      <c r="O86" s="17" t="str">
        <f>IF($K86="","",VLOOKUP($K86,dropdown!$P$14:$Q$18,2,FALSE))</f>
        <v/>
      </c>
      <c r="P86" s="29"/>
      <c r="Q86" s="17" t="str">
        <f t="shared" si="3"/>
        <v/>
      </c>
      <c r="R86" s="199"/>
    </row>
    <row r="87" spans="9:18" x14ac:dyDescent="0.2">
      <c r="I87" s="194" t="str">
        <f t="shared" si="6"/>
        <v/>
      </c>
      <c r="J87" s="57"/>
      <c r="K87" s="57"/>
      <c r="L87" s="58"/>
      <c r="M87" s="18" t="str">
        <f>IF(Fuel_Veh[[#This Row],[Month]]&lt;&gt;"",VLOOKUP(Fuel_Veh[[#This Row],[Month]], dropdown!$S$4:$T$15, 2, FALSE),"")</f>
        <v/>
      </c>
      <c r="N87" s="29"/>
      <c r="O87" s="17" t="str">
        <f>IF($K87="","",VLOOKUP($K87,dropdown!$P$14:$Q$18,2,FALSE))</f>
        <v/>
      </c>
      <c r="P87" s="29"/>
      <c r="Q87" s="17" t="str">
        <f t="shared" si="3"/>
        <v/>
      </c>
      <c r="R87" s="199"/>
    </row>
    <row r="88" spans="9:18" x14ac:dyDescent="0.2">
      <c r="I88" s="194" t="str">
        <f t="shared" si="6"/>
        <v/>
      </c>
      <c r="J88" s="57"/>
      <c r="K88" s="57"/>
      <c r="L88" s="58"/>
      <c r="M88" s="18" t="str">
        <f>IF(Fuel_Veh[[#This Row],[Month]]&lt;&gt;"",VLOOKUP(Fuel_Veh[[#This Row],[Month]], dropdown!$S$4:$T$15, 2, FALSE),"")</f>
        <v/>
      </c>
      <c r="N88" s="29"/>
      <c r="O88" s="17" t="str">
        <f>IF($K88="","",VLOOKUP($K88,dropdown!$P$14:$Q$18,2,FALSE))</f>
        <v/>
      </c>
      <c r="P88" s="29"/>
      <c r="Q88" s="17" t="str">
        <f t="shared" si="3"/>
        <v/>
      </c>
      <c r="R88" s="199"/>
    </row>
    <row r="89" spans="9:18" x14ac:dyDescent="0.2">
      <c r="I89" s="194" t="str">
        <f t="shared" si="6"/>
        <v/>
      </c>
      <c r="J89" s="57"/>
      <c r="K89" s="57"/>
      <c r="L89" s="58"/>
      <c r="M89" s="18" t="str">
        <f>IF(Fuel_Veh[[#This Row],[Month]]&lt;&gt;"",VLOOKUP(Fuel_Veh[[#This Row],[Month]], dropdown!$S$4:$T$15, 2, FALSE),"")</f>
        <v/>
      </c>
      <c r="N89" s="29"/>
      <c r="O89" s="17" t="str">
        <f>IF($K89="","",VLOOKUP($K89,dropdown!$P$14:$Q$18,2,FALSE))</f>
        <v/>
      </c>
      <c r="P89" s="29"/>
      <c r="Q89" s="17" t="str">
        <f t="shared" si="3"/>
        <v/>
      </c>
      <c r="R89" s="199"/>
    </row>
    <row r="90" spans="9:18" x14ac:dyDescent="0.2">
      <c r="I90" s="194" t="str">
        <f t="shared" si="6"/>
        <v/>
      </c>
      <c r="J90" s="57"/>
      <c r="K90" s="57"/>
      <c r="L90" s="58"/>
      <c r="M90" s="18" t="str">
        <f>IF(Fuel_Veh[[#This Row],[Month]]&lt;&gt;"",VLOOKUP(Fuel_Veh[[#This Row],[Month]], dropdown!$S$4:$T$15, 2, FALSE),"")</f>
        <v/>
      </c>
      <c r="N90" s="29"/>
      <c r="O90" s="17" t="str">
        <f>IF($K90="","",VLOOKUP($K90,dropdown!$P$14:$Q$18,2,FALSE))</f>
        <v/>
      </c>
      <c r="P90" s="29"/>
      <c r="Q90" s="17" t="str">
        <f t="shared" si="3"/>
        <v/>
      </c>
      <c r="R90" s="199"/>
    </row>
    <row r="91" spans="9:18" x14ac:dyDescent="0.2">
      <c r="I91" s="194" t="str">
        <f t="shared" si="6"/>
        <v/>
      </c>
      <c r="J91" s="57"/>
      <c r="K91" s="57"/>
      <c r="L91" s="58"/>
      <c r="M91" s="18" t="str">
        <f>IF(Fuel_Veh[[#This Row],[Month]]&lt;&gt;"",VLOOKUP(Fuel_Veh[[#This Row],[Month]], dropdown!$S$4:$T$15, 2, FALSE),"")</f>
        <v/>
      </c>
      <c r="N91" s="29"/>
      <c r="O91" s="17" t="str">
        <f>IF($K91="","",VLOOKUP($K91,dropdown!$P$14:$Q$18,2,FALSE))</f>
        <v/>
      </c>
      <c r="P91" s="29"/>
      <c r="Q91" s="17" t="str">
        <f t="shared" si="3"/>
        <v/>
      </c>
      <c r="R91" s="199"/>
    </row>
    <row r="92" spans="9:18" x14ac:dyDescent="0.2">
      <c r="I92" s="194" t="str">
        <f t="shared" si="6"/>
        <v/>
      </c>
      <c r="J92" s="57"/>
      <c r="K92" s="57"/>
      <c r="L92" s="58"/>
      <c r="M92" s="18" t="str">
        <f>IF(Fuel_Veh[[#This Row],[Month]]&lt;&gt;"",VLOOKUP(Fuel_Veh[[#This Row],[Month]], dropdown!$S$4:$T$15, 2, FALSE),"")</f>
        <v/>
      </c>
      <c r="N92" s="29"/>
      <c r="O92" s="17" t="str">
        <f>IF($K92="","",VLOOKUP($K92,dropdown!$P$14:$Q$18,2,FALSE))</f>
        <v/>
      </c>
      <c r="P92" s="29"/>
      <c r="Q92" s="17" t="str">
        <f t="shared" si="3"/>
        <v/>
      </c>
      <c r="R92" s="199"/>
    </row>
    <row r="93" spans="9:18" x14ac:dyDescent="0.2">
      <c r="I93" s="194" t="str">
        <f t="shared" si="6"/>
        <v/>
      </c>
      <c r="J93" s="57"/>
      <c r="K93" s="57"/>
      <c r="L93" s="58"/>
      <c r="M93" s="18" t="str">
        <f>IF(Fuel_Veh[[#This Row],[Month]]&lt;&gt;"",VLOOKUP(Fuel_Veh[[#This Row],[Month]], dropdown!$S$4:$T$15, 2, FALSE),"")</f>
        <v/>
      </c>
      <c r="N93" s="29"/>
      <c r="O93" s="17" t="str">
        <f>IF($K93="","",VLOOKUP($K93,dropdown!$P$14:$Q$18,2,FALSE))</f>
        <v/>
      </c>
      <c r="P93" s="29"/>
      <c r="Q93" s="17" t="str">
        <f t="shared" si="3"/>
        <v/>
      </c>
      <c r="R93" s="199"/>
    </row>
    <row r="94" spans="9:18" x14ac:dyDescent="0.2">
      <c r="I94" s="194" t="str">
        <f t="shared" si="6"/>
        <v/>
      </c>
      <c r="J94" s="57"/>
      <c r="K94" s="57"/>
      <c r="L94" s="58"/>
      <c r="M94" s="18" t="str">
        <f>IF(Fuel_Veh[[#This Row],[Month]]&lt;&gt;"",VLOOKUP(Fuel_Veh[[#This Row],[Month]], dropdown!$S$4:$T$15, 2, FALSE),"")</f>
        <v/>
      </c>
      <c r="N94" s="29"/>
      <c r="O94" s="17" t="str">
        <f>IF($K94="","",VLOOKUP($K94,dropdown!$P$14:$Q$18,2,FALSE))</f>
        <v/>
      </c>
      <c r="P94" s="29"/>
      <c r="Q94" s="17" t="str">
        <f t="shared" si="3"/>
        <v/>
      </c>
      <c r="R94" s="199"/>
    </row>
    <row r="95" spans="9:18" x14ac:dyDescent="0.2">
      <c r="I95" s="194" t="str">
        <f t="shared" si="6"/>
        <v/>
      </c>
      <c r="J95" s="57"/>
      <c r="K95" s="57"/>
      <c r="L95" s="58"/>
      <c r="M95" s="18" t="str">
        <f>IF(Fuel_Veh[[#This Row],[Month]]&lt;&gt;"",VLOOKUP(Fuel_Veh[[#This Row],[Month]], dropdown!$S$4:$T$15, 2, FALSE),"")</f>
        <v/>
      </c>
      <c r="N95" s="29"/>
      <c r="O95" s="17" t="str">
        <f>IF($K95="","",VLOOKUP($K95,dropdown!$P$14:$Q$18,2,FALSE))</f>
        <v/>
      </c>
      <c r="P95" s="29"/>
      <c r="Q95" s="17" t="str">
        <f t="shared" si="3"/>
        <v/>
      </c>
      <c r="R95" s="199"/>
    </row>
    <row r="96" spans="9:18" x14ac:dyDescent="0.2">
      <c r="I96" s="194" t="str">
        <f t="shared" si="6"/>
        <v/>
      </c>
      <c r="J96" s="57"/>
      <c r="K96" s="57"/>
      <c r="L96" s="58"/>
      <c r="M96" s="18" t="str">
        <f>IF(Fuel_Veh[[#This Row],[Month]]&lt;&gt;"",VLOOKUP(Fuel_Veh[[#This Row],[Month]], dropdown!$S$4:$T$15, 2, FALSE),"")</f>
        <v/>
      </c>
      <c r="N96" s="29"/>
      <c r="O96" s="17" t="str">
        <f>IF($K96="","",VLOOKUP($K96,dropdown!$P$14:$Q$18,2,FALSE))</f>
        <v/>
      </c>
      <c r="P96" s="29"/>
      <c r="Q96" s="17" t="str">
        <f t="shared" si="3"/>
        <v/>
      </c>
      <c r="R96" s="199"/>
    </row>
    <row r="97" spans="9:18" x14ac:dyDescent="0.2">
      <c r="I97" s="194" t="str">
        <f t="shared" si="6"/>
        <v/>
      </c>
      <c r="J97" s="57"/>
      <c r="K97" s="57"/>
      <c r="L97" s="58"/>
      <c r="M97" s="18" t="str">
        <f>IF(Fuel_Veh[[#This Row],[Month]]&lt;&gt;"",VLOOKUP(Fuel_Veh[[#This Row],[Month]], dropdown!$S$4:$T$15, 2, FALSE),"")</f>
        <v/>
      </c>
      <c r="N97" s="29"/>
      <c r="O97" s="17" t="str">
        <f>IF($K97="","",VLOOKUP($K97,dropdown!$P$14:$Q$18,2,FALSE))</f>
        <v/>
      </c>
      <c r="P97" s="29"/>
      <c r="Q97" s="17" t="str">
        <f t="shared" si="3"/>
        <v/>
      </c>
      <c r="R97" s="199"/>
    </row>
    <row r="98" spans="9:18" x14ac:dyDescent="0.2">
      <c r="I98" s="194" t="str">
        <f t="shared" si="6"/>
        <v/>
      </c>
      <c r="J98" s="57"/>
      <c r="K98" s="57"/>
      <c r="L98" s="58"/>
      <c r="M98" s="18" t="str">
        <f>IF(Fuel_Veh[[#This Row],[Month]]&lt;&gt;"",VLOOKUP(Fuel_Veh[[#This Row],[Month]], dropdown!$S$4:$T$15, 2, FALSE),"")</f>
        <v/>
      </c>
      <c r="N98" s="29"/>
      <c r="O98" s="17" t="str">
        <f>IF($K98="","",VLOOKUP($K98,dropdown!$P$14:$Q$18,2,FALSE))</f>
        <v/>
      </c>
      <c r="P98" s="29"/>
      <c r="Q98" s="17" t="str">
        <f t="shared" si="3"/>
        <v/>
      </c>
      <c r="R98" s="199"/>
    </row>
    <row r="99" spans="9:18" x14ac:dyDescent="0.2">
      <c r="I99" s="194" t="str">
        <f t="shared" si="6"/>
        <v/>
      </c>
      <c r="J99" s="57"/>
      <c r="K99" s="57"/>
      <c r="L99" s="58"/>
      <c r="M99" s="18" t="str">
        <f>IF(Fuel_Veh[[#This Row],[Month]]&lt;&gt;"",VLOOKUP(Fuel_Veh[[#This Row],[Month]], dropdown!$S$4:$T$15, 2, FALSE),"")</f>
        <v/>
      </c>
      <c r="N99" s="29"/>
      <c r="O99" s="17" t="str">
        <f>IF($K99="","",VLOOKUP($K99,dropdown!$P$14:$Q$18,2,FALSE))</f>
        <v/>
      </c>
      <c r="P99" s="29"/>
      <c r="Q99" s="17" t="str">
        <f t="shared" si="3"/>
        <v/>
      </c>
      <c r="R99" s="199"/>
    </row>
    <row r="100" spans="9:18" x14ac:dyDescent="0.2">
      <c r="I100" s="194" t="str">
        <f t="shared" si="6"/>
        <v/>
      </c>
      <c r="J100" s="57"/>
      <c r="K100" s="57"/>
      <c r="L100" s="58"/>
      <c r="M100" s="18" t="str">
        <f>IF(Fuel_Veh[[#This Row],[Month]]&lt;&gt;"",VLOOKUP(Fuel_Veh[[#This Row],[Month]], dropdown!$S$4:$T$15, 2, FALSE),"")</f>
        <v/>
      </c>
      <c r="N100" s="29"/>
      <c r="O100" s="17" t="str">
        <f>IF($K100="","",VLOOKUP($K100,dropdown!$P$14:$Q$18,2,FALSE))</f>
        <v/>
      </c>
      <c r="P100" s="29"/>
      <c r="Q100" s="17" t="str">
        <f t="shared" si="3"/>
        <v/>
      </c>
      <c r="R100" s="199"/>
    </row>
    <row r="101" spans="9:18" x14ac:dyDescent="0.2">
      <c r="I101" s="194" t="str">
        <f t="shared" si="6"/>
        <v/>
      </c>
      <c r="J101" s="57"/>
      <c r="K101" s="57"/>
      <c r="L101" s="58"/>
      <c r="M101" s="18" t="str">
        <f>IF(Fuel_Veh[[#This Row],[Month]]&lt;&gt;"",VLOOKUP(Fuel_Veh[[#This Row],[Month]], dropdown!$S$4:$T$15, 2, FALSE),"")</f>
        <v/>
      </c>
      <c r="N101" s="29"/>
      <c r="O101" s="17" t="str">
        <f>IF($K101="","",VLOOKUP($K101,dropdown!$P$14:$Q$18,2,FALSE))</f>
        <v/>
      </c>
      <c r="P101" s="29"/>
      <c r="Q101" s="17" t="str">
        <f t="shared" si="3"/>
        <v/>
      </c>
      <c r="R101" s="199"/>
    </row>
    <row r="102" spans="9:18" x14ac:dyDescent="0.2">
      <c r="I102" s="194" t="str">
        <f t="shared" si="6"/>
        <v/>
      </c>
      <c r="J102" s="57"/>
      <c r="K102" s="57"/>
      <c r="L102" s="58"/>
      <c r="M102" s="18" t="str">
        <f>IF(Fuel_Veh[[#This Row],[Month]]&lt;&gt;"",VLOOKUP(Fuel_Veh[[#This Row],[Month]], dropdown!$S$4:$T$15, 2, FALSE),"")</f>
        <v/>
      </c>
      <c r="N102" s="29"/>
      <c r="O102" s="17" t="str">
        <f>IF($K102="","",VLOOKUP($K102,dropdown!$P$14:$Q$18,2,FALSE))</f>
        <v/>
      </c>
      <c r="P102" s="29"/>
      <c r="Q102" s="17" t="str">
        <f t="shared" si="3"/>
        <v/>
      </c>
      <c r="R102" s="199"/>
    </row>
    <row r="103" spans="9:18" x14ac:dyDescent="0.2">
      <c r="I103" s="194" t="str">
        <f t="shared" si="6"/>
        <v/>
      </c>
      <c r="J103" s="57"/>
      <c r="K103" s="57"/>
      <c r="L103" s="58"/>
      <c r="M103" s="18" t="str">
        <f>IF(Fuel_Veh[[#This Row],[Month]]&lt;&gt;"",VLOOKUP(Fuel_Veh[[#This Row],[Month]], dropdown!$S$4:$T$15, 2, FALSE),"")</f>
        <v/>
      </c>
      <c r="N103" s="29"/>
      <c r="O103" s="17" t="str">
        <f>IF($K103="","",VLOOKUP($K103,dropdown!$P$14:$Q$18,2,FALSE))</f>
        <v/>
      </c>
      <c r="P103" s="29"/>
      <c r="Q103" s="17" t="str">
        <f t="shared" si="3"/>
        <v/>
      </c>
      <c r="R103" s="199"/>
    </row>
    <row r="104" spans="9:18" x14ac:dyDescent="0.2">
      <c r="I104" s="194" t="str">
        <f t="shared" si="6"/>
        <v/>
      </c>
      <c r="J104" s="57"/>
      <c r="K104" s="57"/>
      <c r="L104" s="58"/>
      <c r="M104" s="18" t="str">
        <f>IF(Fuel_Veh[[#This Row],[Month]]&lt;&gt;"",VLOOKUP(Fuel_Veh[[#This Row],[Month]], dropdown!$S$4:$T$15, 2, FALSE),"")</f>
        <v/>
      </c>
      <c r="N104" s="29"/>
      <c r="O104" s="17" t="str">
        <f>IF($K104="","",VLOOKUP($K104,dropdown!$P$14:$Q$18,2,FALSE))</f>
        <v/>
      </c>
      <c r="P104" s="29"/>
      <c r="Q104" s="17" t="str">
        <f t="shared" si="3"/>
        <v/>
      </c>
      <c r="R104" s="199"/>
    </row>
    <row r="105" spans="9:18" x14ac:dyDescent="0.2">
      <c r="I105" s="194" t="str">
        <f t="shared" si="6"/>
        <v/>
      </c>
      <c r="J105" s="57"/>
      <c r="K105" s="57"/>
      <c r="L105" s="58"/>
      <c r="M105" s="18" t="str">
        <f>IF(Fuel_Veh[[#This Row],[Month]]&lt;&gt;"",VLOOKUP(Fuel_Veh[[#This Row],[Month]], dropdown!$S$4:$T$15, 2, FALSE),"")</f>
        <v/>
      </c>
      <c r="N105" s="29"/>
      <c r="O105" s="17" t="str">
        <f>IF($K105="","",VLOOKUP($K105,dropdown!$P$14:$Q$18,2,FALSE))</f>
        <v/>
      </c>
      <c r="P105" s="29"/>
      <c r="Q105" s="17" t="str">
        <f t="shared" si="3"/>
        <v/>
      </c>
      <c r="R105" s="199"/>
    </row>
    <row r="106" spans="9:18" x14ac:dyDescent="0.2">
      <c r="I106" s="194" t="str">
        <f t="shared" si="6"/>
        <v/>
      </c>
      <c r="J106" s="57"/>
      <c r="K106" s="57"/>
      <c r="L106" s="58"/>
      <c r="M106" s="18" t="str">
        <f>IF(Fuel_Veh[[#This Row],[Month]]&lt;&gt;"",VLOOKUP(Fuel_Veh[[#This Row],[Month]], dropdown!$S$4:$T$15, 2, FALSE),"")</f>
        <v/>
      </c>
      <c r="N106" s="29"/>
      <c r="O106" s="17" t="str">
        <f>IF($K106="","",VLOOKUP($K106,dropdown!$P$14:$Q$18,2,FALSE))</f>
        <v/>
      </c>
      <c r="P106" s="29"/>
      <c r="Q106" s="17" t="str">
        <f t="shared" si="3"/>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P6:P106 R6:R106 N6:N12 N16:N106" name="Range1"/>
  </protectedRanges>
  <mergeCells count="2">
    <mergeCell ref="C6:G6"/>
    <mergeCell ref="C7:G7"/>
  </mergeCells>
  <conditionalFormatting sqref="K7:Q12 K19:Q106 K13:M18 O13:Q18">
    <cfRule type="expression" dxfId="7" priority="1">
      <formula>$J7="BEV"</formula>
    </cfRule>
  </conditionalFormatting>
  <conditionalFormatting sqref="N16:N18">
    <cfRule type="expression" dxfId="6" priority="8">
      <formula>$J13="BEV"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topLeftCell="G1" zoomScale="94" zoomScaleNormal="120" workbookViewId="0">
      <selection activeCell="Q12" sqref="Q12"/>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t="str">
        <f>'1. Data Info and Summary'!$D$2</f>
        <v>Legazpi Branch</v>
      </c>
      <c r="C4" s="37"/>
      <c r="D4" s="38">
        <f>IF('1. Data Info and Summary'!$D$3=0,"-",'1. Data Info and Summary'!$D$3)</f>
        <v>2025</v>
      </c>
      <c r="E4" s="37"/>
      <c r="F4" s="37" t="s">
        <v>182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47" t="s">
        <v>1431</v>
      </c>
      <c r="D6" s="448"/>
      <c r="E6" s="448"/>
      <c r="F6" s="448"/>
      <c r="G6" s="449"/>
      <c r="I6" s="298"/>
      <c r="J6" s="298"/>
      <c r="K6" s="298"/>
      <c r="L6" s="298"/>
      <c r="M6" s="298"/>
      <c r="N6" s="298"/>
      <c r="O6" s="298"/>
      <c r="P6" s="298"/>
      <c r="Q6" s="298"/>
      <c r="R6" s="298"/>
      <c r="S6" s="298"/>
      <c r="T6" s="298"/>
      <c r="U6" s="298"/>
      <c r="V6" s="298"/>
    </row>
    <row r="7" spans="2:31" ht="15" customHeight="1" x14ac:dyDescent="0.2">
      <c r="B7" s="278" t="s">
        <v>174</v>
      </c>
      <c r="C7" s="450">
        <v>45910</v>
      </c>
      <c r="D7" s="448"/>
      <c r="E7" s="448"/>
      <c r="F7" s="448"/>
      <c r="G7" s="449"/>
      <c r="I7" s="418" t="s">
        <v>154</v>
      </c>
      <c r="J7" s="417"/>
      <c r="K7" s="415"/>
      <c r="L7" s="415"/>
      <c r="M7" s="415"/>
      <c r="N7" s="415"/>
      <c r="O7" s="455" t="s">
        <v>183</v>
      </c>
      <c r="P7" s="455"/>
      <c r="Q7" s="456" t="s">
        <v>184</v>
      </c>
      <c r="R7" s="457"/>
      <c r="S7" s="458" t="s">
        <v>86</v>
      </c>
      <c r="T7" s="459"/>
      <c r="U7" s="459"/>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f>IF($K9="","",1)</f>
        <v>1</v>
      </c>
      <c r="J9" s="434" t="s">
        <v>1500</v>
      </c>
      <c r="K9" s="391" t="s">
        <v>197</v>
      </c>
      <c r="L9" s="392">
        <v>3</v>
      </c>
      <c r="M9" s="393" t="s">
        <v>380</v>
      </c>
      <c r="N9" s="419" t="s">
        <v>352</v>
      </c>
      <c r="O9" s="397"/>
      <c r="P9" s="398"/>
      <c r="Q9" s="397" t="s">
        <v>362</v>
      </c>
      <c r="R9" s="399">
        <v>18</v>
      </c>
      <c r="S9" s="397"/>
      <c r="T9" s="399"/>
      <c r="U9" s="399"/>
      <c r="V9" s="430" t="str">
        <f>IFERROR(VLOOKUP($O9, dropdown!$S$4:$T$15, 2, FALSE),
 IFERROR(VLOOKUP($Q9, dropdown!$S$4:$T$15, 2, FALSE),
 IFERROR(VLOOKUP($S9, dropdown!$S$4:$T$15, 2, FALSE),
 "")))</f>
        <v>Q1</v>
      </c>
      <c r="W9" s="392"/>
      <c r="X9" s="56"/>
      <c r="AB9" s="11"/>
      <c r="AE9" s="11"/>
    </row>
    <row r="10" spans="2:31" ht="14" x14ac:dyDescent="0.2">
      <c r="B10" s="175" t="str">
        <f>$Q$7</f>
        <v>In Operation</v>
      </c>
      <c r="C10" s="13" t="s">
        <v>51</v>
      </c>
      <c r="D10" s="40" t="s">
        <v>45</v>
      </c>
      <c r="E10" s="40" t="s">
        <v>149</v>
      </c>
      <c r="F10" s="40" t="s">
        <v>150</v>
      </c>
      <c r="G10" s="40" t="s">
        <v>151</v>
      </c>
      <c r="I10" s="18">
        <f t="shared" ref="I10:I41" si="0">IF($K10="","",$I9+1)</f>
        <v>2</v>
      </c>
      <c r="J10" s="435" t="s">
        <v>1501</v>
      </c>
      <c r="K10" s="57" t="s">
        <v>200</v>
      </c>
      <c r="L10" s="28">
        <v>4</v>
      </c>
      <c r="M10" s="264" t="s">
        <v>380</v>
      </c>
      <c r="N10" s="401" t="s">
        <v>352</v>
      </c>
      <c r="O10" s="397"/>
      <c r="P10" s="398"/>
      <c r="Q10" s="397" t="s">
        <v>362</v>
      </c>
      <c r="R10" s="399">
        <v>22.6</v>
      </c>
      <c r="S10" s="397"/>
      <c r="T10" s="399"/>
      <c r="U10" s="399"/>
      <c r="V10" s="430" t="str">
        <f>IFERROR(VLOOKUP($O10, dropdown!$S$4:$T$15, 2, FALSE),
 IFERROR(VLOOKUP($Q10, dropdown!$S$4:$T$15, 2, FALSE),
 IFERROR(VLOOKUP($S10, dropdown!$S$4:$T$15, 2, FALSE),
 "")))</f>
        <v>Q1</v>
      </c>
      <c r="W10" s="28"/>
      <c r="X10" s="56"/>
      <c r="AB10" s="11"/>
      <c r="AE10" s="11"/>
    </row>
    <row r="11" spans="2:31" ht="14" x14ac:dyDescent="0.2">
      <c r="B11" s="41" t="s">
        <v>188</v>
      </c>
      <c r="C11" s="17" t="s">
        <v>189</v>
      </c>
      <c r="D11" s="176">
        <f>SUMIFS($L$9:$L$107,$N$9:$N$107,$B11,$V$9:$V$107,$D$10)</f>
        <v>0</v>
      </c>
      <c r="E11" s="176">
        <f>SUMIFS($L$9:$L$107,$N$9:$N$107,$B11,$V$9:$V$107,$E$10)</f>
        <v>0</v>
      </c>
      <c r="F11" s="176">
        <f>SUMIFS($L$9:$L$107,$N$9:$N$107,$B11,$V$9:$V$107,$F$10)</f>
        <v>0</v>
      </c>
      <c r="G11" s="176">
        <f>SUMIFS($L$9:$L$107,$N$9:$N$107,$B11,$V$9:$V$107,$G$10)</f>
        <v>0</v>
      </c>
      <c r="I11" s="18">
        <f t="shared" si="0"/>
        <v>3</v>
      </c>
      <c r="J11" s="435" t="s">
        <v>1501</v>
      </c>
      <c r="K11" s="57" t="s">
        <v>200</v>
      </c>
      <c r="L11" s="28">
        <v>4</v>
      </c>
      <c r="M11" s="264" t="s">
        <v>372</v>
      </c>
      <c r="N11" s="401" t="s">
        <v>352</v>
      </c>
      <c r="O11" s="397"/>
      <c r="P11" s="398"/>
      <c r="Q11" s="397"/>
      <c r="R11" s="399"/>
      <c r="S11" s="397"/>
      <c r="T11" s="399"/>
      <c r="U11" s="399"/>
      <c r="V11" s="430" t="str">
        <f>IFERROR(VLOOKUP($O11, dropdown!$S$4:$T$15, 2, FALSE),
 IFERROR(VLOOKUP($Q11, dropdown!$S$4:$T$15, 2, FALSE),
 IFERROR(VLOOKUP($S11, dropdown!$S$4:$T$15, 2, FALSE),
 "")))</f>
        <v/>
      </c>
      <c r="W11" s="28"/>
      <c r="X11" s="56"/>
      <c r="AB11" s="11"/>
      <c r="AE11" s="11"/>
    </row>
    <row r="12" spans="2:31" ht="14" x14ac:dyDescent="0.2">
      <c r="B12" s="17" t="s">
        <v>184</v>
      </c>
      <c r="C12" s="17" t="s">
        <v>189</v>
      </c>
      <c r="D12" s="176">
        <f>SUMIFS($L$9:$L$107,$N$9:$N$107,$B12,$V$9:$V$107,$D$10)</f>
        <v>7</v>
      </c>
      <c r="E12" s="176">
        <f>SUMIFS($L$9:$L$107,$N$9:$N$107,$B12,$V$9:$V$107,$E$10)</f>
        <v>0</v>
      </c>
      <c r="F12" s="176">
        <f>SUMIFS($L$9:$L$107,$N$9:$N$107,$B12,$V$9:$V$107,$F$10)</f>
        <v>0</v>
      </c>
      <c r="G12" s="176">
        <f>SUMIFS($L$9:$L$107,$N$9:$N$107,$B12,$V$9:$V$107,$G$10)</f>
        <v>0</v>
      </c>
      <c r="I12" s="18" t="str">
        <f t="shared" si="0"/>
        <v/>
      </c>
      <c r="J12" s="435"/>
      <c r="K12" s="57"/>
      <c r="L12" s="28"/>
      <c r="M12" s="264"/>
      <c r="N12" s="401"/>
      <c r="O12" s="397"/>
      <c r="P12" s="398"/>
      <c r="Q12" s="397"/>
      <c r="R12" s="399"/>
      <c r="S12" s="397"/>
      <c r="T12" s="399"/>
      <c r="U12" s="399"/>
      <c r="V12" s="430" t="str">
        <f>IFERROR(VLOOKUP($O12, dropdown!$S$4:$T$15, 2, FALSE),
 IFERROR(VLOOKUP($Q12, dropdown!$S$4:$T$15, 2, FALSE),
 IFERROR(VLOOKUP($S12, dropdown!$S$4:$T$15, 2, FALSE),
 "")))</f>
        <v/>
      </c>
      <c r="W12" s="28"/>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0</v>
      </c>
      <c r="I13" s="18" t="str">
        <f t="shared" si="0"/>
        <v/>
      </c>
      <c r="J13" s="435"/>
      <c r="K13" s="57"/>
      <c r="L13" s="28"/>
      <c r="M13" s="264"/>
      <c r="N13" s="401"/>
      <c r="O13" s="397"/>
      <c r="P13" s="398"/>
      <c r="Q13" s="397"/>
      <c r="R13" s="399"/>
      <c r="S13" s="397"/>
      <c r="T13" s="399"/>
      <c r="U13" s="399"/>
      <c r="V13" s="430" t="str">
        <f>IFERROR(VLOOKUP($O13, dropdown!$S$4:$T$15, 2, FALSE),
 IFERROR(VLOOKUP($Q13, dropdown!$S$4:$T$15, 2, FALSE),
 IFERROR(VLOOKUP($S13, dropdown!$S$4:$T$15, 2, FALSE),
 "")))</f>
        <v/>
      </c>
      <c r="W13" s="28"/>
      <c r="AB13" s="11"/>
      <c r="AE13" s="11"/>
    </row>
    <row r="14" spans="2:31" ht="17" customHeight="1" x14ac:dyDescent="0.2">
      <c r="D14" s="177" t="str">
        <f>IF(SUM(D$11:D$13)&gt;0,"x","")</f>
        <v>x</v>
      </c>
      <c r="E14" s="177" t="str">
        <f t="shared" ref="E14:G14" si="1">IF(SUM(E$11:E$13)&gt;0,"x","")</f>
        <v/>
      </c>
      <c r="F14" s="177" t="str">
        <f t="shared" si="1"/>
        <v/>
      </c>
      <c r="G14" s="177" t="str">
        <f t="shared" si="1"/>
        <v/>
      </c>
      <c r="I14" s="18" t="str">
        <f t="shared" si="0"/>
        <v/>
      </c>
      <c r="J14" s="435"/>
      <c r="K14" s="57"/>
      <c r="L14" s="28"/>
      <c r="M14" s="264"/>
      <c r="N14" s="401"/>
      <c r="O14" s="397"/>
      <c r="P14" s="398"/>
      <c r="Q14" s="397"/>
      <c r="R14" s="399"/>
      <c r="S14" s="397"/>
      <c r="T14" s="399"/>
      <c r="U14" s="399"/>
      <c r="V14" s="430" t="str">
        <f>IFERROR(VLOOKUP($O14, dropdown!$S$4:$T$15, 2, FALSE),
 IFERROR(VLOOKUP($Q14, dropdown!$S$4:$T$15, 2, FALSE),
 IFERROR(VLOOKUP($S14, dropdown!$S$4:$T$15, 2, FALSE),
 "")))</f>
        <v/>
      </c>
      <c r="W14" s="28"/>
      <c r="AB14" s="11"/>
      <c r="AE14" s="11"/>
    </row>
    <row r="15" spans="2:31" ht="17" customHeight="1" x14ac:dyDescent="0.2">
      <c r="B15" s="119" t="s">
        <v>38</v>
      </c>
      <c r="I15" s="18" t="str">
        <f t="shared" si="0"/>
        <v/>
      </c>
      <c r="J15" s="435"/>
      <c r="K15" s="57"/>
      <c r="L15" s="28"/>
      <c r="M15" s="264"/>
      <c r="N15" s="401"/>
      <c r="O15" s="397"/>
      <c r="P15" s="398"/>
      <c r="Q15" s="397"/>
      <c r="R15" s="399"/>
      <c r="S15" s="397"/>
      <c r="T15" s="399"/>
      <c r="U15" s="399"/>
      <c r="V15" s="430" t="str">
        <f>IFERROR(VLOOKUP($O15, dropdown!$S$4:$T$15, 2, FALSE),
 IFERROR(VLOOKUP($Q15, dropdown!$S$4:$T$15, 2, FALSE),
 IFERROR(VLOOKUP($S15, dropdown!$S$4:$T$15, 2, FALSE),
 "")))</f>
        <v/>
      </c>
      <c r="W15" s="28"/>
      <c r="AB15" s="11"/>
      <c r="AE15" s="11"/>
    </row>
    <row r="16" spans="2:31" ht="14" x14ac:dyDescent="0.2">
      <c r="B16" s="120" t="s">
        <v>175</v>
      </c>
      <c r="I16" s="18" t="str">
        <f t="shared" si="0"/>
        <v/>
      </c>
      <c r="J16" s="435"/>
      <c r="K16" s="57"/>
      <c r="L16" s="28"/>
      <c r="M16" s="264"/>
      <c r="N16" s="401"/>
      <c r="O16" s="397"/>
      <c r="P16" s="398"/>
      <c r="Q16" s="397"/>
      <c r="R16" s="399"/>
      <c r="S16" s="397"/>
      <c r="T16" s="399"/>
      <c r="U16" s="399"/>
      <c r="V16" s="430" t="str">
        <f>IFERROR(VLOOKUP($O16, dropdown!$S$4:$T$15, 2, FALSE),
 IFERROR(VLOOKUP($Q16, dropdown!$S$4:$T$15, 2, FALSE),
 IFERROR(VLOOKUP($S16, dropdown!$S$4:$T$15, 2, FALSE),
 "")))</f>
        <v/>
      </c>
      <c r="W16" s="28"/>
      <c r="AB16" s="11"/>
      <c r="AE16" s="11"/>
    </row>
    <row r="17" spans="2:31" ht="15" customHeight="1" x14ac:dyDescent="0.2">
      <c r="B17" s="121" t="s">
        <v>176</v>
      </c>
      <c r="I17" s="18" t="str">
        <f t="shared" si="0"/>
        <v/>
      </c>
      <c r="J17" s="435"/>
      <c r="K17" s="57"/>
      <c r="L17" s="28"/>
      <c r="M17" s="264"/>
      <c r="N17" s="401"/>
      <c r="O17" s="397"/>
      <c r="P17" s="398"/>
      <c r="Q17" s="397"/>
      <c r="R17" s="399"/>
      <c r="S17" s="397"/>
      <c r="T17" s="399"/>
      <c r="U17" s="399"/>
      <c r="V17" s="430" t="str">
        <f>IFERROR(VLOOKUP($O17, dropdown!$S$4:$T$15, 2, FALSE),
 IFERROR(VLOOKUP($Q17, dropdown!$S$4:$T$15, 2, FALSE),
 IFERROR(VLOOKUP($S17, dropdown!$S$4:$T$15, 2, FALSE),
 "")))</f>
        <v/>
      </c>
      <c r="W17" s="28"/>
      <c r="AB17" s="11"/>
      <c r="AE17" s="11"/>
    </row>
    <row r="18" spans="2:31" ht="15" customHeight="1" x14ac:dyDescent="0.2">
      <c r="B18" s="122" t="s">
        <v>177</v>
      </c>
      <c r="I18" s="18" t="str">
        <f t="shared" si="0"/>
        <v/>
      </c>
      <c r="J18" s="435"/>
      <c r="K18" s="57"/>
      <c r="L18" s="28"/>
      <c r="M18" s="264"/>
      <c r="N18" s="401"/>
      <c r="O18" s="397"/>
      <c r="P18" s="398"/>
      <c r="Q18" s="397"/>
      <c r="R18" s="399"/>
      <c r="S18" s="397"/>
      <c r="T18" s="399"/>
      <c r="U18" s="399"/>
      <c r="V18" s="430" t="str">
        <f>IFERROR(VLOOKUP($O18, dropdown!$S$4:$T$15, 2, FALSE),
 IFERROR(VLOOKUP($Q18, dropdown!$S$4:$T$15, 2, FALSE),
 IFERROR(VLOOKUP($S18, dropdown!$S$4:$T$15, 2, FALSE),
 "")))</f>
        <v/>
      </c>
      <c r="W18" s="28"/>
      <c r="AB18" s="11"/>
      <c r="AE18" s="11"/>
    </row>
    <row r="19" spans="2:31" ht="27" x14ac:dyDescent="0.2">
      <c r="B19" s="382" t="s">
        <v>190</v>
      </c>
      <c r="I19" s="18" t="str">
        <f t="shared" si="0"/>
        <v/>
      </c>
      <c r="J19" s="435"/>
      <c r="K19" s="57"/>
      <c r="L19" s="28"/>
      <c r="M19" s="264"/>
      <c r="N19" s="401"/>
      <c r="O19" s="397"/>
      <c r="P19" s="398"/>
      <c r="Q19" s="397"/>
      <c r="R19" s="399"/>
      <c r="S19" s="397"/>
      <c r="T19" s="399"/>
      <c r="U19" s="399"/>
      <c r="V19" s="430" t="str">
        <f>IFERROR(VLOOKUP($O19, dropdown!$S$4:$T$15, 2, FALSE),
 IFERROR(VLOOKUP($Q19, dropdown!$S$4:$T$15, 2, FALSE),
 IFERROR(VLOOKUP($S19, dropdown!$S$4:$T$15, 2, FALSE),
 "")))</f>
        <v/>
      </c>
      <c r="W19" s="28"/>
      <c r="AB19" s="11"/>
      <c r="AE19" s="11"/>
    </row>
    <row r="20" spans="2:31" ht="14" x14ac:dyDescent="0.2">
      <c r="I20" s="18" t="str">
        <f t="shared" si="0"/>
        <v/>
      </c>
      <c r="J20" s="435"/>
      <c r="K20" s="57"/>
      <c r="L20" s="28"/>
      <c r="M20" s="264"/>
      <c r="N20" s="401"/>
      <c r="O20" s="397"/>
      <c r="P20" s="398"/>
      <c r="Q20" s="397"/>
      <c r="R20" s="399"/>
      <c r="S20" s="397"/>
      <c r="T20" s="399"/>
      <c r="U20" s="399"/>
      <c r="V20" s="430" t="str">
        <f>IFERROR(VLOOKUP($O20, dropdown!$S$4:$T$15, 2, FALSE),
 IFERROR(VLOOKUP($Q20, dropdown!$S$4:$T$15, 2, FALSE),
 IFERROR(VLOOKUP($S20, dropdown!$S$4:$T$15, 2, FALSE),
 "")))</f>
        <v/>
      </c>
      <c r="W20" s="28"/>
      <c r="AB20" s="11"/>
      <c r="AE20" s="11"/>
    </row>
    <row r="21" spans="2:31" ht="14" x14ac:dyDescent="0.2">
      <c r="B21" s="166" t="s">
        <v>191</v>
      </c>
      <c r="I21" s="18" t="str">
        <f t="shared" si="0"/>
        <v/>
      </c>
      <c r="J21" s="435"/>
      <c r="K21" s="57"/>
      <c r="L21" s="28"/>
      <c r="M21" s="264"/>
      <c r="N21" s="401"/>
      <c r="O21" s="397"/>
      <c r="P21" s="398"/>
      <c r="Q21" s="397"/>
      <c r="R21" s="399"/>
      <c r="S21" s="397"/>
      <c r="T21" s="399"/>
      <c r="U21" s="399"/>
      <c r="V21" s="430" t="str">
        <f>IFERROR(VLOOKUP($O21, dropdown!$S$4:$T$15, 2, FALSE),
 IFERROR(VLOOKUP($Q21, dropdown!$S$4:$T$15, 2, FALSE),
 IFERROR(VLOOKUP($S21, dropdown!$S$4:$T$15, 2, FALSE),
 "")))</f>
        <v/>
      </c>
      <c r="W21" s="28"/>
      <c r="AB21" s="11"/>
      <c r="AE21" s="11"/>
    </row>
    <row r="22" spans="2:31" ht="14" x14ac:dyDescent="0.2">
      <c r="B22" s="460" t="s">
        <v>192</v>
      </c>
      <c r="C22" s="451" t="s">
        <v>5</v>
      </c>
      <c r="D22" s="452"/>
      <c r="E22" s="451" t="s">
        <v>193</v>
      </c>
      <c r="F22" s="453"/>
      <c r="G22" s="453"/>
      <c r="I22" s="18" t="str">
        <f t="shared" si="0"/>
        <v/>
      </c>
      <c r="J22" s="435"/>
      <c r="K22" s="57"/>
      <c r="L22" s="28"/>
      <c r="M22" s="264"/>
      <c r="N22" s="401"/>
      <c r="O22" s="397"/>
      <c r="P22" s="398"/>
      <c r="Q22" s="397"/>
      <c r="R22" s="399"/>
      <c r="S22" s="397"/>
      <c r="T22" s="399"/>
      <c r="U22" s="399"/>
      <c r="V22" s="430" t="str">
        <f>IFERROR(VLOOKUP($O22, dropdown!$S$4:$T$15, 2, FALSE),
 IFERROR(VLOOKUP($Q22, dropdown!$S$4:$T$15, 2, FALSE),
 IFERROR(VLOOKUP($S22, dropdown!$S$4:$T$15, 2, FALSE),
 "")))</f>
        <v/>
      </c>
      <c r="W22" s="28"/>
      <c r="AB22" s="11"/>
      <c r="AE22" s="11"/>
    </row>
    <row r="23" spans="2:31" ht="14" x14ac:dyDescent="0.2">
      <c r="B23" s="461"/>
      <c r="C23" s="451"/>
      <c r="D23" s="452"/>
      <c r="E23" s="451"/>
      <c r="F23" s="453"/>
      <c r="G23" s="453"/>
      <c r="I23" s="18" t="str">
        <f t="shared" si="0"/>
        <v/>
      </c>
      <c r="J23" s="435"/>
      <c r="K23" s="57"/>
      <c r="L23" s="28"/>
      <c r="M23" s="264"/>
      <c r="N23" s="401"/>
      <c r="O23" s="397"/>
      <c r="P23" s="398"/>
      <c r="Q23" s="397"/>
      <c r="R23" s="399"/>
      <c r="S23" s="397"/>
      <c r="T23" s="399"/>
      <c r="U23" s="399"/>
      <c r="V23" s="430" t="str">
        <f>IFERROR(VLOOKUP($O23, dropdown!$S$4:$T$15, 2, FALSE),
 IFERROR(VLOOKUP($Q23, dropdown!$S$4:$T$15, 2, FALSE),
 IFERROR(VLOOKUP($S23, dropdown!$S$4:$T$15, 2, FALSE),
 "")))</f>
        <v/>
      </c>
      <c r="W23" s="28"/>
      <c r="AB23" s="11"/>
      <c r="AE23" s="11"/>
    </row>
    <row r="24" spans="2:31" ht="14" x14ac:dyDescent="0.2">
      <c r="B24" s="454" t="s">
        <v>194</v>
      </c>
      <c r="C24" s="454" t="s">
        <v>195</v>
      </c>
      <c r="D24" s="454"/>
      <c r="E24" s="454" t="s">
        <v>196</v>
      </c>
      <c r="F24" s="454"/>
      <c r="G24" s="454"/>
      <c r="I24" s="18" t="str">
        <f t="shared" si="0"/>
        <v/>
      </c>
      <c r="J24" s="435"/>
      <c r="K24" s="57"/>
      <c r="L24" s="28"/>
      <c r="M24" s="264"/>
      <c r="N24" s="401"/>
      <c r="O24" s="397"/>
      <c r="P24" s="398"/>
      <c r="Q24" s="397"/>
      <c r="R24" s="399"/>
      <c r="S24" s="397"/>
      <c r="T24" s="399"/>
      <c r="U24" s="399"/>
      <c r="V24" s="430" t="str">
        <f>IFERROR(VLOOKUP($O24, dropdown!$S$4:$T$15, 2, FALSE),
 IFERROR(VLOOKUP($Q24, dropdown!$S$4:$T$15, 2, FALSE),
 IFERROR(VLOOKUP($S24, dropdown!$S$4:$T$15, 2, FALSE),
 "")))</f>
        <v/>
      </c>
      <c r="W24" s="28"/>
      <c r="X24" s="56"/>
      <c r="AB24" s="11"/>
      <c r="AE24" s="11"/>
    </row>
    <row r="25" spans="2:31" ht="14" x14ac:dyDescent="0.2">
      <c r="B25" s="454"/>
      <c r="C25" s="454"/>
      <c r="D25" s="454"/>
      <c r="E25" s="454"/>
      <c r="F25" s="454"/>
      <c r="G25" s="454"/>
      <c r="I25" s="18" t="str">
        <f t="shared" si="0"/>
        <v/>
      </c>
      <c r="J25" s="435"/>
      <c r="K25" s="57"/>
      <c r="L25" s="28"/>
      <c r="M25" s="264"/>
      <c r="N25" s="401"/>
      <c r="O25" s="397"/>
      <c r="P25" s="398"/>
      <c r="Q25" s="397"/>
      <c r="R25" s="399"/>
      <c r="S25" s="397"/>
      <c r="T25" s="399"/>
      <c r="U25" s="399"/>
      <c r="V25" s="430" t="str">
        <f>IFERROR(VLOOKUP($O25, dropdown!$S$4:$T$15, 2, FALSE),
 IFERROR(VLOOKUP($Q25, dropdown!$S$4:$T$15, 2, FALSE),
 IFERROR(VLOOKUP($S25, dropdown!$S$4:$T$15, 2, FALSE),
 "")))</f>
        <v/>
      </c>
      <c r="W25" s="28"/>
      <c r="X25" s="56"/>
      <c r="AB25" s="11"/>
      <c r="AE25" s="11"/>
    </row>
    <row r="26" spans="2:31" ht="14" x14ac:dyDescent="0.2">
      <c r="B26" s="454" t="s">
        <v>197</v>
      </c>
      <c r="C26" s="454" t="s">
        <v>198</v>
      </c>
      <c r="D26" s="454"/>
      <c r="E26" s="454" t="s">
        <v>199</v>
      </c>
      <c r="F26" s="454"/>
      <c r="G26" s="454"/>
      <c r="I26" s="18" t="str">
        <f t="shared" si="0"/>
        <v/>
      </c>
      <c r="J26" s="435"/>
      <c r="K26" s="57"/>
      <c r="L26" s="28"/>
      <c r="M26" s="264"/>
      <c r="N26" s="401"/>
      <c r="O26" s="397"/>
      <c r="P26" s="398"/>
      <c r="Q26" s="397"/>
      <c r="R26" s="399"/>
      <c r="S26" s="397"/>
      <c r="T26" s="399"/>
      <c r="U26" s="399"/>
      <c r="V26" s="430" t="str">
        <f>IFERROR(VLOOKUP($O26, dropdown!$S$4:$T$15, 2, FALSE),
 IFERROR(VLOOKUP($Q26, dropdown!$S$4:$T$15, 2, FALSE),
 IFERROR(VLOOKUP($S26, dropdown!$S$4:$T$15, 2, FALSE),
 "")))</f>
        <v/>
      </c>
      <c r="W26" s="28"/>
      <c r="X26" s="56"/>
      <c r="AB26" s="11"/>
      <c r="AE26" s="11"/>
    </row>
    <row r="27" spans="2:31" ht="14" x14ac:dyDescent="0.2">
      <c r="B27" s="454"/>
      <c r="C27" s="454"/>
      <c r="D27" s="454"/>
      <c r="E27" s="454"/>
      <c r="F27" s="454"/>
      <c r="G27" s="454"/>
      <c r="I27" s="18" t="str">
        <f t="shared" si="0"/>
        <v/>
      </c>
      <c r="J27" s="435"/>
      <c r="K27" s="57"/>
      <c r="L27" s="28"/>
      <c r="M27" s="264"/>
      <c r="N27" s="401"/>
      <c r="O27" s="397"/>
      <c r="P27" s="398"/>
      <c r="Q27" s="397"/>
      <c r="R27" s="399"/>
      <c r="S27" s="397"/>
      <c r="T27" s="399"/>
      <c r="U27" s="399"/>
      <c r="V27" s="430" t="str">
        <f>IFERROR(VLOOKUP($O27, dropdown!$S$4:$T$15, 2, FALSE),
 IFERROR(VLOOKUP($Q27, dropdown!$S$4:$T$15, 2, FALSE),
 IFERROR(VLOOKUP($S27, dropdown!$S$4:$T$15, 2, FALSE),
 "")))</f>
        <v/>
      </c>
      <c r="W27" s="28"/>
      <c r="X27" s="56"/>
      <c r="AB27" s="11"/>
      <c r="AE27" s="11"/>
    </row>
    <row r="28" spans="2:31" ht="14" x14ac:dyDescent="0.2">
      <c r="B28" s="454" t="s">
        <v>200</v>
      </c>
      <c r="C28" s="454" t="s">
        <v>201</v>
      </c>
      <c r="D28" s="454"/>
      <c r="E28" s="454" t="s">
        <v>202</v>
      </c>
      <c r="F28" s="454"/>
      <c r="G28" s="454"/>
      <c r="I28" s="18" t="str">
        <f t="shared" si="0"/>
        <v/>
      </c>
      <c r="J28" s="435"/>
      <c r="K28" s="57"/>
      <c r="L28" s="28"/>
      <c r="M28" s="264"/>
      <c r="N28" s="401"/>
      <c r="O28" s="397"/>
      <c r="P28" s="398"/>
      <c r="Q28" s="397"/>
      <c r="R28" s="399"/>
      <c r="S28" s="397"/>
      <c r="T28" s="399"/>
      <c r="U28" s="399"/>
      <c r="V28" s="430" t="str">
        <f>IFERROR(VLOOKUP($O28, dropdown!$S$4:$T$15, 2, FALSE),
 IFERROR(VLOOKUP($Q28, dropdown!$S$4:$T$15, 2, FALSE),
 IFERROR(VLOOKUP($S28, dropdown!$S$4:$T$15, 2, FALSE),
 "")))</f>
        <v/>
      </c>
      <c r="W28" s="28"/>
      <c r="X28" s="56"/>
      <c r="AB28" s="11"/>
      <c r="AE28" s="11"/>
    </row>
    <row r="29" spans="2:31" ht="14" x14ac:dyDescent="0.2">
      <c r="B29" s="454"/>
      <c r="C29" s="454"/>
      <c r="D29" s="454"/>
      <c r="E29" s="454"/>
      <c r="F29" s="454"/>
      <c r="G29" s="454"/>
      <c r="I29" s="18" t="str">
        <f t="shared" si="0"/>
        <v/>
      </c>
      <c r="J29" s="435"/>
      <c r="K29" s="57"/>
      <c r="L29" s="28"/>
      <c r="M29" s="264"/>
      <c r="N29" s="401"/>
      <c r="O29" s="397"/>
      <c r="P29" s="398"/>
      <c r="Q29" s="397"/>
      <c r="R29" s="399"/>
      <c r="S29" s="397"/>
      <c r="T29" s="399"/>
      <c r="U29" s="399"/>
      <c r="V29" s="430" t="str">
        <f>IFERROR(VLOOKUP($O29, dropdown!$S$4:$T$15, 2, FALSE),
 IFERROR(VLOOKUP($Q29, dropdown!$S$4:$T$15, 2, FALSE),
 IFERROR(VLOOKUP($S29, dropdown!$S$4:$T$15, 2, FALSE),
 "")))</f>
        <v/>
      </c>
      <c r="W29" s="28"/>
      <c r="X29" s="56"/>
      <c r="AB29" s="11"/>
      <c r="AE29" s="11"/>
    </row>
    <row r="30" spans="2:31" ht="14" x14ac:dyDescent="0.2">
      <c r="B30" s="454" t="s">
        <v>203</v>
      </c>
      <c r="C30" s="454" t="s">
        <v>204</v>
      </c>
      <c r="D30" s="454"/>
      <c r="E30" s="454" t="s">
        <v>205</v>
      </c>
      <c r="F30" s="454"/>
      <c r="G30" s="454"/>
      <c r="I30" s="18" t="str">
        <f t="shared" si="0"/>
        <v/>
      </c>
      <c r="J30" s="435"/>
      <c r="K30" s="57"/>
      <c r="L30" s="28"/>
      <c r="M30" s="264"/>
      <c r="N30" s="401"/>
      <c r="O30" s="397"/>
      <c r="P30" s="398"/>
      <c r="Q30" s="397"/>
      <c r="R30" s="399"/>
      <c r="S30" s="397"/>
      <c r="T30" s="399"/>
      <c r="U30" s="399"/>
      <c r="V30" s="430" t="str">
        <f>IFERROR(VLOOKUP($O30, dropdown!$S$4:$T$15, 2, FALSE),
 IFERROR(VLOOKUP($Q30, dropdown!$S$4:$T$15, 2, FALSE),
 IFERROR(VLOOKUP($S30, dropdown!$S$4:$T$15, 2, FALSE),
 "")))</f>
        <v/>
      </c>
      <c r="W30" s="28"/>
      <c r="X30" s="56"/>
      <c r="AB30" s="11"/>
      <c r="AE30" s="11"/>
    </row>
    <row r="31" spans="2:31" ht="14" x14ac:dyDescent="0.2">
      <c r="B31" s="454"/>
      <c r="C31" s="454"/>
      <c r="D31" s="454"/>
      <c r="E31" s="454"/>
      <c r="F31" s="454"/>
      <c r="G31" s="454"/>
      <c r="I31" s="18" t="str">
        <f t="shared" si="0"/>
        <v/>
      </c>
      <c r="J31" s="435"/>
      <c r="K31" s="57"/>
      <c r="L31" s="28"/>
      <c r="M31" s="264"/>
      <c r="N31" s="401"/>
      <c r="O31" s="397"/>
      <c r="P31" s="398"/>
      <c r="Q31" s="397"/>
      <c r="R31" s="399"/>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t="str">
        <f t="shared" si="0"/>
        <v/>
      </c>
      <c r="J32" s="435"/>
      <c r="K32" s="57"/>
      <c r="L32" s="28"/>
      <c r="M32" s="264"/>
      <c r="N32" s="401"/>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t="str">
        <f t="shared" si="0"/>
        <v/>
      </c>
      <c r="J33" s="435"/>
      <c r="K33" s="57"/>
      <c r="L33" s="28"/>
      <c r="M33" s="264"/>
      <c r="N33" s="401"/>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5"/>
      <c r="K34" s="57"/>
      <c r="L34" s="28"/>
      <c r="M34" s="264"/>
      <c r="N34" s="401"/>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t="str">
        <f t="shared" si="0"/>
        <v/>
      </c>
      <c r="J35" s="435"/>
      <c r="K35" s="57"/>
      <c r="L35" s="28"/>
      <c r="M35" s="264"/>
      <c r="N35" s="401"/>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 ref="C6:G6"/>
    <mergeCell ref="C7:G7"/>
    <mergeCell ref="C22:D23"/>
    <mergeCell ref="E22:G23"/>
    <mergeCell ref="E24:G25"/>
  </mergeCells>
  <conditionalFormatting sqref="O9:O107">
    <cfRule type="expression" dxfId="5" priority="6">
      <formula>$N9="New installation"</formula>
    </cfRule>
  </conditionalFormatting>
  <conditionalFormatting sqref="P9:P107">
    <cfRule type="expression" dxfId="4" priority="5">
      <formula>$N9="New installation"</formula>
    </cfRule>
  </conditionalFormatting>
  <conditionalFormatting sqref="Q9:Q107">
    <cfRule type="expression" dxfId="3" priority="4">
      <formula>$N9="In operation"</formula>
    </cfRule>
  </conditionalFormatting>
  <conditionalFormatting sqref="R9:R107">
    <cfRule type="expression" dxfId="2" priority="3">
      <formula>$N9="In operation"</formula>
    </cfRule>
  </conditionalFormatting>
  <conditionalFormatting sqref="S9:S107">
    <cfRule type="expression" dxfId="1" priority="2">
      <formula>$N9="Disposed"</formula>
    </cfRule>
  </conditionalFormatting>
  <conditionalFormatting sqref="T9:U107">
    <cfRule type="expression" dxfId="0"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zoomScaleNormal="100" workbookViewId="0">
      <selection activeCell="N13" sqref="N13"/>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t="str">
        <f>'1. Data Info and Summary'!$D$2</f>
        <v>Legazpi Branch</v>
      </c>
      <c r="C4" s="37"/>
      <c r="D4" s="38">
        <f>IF('1. Data Info and Summary'!$D$3=0,"-",'1. Data Info and Summary'!$D$3)</f>
        <v>2025</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7" t="s">
        <v>1431</v>
      </c>
      <c r="D6" s="448"/>
      <c r="E6" s="448"/>
      <c r="F6" s="448"/>
      <c r="G6" s="449"/>
    </row>
    <row r="7" spans="2:17" ht="12.75" customHeight="1" x14ac:dyDescent="0.2">
      <c r="B7" s="278" t="s">
        <v>174</v>
      </c>
      <c r="C7" s="450">
        <v>45910</v>
      </c>
      <c r="D7" s="448"/>
      <c r="E7" s="448"/>
      <c r="F7" s="448"/>
      <c r="G7" s="449"/>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32788</v>
      </c>
      <c r="M8" s="47">
        <v>132190</v>
      </c>
      <c r="N8" s="165" t="s">
        <v>375</v>
      </c>
      <c r="O8" s="195"/>
      <c r="P8" s="48"/>
      <c r="Q8" s="20"/>
    </row>
    <row r="9" spans="2:17" x14ac:dyDescent="0.2">
      <c r="I9" s="194"/>
      <c r="J9" s="58" t="s">
        <v>89</v>
      </c>
      <c r="K9" s="426" t="str">
        <f>IF(Electricity[[#This Row],[Month]]&lt;&gt;"",VLOOKUP(Electricity[[#This Row],[Month]], dropdown!$S$4:$T$15, 2, FALSE),"")</f>
        <v>Q1</v>
      </c>
      <c r="L9" s="29">
        <v>35140</v>
      </c>
      <c r="M9" s="47">
        <v>230261.55</v>
      </c>
      <c r="N9" s="165" t="s">
        <v>375</v>
      </c>
      <c r="O9" s="195"/>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5600</v>
      </c>
      <c r="M10" s="47">
        <v>93364.41</v>
      </c>
      <c r="N10" s="165" t="s">
        <v>375</v>
      </c>
      <c r="O10" s="195"/>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29288</v>
      </c>
      <c r="M11" s="47">
        <v>277224.40000000002</v>
      </c>
      <c r="N11" s="165" t="s">
        <v>375</v>
      </c>
      <c r="O11" s="195"/>
      <c r="P11" s="48"/>
      <c r="Q11" s="20"/>
    </row>
    <row r="12" spans="2:17" x14ac:dyDescent="0.2">
      <c r="B12" s="17" t="s">
        <v>207</v>
      </c>
      <c r="C12" s="17" t="s">
        <v>208</v>
      </c>
      <c r="D12" s="41">
        <f>SUMIFS(Electricity[Consumption (kWh)],Electricity[Quarter],D$11)</f>
        <v>73528</v>
      </c>
      <c r="E12" s="41">
        <f>SUMIFS(Electricity[Consumption (kWh)],Electricity[Quarter],E$11)</f>
        <v>108836</v>
      </c>
      <c r="F12" s="41">
        <f>SUMIFS(Electricity[Consumption (kWh)],Electricity[Quarter],F$11)</f>
        <v>0</v>
      </c>
      <c r="G12" s="41">
        <f>SUMIFS(Electricity[Consumption (kWh)],Electricity[Quarter],G$11)</f>
        <v>0</v>
      </c>
      <c r="I12" s="194"/>
      <c r="J12" s="58" t="s">
        <v>379</v>
      </c>
      <c r="K12" s="426" t="str">
        <f>IF(Electricity[[#This Row],[Month]]&lt;&gt;"",VLOOKUP(Electricity[[#This Row],[Month]], dropdown!$S$4:$T$15, 2, FALSE),"")</f>
        <v>Q2</v>
      </c>
      <c r="L12" s="29">
        <v>37772</v>
      </c>
      <c r="M12" s="47">
        <v>335492</v>
      </c>
      <c r="N12" s="165" t="s">
        <v>375</v>
      </c>
      <c r="O12" s="195"/>
      <c r="P12" s="48"/>
      <c r="Q12" s="20"/>
    </row>
    <row r="13" spans="2:17" x14ac:dyDescent="0.2">
      <c r="D13" s="167" t="str">
        <f>IF(SUM(D$12:D$12)&gt;0,"x","")</f>
        <v>x</v>
      </c>
      <c r="E13" s="167" t="str">
        <f>IF(SUM(E$12:E$12)&gt;0,"x","")</f>
        <v>x</v>
      </c>
      <c r="F13" s="167" t="str">
        <f>IF(SUM(F$12:F$12)&gt;0,"x","")</f>
        <v/>
      </c>
      <c r="G13" s="167" t="str">
        <f>IF(SUM(G$12:G$12)&gt;0,"x","")</f>
        <v/>
      </c>
      <c r="I13" s="194"/>
      <c r="J13" s="58" t="s">
        <v>386</v>
      </c>
      <c r="K13" s="426" t="str">
        <f>IF(Electricity[[#This Row],[Month]]&lt;&gt;"",VLOOKUP(Electricity[[#This Row],[Month]], dropdown!$S$4:$T$15, 2, FALSE),"")</f>
        <v>Q2</v>
      </c>
      <c r="L13" s="29">
        <v>41776</v>
      </c>
      <c r="M13" s="47">
        <v>354701.66</v>
      </c>
      <c r="N13" s="165" t="s">
        <v>375</v>
      </c>
      <c r="O13" s="195"/>
      <c r="P13" s="48"/>
      <c r="Q13" s="20"/>
    </row>
    <row r="14" spans="2:17" x14ac:dyDescent="0.2">
      <c r="B14" s="119" t="s">
        <v>38</v>
      </c>
      <c r="D14" s="168"/>
      <c r="I14" s="194"/>
      <c r="J14" s="58"/>
      <c r="K14" s="426" t="str">
        <f>IF(Electricity[[#This Row],[Month]]&lt;&gt;"",VLOOKUP(Electricity[[#This Row],[Month]], dropdown!$S$4:$T$15, 2, FALSE),"")</f>
        <v/>
      </c>
      <c r="L14" s="29"/>
      <c r="M14" s="47"/>
      <c r="N14" s="165"/>
      <c r="O14" s="195"/>
      <c r="P14" s="48"/>
      <c r="Q14" s="20"/>
    </row>
    <row r="15" spans="2:17" x14ac:dyDescent="0.2">
      <c r="B15" s="120" t="s">
        <v>175</v>
      </c>
      <c r="D15" s="168"/>
      <c r="I15" s="194"/>
      <c r="J15" s="58"/>
      <c r="K15" s="426" t="str">
        <f>IF(Electricity[[#This Row],[Month]]&lt;&gt;"",VLOOKUP(Electricity[[#This Row],[Month]], dropdown!$S$4:$T$15, 2, FALSE),"")</f>
        <v/>
      </c>
      <c r="L15" s="29"/>
      <c r="M15" s="47"/>
      <c r="N15" s="165"/>
      <c r="O15" s="195"/>
      <c r="P15" s="48"/>
      <c r="Q15" s="20"/>
    </row>
    <row r="16" spans="2:17" x14ac:dyDescent="0.2">
      <c r="B16" s="121" t="s">
        <v>176</v>
      </c>
      <c r="I16" s="194"/>
      <c r="J16" s="58"/>
      <c r="K16" s="426" t="str">
        <f>IF(Electricity[[#This Row],[Month]]&lt;&gt;"",VLOOKUP(Electricity[[#This Row],[Month]], dropdown!$S$4:$T$15, 2, FALSE),"")</f>
        <v/>
      </c>
      <c r="L16" s="29"/>
      <c r="M16" s="47"/>
      <c r="N16" s="165"/>
      <c r="O16" s="195"/>
      <c r="P16" s="48"/>
      <c r="Q16" s="20"/>
    </row>
    <row r="17" spans="2:17" x14ac:dyDescent="0.2">
      <c r="B17" s="122" t="s">
        <v>177</v>
      </c>
      <c r="I17" s="194"/>
      <c r="J17" s="58"/>
      <c r="K17" s="426" t="str">
        <f>IF(Electricity[[#This Row],[Month]]&lt;&gt;"",VLOOKUP(Electricity[[#This Row],[Month]], dropdown!$S$4:$T$15, 2, FALSE),"")</f>
        <v/>
      </c>
      <c r="L17" s="29"/>
      <c r="M17" s="47"/>
      <c r="N17" s="165"/>
      <c r="O17" s="195"/>
      <c r="P17" s="48"/>
      <c r="Q17" s="20"/>
    </row>
    <row r="18" spans="2:17" x14ac:dyDescent="0.2">
      <c r="I18" s="194" t="str">
        <f t="shared" ref="I18:I49" si="0">IF($L18="","",$I17+1)</f>
        <v/>
      </c>
      <c r="J18" s="58"/>
      <c r="K18" s="426" t="str">
        <f>IF(Electricity[[#This Row],[Month]]&lt;&gt;"",VLOOKUP(Electricity[[#This Row],[Month]], dropdown!$S$4:$T$15, 2, FALSE),"")</f>
        <v/>
      </c>
      <c r="L18" s="29"/>
      <c r="M18" s="47"/>
      <c r="N18" s="165"/>
      <c r="O18" s="195"/>
      <c r="P18" s="48"/>
      <c r="Q18" s="20"/>
    </row>
    <row r="19" spans="2:17" x14ac:dyDescent="0.2">
      <c r="I19" s="194" t="str">
        <f t="shared" si="0"/>
        <v/>
      </c>
      <c r="J19" s="58"/>
      <c r="K19" s="426" t="str">
        <f>IF(Electricity[[#This Row],[Month]]&lt;&gt;"",VLOOKUP(Electricity[[#This Row],[Month]], dropdown!$S$4:$T$15, 2, FALSE),"")</f>
        <v/>
      </c>
      <c r="L19" s="29"/>
      <c r="M19" s="47"/>
      <c r="N19" s="165"/>
      <c r="O19" s="195"/>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topLeftCell="A3" zoomScaleNormal="142" workbookViewId="0">
      <selection activeCell="M12" sqref="M12"/>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t="str">
        <f>'1. Data Info and Summary'!$D$2</f>
        <v>Legazpi Branch</v>
      </c>
      <c r="C4" s="37"/>
      <c r="D4" s="38">
        <f>IF('1. Data Info and Summary'!$D$3=0,"-",'1. Data Info and Summary'!$D$3)</f>
        <v>2025</v>
      </c>
      <c r="E4" s="37"/>
      <c r="F4" s="37" t="s">
        <v>211</v>
      </c>
      <c r="G4" s="39"/>
      <c r="I4" s="429"/>
      <c r="J4" s="293"/>
      <c r="K4" s="293"/>
      <c r="L4" s="293"/>
      <c r="M4" s="293"/>
      <c r="N4" s="297"/>
    </row>
    <row r="5" spans="2:16" x14ac:dyDescent="0.2">
      <c r="B5" s="271"/>
      <c r="D5" s="271"/>
    </row>
    <row r="6" spans="2:16" ht="30" x14ac:dyDescent="0.2">
      <c r="B6" s="278" t="s">
        <v>172</v>
      </c>
      <c r="C6" s="447" t="s">
        <v>1431</v>
      </c>
      <c r="D6" s="448"/>
      <c r="E6" s="448"/>
      <c r="F6" s="448"/>
      <c r="G6" s="449"/>
      <c r="I6" s="248" t="s">
        <v>173</v>
      </c>
      <c r="J6" s="249" t="s">
        <v>39</v>
      </c>
      <c r="K6" s="249" t="s">
        <v>43</v>
      </c>
      <c r="L6" s="250" t="s">
        <v>115</v>
      </c>
      <c r="M6" s="352" t="s">
        <v>212</v>
      </c>
      <c r="N6" s="253" t="s">
        <v>54</v>
      </c>
      <c r="O6" s="349"/>
    </row>
    <row r="7" spans="2:16" x14ac:dyDescent="0.2">
      <c r="B7" s="278" t="s">
        <v>174</v>
      </c>
      <c r="C7" s="450">
        <v>45910</v>
      </c>
      <c r="D7" s="448"/>
      <c r="E7" s="448"/>
      <c r="F7" s="448"/>
      <c r="G7" s="449"/>
      <c r="I7" s="194">
        <f>IF(Electricity6[[#This Row],[Month]]="","",1)</f>
        <v>1</v>
      </c>
      <c r="J7" s="58" t="s">
        <v>338</v>
      </c>
      <c r="K7" s="18" t="str">
        <f>IF(Electricity6[[#This Row],[Month]]&lt;&gt;"",VLOOKUP(Electricity6[[#This Row],[Month]], dropdown!$S$4:$T$15, 2, FALSE),"")</f>
        <v>Q1</v>
      </c>
      <c r="L7" s="29">
        <v>0</v>
      </c>
      <c r="M7" s="350">
        <v>0</v>
      </c>
      <c r="N7" s="195"/>
    </row>
    <row r="8" spans="2:16" x14ac:dyDescent="0.2">
      <c r="B8" s="258"/>
      <c r="C8" s="258"/>
      <c r="D8" s="258"/>
      <c r="E8" s="258"/>
      <c r="F8" s="258"/>
      <c r="G8" s="258"/>
      <c r="I8" s="194">
        <f>IF(Electricity6[[#This Row],[Month]]="","",I7+1)</f>
        <v>2</v>
      </c>
      <c r="J8" s="58" t="s">
        <v>89</v>
      </c>
      <c r="K8" s="18" t="str">
        <f>IF(Electricity6[[#This Row],[Month]]&lt;&gt;"",VLOOKUP(Electricity6[[#This Row],[Month]], dropdown!$S$4:$T$15, 2, FALSE),"")</f>
        <v>Q1</v>
      </c>
      <c r="L8" s="29">
        <v>0</v>
      </c>
      <c r="M8" s="350">
        <v>0</v>
      </c>
      <c r="N8" s="195"/>
    </row>
    <row r="9" spans="2:16" ht="15" x14ac:dyDescent="0.2">
      <c r="B9" s="334" t="s">
        <v>213</v>
      </c>
      <c r="C9" s="14"/>
      <c r="D9" s="14"/>
      <c r="E9" s="14"/>
      <c r="F9" s="14"/>
      <c r="G9" s="14"/>
      <c r="I9" s="194">
        <f>IF(Electricity6[[#This Row],[Month]]="","",I8+1)</f>
        <v>3</v>
      </c>
      <c r="J9" s="58" t="s">
        <v>362</v>
      </c>
      <c r="K9" s="18" t="str">
        <f>IF(Electricity6[[#This Row],[Month]]&lt;&gt;"",VLOOKUP(Electricity6[[#This Row],[Month]], dropdown!$S$4:$T$15, 2, FALSE),"")</f>
        <v>Q1</v>
      </c>
      <c r="L9" s="29">
        <v>0</v>
      </c>
      <c r="M9" s="350">
        <v>0</v>
      </c>
      <c r="N9" s="195"/>
    </row>
    <row r="10" spans="2:16" x14ac:dyDescent="0.2">
      <c r="B10" s="13" t="s">
        <v>214</v>
      </c>
      <c r="C10" s="13" t="s">
        <v>51</v>
      </c>
      <c r="D10" s="40" t="s">
        <v>45</v>
      </c>
      <c r="E10" s="40" t="s">
        <v>149</v>
      </c>
      <c r="F10" s="40" t="s">
        <v>150</v>
      </c>
      <c r="G10" s="40" t="s">
        <v>151</v>
      </c>
      <c r="I10" s="194">
        <f>IF(Electricity6[[#This Row],[Month]]="","",I9+1)</f>
        <v>4</v>
      </c>
      <c r="J10" s="58" t="s">
        <v>371</v>
      </c>
      <c r="K10" s="18" t="str">
        <f>IF(Electricity6[[#This Row],[Month]]&lt;&gt;"",VLOOKUP(Electricity6[[#This Row],[Month]], dropdown!$S$4:$T$15, 2, FALSE),"")</f>
        <v>Q2</v>
      </c>
      <c r="L10" s="29">
        <v>0</v>
      </c>
      <c r="M10" s="350">
        <v>0</v>
      </c>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f>IF(Electricity6[[#This Row],[Month]]="","",I10+1)</f>
        <v>5</v>
      </c>
      <c r="J11" s="58" t="s">
        <v>379</v>
      </c>
      <c r="K11" s="18" t="str">
        <f>IF(Electricity6[[#This Row],[Month]]&lt;&gt;"",VLOOKUP(Electricity6[[#This Row],[Month]], dropdown!$S$4:$T$15, 2, FALSE),"")</f>
        <v>Q2</v>
      </c>
      <c r="L11" s="29">
        <v>0</v>
      </c>
      <c r="M11" s="350">
        <v>0</v>
      </c>
      <c r="N11" s="195"/>
    </row>
    <row r="12" spans="2:16" s="258" customFormat="1" x14ac:dyDescent="0.2">
      <c r="B12" s="11"/>
      <c r="C12" s="11"/>
      <c r="D12" s="167" t="str">
        <f>IF(SUM(D$11:D$11)&gt;0,"x","")</f>
        <v/>
      </c>
      <c r="E12" s="167" t="str">
        <f>IF(SUM(E$11:E$11)&gt;0,"x","")</f>
        <v/>
      </c>
      <c r="F12" s="167" t="str">
        <f>IF(SUM(F$11:F$11)&gt;0,"x","")</f>
        <v/>
      </c>
      <c r="G12" s="167" t="str">
        <f>IF(SUM(G$11:G$11)&gt;0,"x","")</f>
        <v/>
      </c>
      <c r="H12" s="20"/>
      <c r="I12" s="194">
        <f>IF(Electricity6[[#This Row],[Month]]="","",I11+1)</f>
        <v>6</v>
      </c>
      <c r="J12" s="58" t="s">
        <v>386</v>
      </c>
      <c r="K12" s="18" t="str">
        <f>IF(Electricity6[[#This Row],[Month]]&lt;&gt;"",VLOOKUP(Electricity6[[#This Row],[Month]], dropdown!$S$4:$T$15, 2, FALSE),"")</f>
        <v>Q2</v>
      </c>
      <c r="L12" s="29">
        <v>0</v>
      </c>
      <c r="M12" s="350">
        <v>0</v>
      </c>
      <c r="N12" s="195"/>
      <c r="P12" s="259"/>
    </row>
    <row r="13" spans="2:16" x14ac:dyDescent="0.2">
      <c r="B13" s="119" t="s">
        <v>38</v>
      </c>
      <c r="D13" s="168"/>
      <c r="I13" s="194">
        <f>IF(Electricity6[[#This Row],[Month]]="","",I12+1)</f>
        <v>7</v>
      </c>
      <c r="J13" s="58" t="s">
        <v>390</v>
      </c>
      <c r="K13" s="18" t="str">
        <f>IF(Electricity6[[#This Row],[Month]]&lt;&gt;"",VLOOKUP(Electricity6[[#This Row],[Month]], dropdown!$S$4:$T$15, 2, FALSE),"")</f>
        <v>Q3</v>
      </c>
      <c r="L13" s="29">
        <v>0</v>
      </c>
      <c r="M13" s="350">
        <v>0</v>
      </c>
      <c r="N13" s="195"/>
    </row>
    <row r="14" spans="2:16" x14ac:dyDescent="0.2">
      <c r="B14" s="120" t="s">
        <v>175</v>
      </c>
      <c r="D14" s="168"/>
      <c r="I14" s="194">
        <f>IF(Electricity6[[#This Row],[Month]]="","",I13+1)</f>
        <v>8</v>
      </c>
      <c r="J14" s="58" t="s">
        <v>41</v>
      </c>
      <c r="K14" s="18" t="str">
        <f>IF(Electricity6[[#This Row],[Month]]&lt;&gt;"",VLOOKUP(Electricity6[[#This Row],[Month]], dropdown!$S$4:$T$15, 2, FALSE),"")</f>
        <v>Q3</v>
      </c>
      <c r="L14" s="29">
        <v>0</v>
      </c>
      <c r="M14" s="350">
        <v>0</v>
      </c>
      <c r="N14" s="195"/>
    </row>
    <row r="15" spans="2:16" x14ac:dyDescent="0.2">
      <c r="B15" s="121" t="s">
        <v>176</v>
      </c>
      <c r="I15" s="194">
        <f>IF(Electricity6[[#This Row],[Month]]="","",I14+1)</f>
        <v>9</v>
      </c>
      <c r="J15" s="58" t="s">
        <v>397</v>
      </c>
      <c r="K15" s="18" t="str">
        <f>IF(Electricity6[[#This Row],[Month]]&lt;&gt;"",VLOOKUP(Electricity6[[#This Row],[Month]], dropdown!$S$4:$T$15, 2, FALSE),"")</f>
        <v>Q3</v>
      </c>
      <c r="L15" s="29">
        <v>0</v>
      </c>
      <c r="M15" s="350">
        <v>0</v>
      </c>
      <c r="N15" s="195"/>
    </row>
    <row r="16" spans="2:16" x14ac:dyDescent="0.2">
      <c r="B16" s="122" t="s">
        <v>177</v>
      </c>
      <c r="I16" s="194">
        <f>IF(Electricity6[[#This Row],[Month]]="","",I15+1)</f>
        <v>10</v>
      </c>
      <c r="J16" s="58" t="s">
        <v>400</v>
      </c>
      <c r="K16" s="18" t="str">
        <f>IF(Electricity6[[#This Row],[Month]]&lt;&gt;"",VLOOKUP(Electricity6[[#This Row],[Month]], dropdown!$S$4:$T$15, 2, FALSE),"")</f>
        <v>Q4</v>
      </c>
      <c r="L16" s="29">
        <v>0</v>
      </c>
      <c r="M16" s="350">
        <v>0</v>
      </c>
      <c r="N16" s="195"/>
      <c r="P16" s="20"/>
    </row>
    <row r="17" spans="2:16" x14ac:dyDescent="0.2">
      <c r="I17" s="194">
        <f>IF(Electricity6[[#This Row],[Month]]="","",I16+1)</f>
        <v>11</v>
      </c>
      <c r="J17" s="58" t="s">
        <v>404</v>
      </c>
      <c r="K17" s="18" t="str">
        <f>IF(Electricity6[[#This Row],[Month]]&lt;&gt;"",VLOOKUP(Electricity6[[#This Row],[Month]], dropdown!$S$4:$T$15, 2, FALSE),"")</f>
        <v>Q4</v>
      </c>
      <c r="L17" s="29">
        <v>0</v>
      </c>
      <c r="M17" s="350">
        <v>0</v>
      </c>
      <c r="N17" s="195"/>
      <c r="P17" s="20"/>
    </row>
    <row r="18" spans="2:16" x14ac:dyDescent="0.2">
      <c r="I18" s="194">
        <f>IF(Electricity6[[#This Row],[Month]]="","",I17+1)</f>
        <v>12</v>
      </c>
      <c r="J18" s="58" t="s">
        <v>407</v>
      </c>
      <c r="K18" s="18" t="str">
        <f>IF(Electricity6[[#This Row],[Month]]&lt;&gt;"",VLOOKUP(Electricity6[[#This Row],[Month]], dropdown!$S$4:$T$15, 2, FALSE),"")</f>
        <v>Q4</v>
      </c>
      <c r="L18" s="29">
        <v>0</v>
      </c>
      <c r="M18" s="350">
        <v>0</v>
      </c>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topLeftCell="I1" zoomScaleNormal="100" workbookViewId="0">
      <selection activeCell="Q21" sqref="Q21"/>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t="str">
        <f>'1. Data Info and Summary'!$D$2</f>
        <v>Legazpi Branch</v>
      </c>
      <c r="C4" s="37"/>
      <c r="D4" s="38">
        <f>IF('1. Data Info and Summary'!$D$3=0,"-",'1. Data Info and Summary'!$D$3)</f>
        <v>2025</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7" t="s">
        <v>1431</v>
      </c>
      <c r="D6" s="448"/>
      <c r="E6" s="448"/>
      <c r="F6" s="448"/>
      <c r="G6" s="449"/>
      <c r="I6" s="134" t="s">
        <v>120</v>
      </c>
      <c r="J6" s="65"/>
      <c r="K6" s="65"/>
      <c r="L6" s="65"/>
      <c r="M6" s="65"/>
      <c r="N6" s="66"/>
      <c r="P6" s="134" t="s">
        <v>128</v>
      </c>
      <c r="Q6" s="65"/>
      <c r="R6" s="65"/>
      <c r="S6" s="65"/>
      <c r="T6" s="66"/>
      <c r="U6" s="66"/>
      <c r="W6" s="20"/>
    </row>
    <row r="7" spans="2:23" ht="12.75" customHeight="1" x14ac:dyDescent="0.2">
      <c r="B7" s="278" t="s">
        <v>174</v>
      </c>
      <c r="C7" s="450">
        <v>45910</v>
      </c>
      <c r="D7" s="448"/>
      <c r="E7" s="448"/>
      <c r="F7" s="448"/>
      <c r="G7" s="449"/>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194</v>
      </c>
      <c r="N8" s="195"/>
      <c r="O8" s="44"/>
      <c r="P8" s="194">
        <f>IF($T8="","",1)</f>
        <v>1</v>
      </c>
      <c r="Q8" s="58" t="s">
        <v>338</v>
      </c>
      <c r="R8" s="18" t="str">
        <f>IF(water_out[[#This Row],[Month]]&lt;&gt;"",VLOOKUP(water_out[[#This Row],[Month]], dropdown!$S$4:$T$15, 2, FALSE),"")</f>
        <v>Q1</v>
      </c>
      <c r="S8" s="60" t="s">
        <v>364</v>
      </c>
      <c r="T8" s="29">
        <v>194</v>
      </c>
      <c r="U8" s="195" t="s">
        <v>1523</v>
      </c>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207</v>
      </c>
      <c r="N9" s="195"/>
      <c r="O9" s="44"/>
      <c r="P9" s="194">
        <f>IF($T9="","",$P8+1)</f>
        <v>2</v>
      </c>
      <c r="Q9" s="58" t="s">
        <v>89</v>
      </c>
      <c r="R9" s="18" t="str">
        <f>IF(water_out[[#This Row],[Month]]&lt;&gt;"",VLOOKUP(water_out[[#This Row],[Month]], dropdown!$S$4:$T$15, 2, FALSE),"")</f>
        <v>Q1</v>
      </c>
      <c r="S9" s="60" t="s">
        <v>364</v>
      </c>
      <c r="T9" s="29">
        <v>207</v>
      </c>
      <c r="U9" s="195" t="s">
        <v>1523</v>
      </c>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124</v>
      </c>
      <c r="M10" s="29">
        <v>165</v>
      </c>
      <c r="N10" s="195"/>
      <c r="O10" s="44"/>
      <c r="P10" s="194">
        <f t="shared" ref="P10:P73" si="1">IF($T10="","",$P9+1)</f>
        <v>3</v>
      </c>
      <c r="Q10" s="58" t="s">
        <v>362</v>
      </c>
      <c r="R10" s="18" t="str">
        <f>IF(water_out[[#This Row],[Month]]&lt;&gt;"",VLOOKUP(water_out[[#This Row],[Month]], dropdown!$S$4:$T$15, 2, FALSE),"")</f>
        <v>Q1</v>
      </c>
      <c r="S10" s="60" t="s">
        <v>364</v>
      </c>
      <c r="T10" s="29">
        <v>165</v>
      </c>
      <c r="U10" s="195" t="s">
        <v>1523</v>
      </c>
      <c r="W10" s="20"/>
    </row>
    <row r="11" spans="2:23" ht="14" x14ac:dyDescent="0.2">
      <c r="B11" s="17" t="s">
        <v>120</v>
      </c>
      <c r="C11" s="17" t="s">
        <v>220</v>
      </c>
      <c r="D11" s="41">
        <f>SUMIFS(water_in[Volume (m3)],water_in[Quarter],D$10)</f>
        <v>566</v>
      </c>
      <c r="E11" s="41">
        <f>SUMIFS(water_in[Volume (m3)],water_in[Quarter],E$10)</f>
        <v>1050</v>
      </c>
      <c r="F11" s="41">
        <f>SUMIFS(water_in[Volume (m3)],water_in[Quarter],F$10)</f>
        <v>0</v>
      </c>
      <c r="G11" s="41">
        <f>SUMIFS(water_in[Volume (m3)],water_in[Quarter],G$10)</f>
        <v>0</v>
      </c>
      <c r="I11" s="194">
        <f t="shared" si="0"/>
        <v>4</v>
      </c>
      <c r="J11" s="58" t="s">
        <v>371</v>
      </c>
      <c r="K11" s="426" t="str">
        <f>IF(water_in[[#This Row],[Month]]&lt;&gt;"",VLOOKUP(water_in[[#This Row],[Month]], dropdown!$S$4:$T$15, 2, FALSE),"")</f>
        <v>Q2</v>
      </c>
      <c r="L11" s="58" t="s">
        <v>124</v>
      </c>
      <c r="M11" s="29">
        <v>175</v>
      </c>
      <c r="N11" s="195"/>
      <c r="O11" s="44"/>
      <c r="P11" s="194">
        <f t="shared" si="1"/>
        <v>4</v>
      </c>
      <c r="Q11" s="58" t="s">
        <v>371</v>
      </c>
      <c r="R11" s="18" t="str">
        <f>IF(water_out[[#This Row],[Month]]&lt;&gt;"",VLOOKUP(water_out[[#This Row],[Month]], dropdown!$S$4:$T$15, 2, FALSE),"")</f>
        <v>Q2</v>
      </c>
      <c r="S11" s="60" t="s">
        <v>364</v>
      </c>
      <c r="T11" s="29">
        <v>175</v>
      </c>
      <c r="U11" s="195" t="s">
        <v>1523</v>
      </c>
      <c r="W11" s="20"/>
    </row>
    <row r="12" spans="2:23" ht="14" x14ac:dyDescent="0.2">
      <c r="B12" s="17" t="s">
        <v>128</v>
      </c>
      <c r="C12" s="17" t="s">
        <v>220</v>
      </c>
      <c r="D12" s="41">
        <f>SUMIFS(water_out[Volume2 (m3)],water_out[Quarter],D$10)</f>
        <v>566</v>
      </c>
      <c r="E12" s="41">
        <f>SUMIFS(water_out[Volume2 (m3)],water_out[Quarter],E$10)</f>
        <v>1050</v>
      </c>
      <c r="F12" s="41">
        <f>SUMIFS(water_out[Volume2 (m3)],water_out[Quarter],F$10)</f>
        <v>0</v>
      </c>
      <c r="G12" s="41">
        <f>SUMIFS(water_out[Volume2 (m3)],water_out[Quarter],G$10)</f>
        <v>0</v>
      </c>
      <c r="I12" s="194">
        <f t="shared" si="0"/>
        <v>5</v>
      </c>
      <c r="J12" s="58" t="s">
        <v>379</v>
      </c>
      <c r="K12" s="426" t="str">
        <f>IF(water_in[[#This Row],[Month]]&lt;&gt;"",VLOOKUP(water_in[[#This Row],[Month]], dropdown!$S$4:$T$15, 2, FALSE),"")</f>
        <v>Q2</v>
      </c>
      <c r="L12" s="58" t="s">
        <v>124</v>
      </c>
      <c r="M12" s="29">
        <v>242</v>
      </c>
      <c r="N12" s="195"/>
      <c r="O12" s="44" t="str">
        <f>IF(J12="","",VLOOKUP($J12,dropdown!$S$3:$T$15,2,FALSE))</f>
        <v>Q2</v>
      </c>
      <c r="P12" s="194">
        <f t="shared" si="1"/>
        <v>5</v>
      </c>
      <c r="Q12" s="58" t="s">
        <v>379</v>
      </c>
      <c r="R12" s="18" t="str">
        <f>IF(water_out[[#This Row],[Month]]&lt;&gt;"",VLOOKUP(water_out[[#This Row],[Month]], dropdown!$S$4:$T$15, 2, FALSE),"")</f>
        <v>Q2</v>
      </c>
      <c r="S12" s="60" t="s">
        <v>364</v>
      </c>
      <c r="T12" s="29">
        <v>242</v>
      </c>
      <c r="U12" s="195" t="s">
        <v>1523</v>
      </c>
      <c r="W12" s="20"/>
    </row>
    <row r="13" spans="2:23" ht="14" x14ac:dyDescent="0.2">
      <c r="D13" s="167" t="str">
        <f>IF(SUM(D$11:D$12)&gt;0,"x","")</f>
        <v>x</v>
      </c>
      <c r="E13" s="167" t="str">
        <f>IF(SUM(E$11:E$12)&gt;0,"x","")</f>
        <v>x</v>
      </c>
      <c r="F13" s="167" t="str">
        <f>IF(SUM(F$11:F$12)&gt;0,"x","")</f>
        <v/>
      </c>
      <c r="G13" s="167" t="str">
        <f>IF(SUM(G$11:G$12)&gt;0,"x","")</f>
        <v/>
      </c>
      <c r="I13" s="194">
        <f t="shared" si="0"/>
        <v>6</v>
      </c>
      <c r="J13" s="58" t="s">
        <v>386</v>
      </c>
      <c r="K13" s="426" t="str">
        <f>IF(water_in[[#This Row],[Month]]&lt;&gt;"",VLOOKUP(water_in[[#This Row],[Month]], dropdown!$S$4:$T$15, 2, FALSE),"")</f>
        <v>Q2</v>
      </c>
      <c r="L13" s="58" t="s">
        <v>124</v>
      </c>
      <c r="M13" s="29">
        <v>633</v>
      </c>
      <c r="N13" s="195"/>
      <c r="O13" s="44" t="str">
        <f>IF(J13="","",VLOOKUP($J13,dropdown!$S$3:$T$15,2,FALSE))</f>
        <v>Q2</v>
      </c>
      <c r="P13" s="194">
        <f t="shared" si="1"/>
        <v>6</v>
      </c>
      <c r="Q13" s="58" t="s">
        <v>386</v>
      </c>
      <c r="R13" s="18" t="str">
        <f>IF(water_out[[#This Row],[Month]]&lt;&gt;"",VLOOKUP(water_out[[#This Row],[Month]], dropdown!$S$4:$T$15, 2, FALSE),"")</f>
        <v>Q2</v>
      </c>
      <c r="S13" s="60" t="s">
        <v>364</v>
      </c>
      <c r="T13" s="29">
        <v>633</v>
      </c>
      <c r="U13" s="195" t="s">
        <v>1523</v>
      </c>
      <c r="W13" s="20"/>
    </row>
    <row r="14" spans="2:23" ht="14" x14ac:dyDescent="0.2">
      <c r="B14" s="119" t="s">
        <v>38</v>
      </c>
      <c r="I14" s="194" t="str">
        <f t="shared" si="0"/>
        <v/>
      </c>
      <c r="J14" s="58"/>
      <c r="K14" s="426" t="str">
        <f>IF(water_in[[#This Row],[Month]]&lt;&gt;"",VLOOKUP(water_in[[#This Row],[Month]], dropdown!$S$4:$T$15, 2, FALSE),"")</f>
        <v/>
      </c>
      <c r="L14" s="58"/>
      <c r="M14" s="29"/>
      <c r="N14" s="195"/>
      <c r="O14" s="44" t="str">
        <f>IF(J14="","",VLOOKUP($J14,dropdown!$S$3:$T$15,2,FALSE))</f>
        <v/>
      </c>
      <c r="P14" s="194" t="str">
        <f t="shared" si="1"/>
        <v/>
      </c>
      <c r="Q14" s="58"/>
      <c r="R14" s="18" t="str">
        <f>IF(water_out[[#This Row],[Month]]&lt;&gt;"",VLOOKUP(water_out[[#This Row],[Month]], dropdown!$S$4:$T$15, 2, FALSE),"")</f>
        <v/>
      </c>
      <c r="S14" s="60"/>
      <c r="T14" s="29"/>
      <c r="U14" s="195"/>
      <c r="W14" s="20"/>
    </row>
    <row r="15" spans="2:23" ht="11" customHeight="1" x14ac:dyDescent="0.2">
      <c r="B15" s="120" t="s">
        <v>175</v>
      </c>
      <c r="I15" s="194" t="str">
        <f t="shared" si="0"/>
        <v/>
      </c>
      <c r="J15" s="58"/>
      <c r="K15" s="426" t="str">
        <f>IF(water_in[[#This Row],[Month]]&lt;&gt;"",VLOOKUP(water_in[[#This Row],[Month]], dropdown!$S$4:$T$15, 2, FALSE),"")</f>
        <v/>
      </c>
      <c r="L15" s="58"/>
      <c r="M15" s="29"/>
      <c r="N15" s="195"/>
      <c r="O15" s="44" t="str">
        <f>IF(J15="","",VLOOKUP($J15,dropdown!$S$3:$T$15,2,FALSE))</f>
        <v/>
      </c>
      <c r="P15" s="194" t="str">
        <f t="shared" si="1"/>
        <v/>
      </c>
      <c r="Q15" s="58"/>
      <c r="R15" s="18" t="str">
        <f>IF(water_out[[#This Row],[Month]]&lt;&gt;"",VLOOKUP(water_out[[#This Row],[Month]], dropdown!$S$4:$T$15, 2, FALSE),"")</f>
        <v/>
      </c>
      <c r="S15" s="60"/>
      <c r="T15" s="29"/>
      <c r="U15" s="195"/>
      <c r="W15" s="20"/>
    </row>
    <row r="16" spans="2:23" ht="14" x14ac:dyDescent="0.2">
      <c r="B16" s="121" t="s">
        <v>176</v>
      </c>
      <c r="I16" s="194" t="str">
        <f t="shared" si="0"/>
        <v/>
      </c>
      <c r="J16" s="58"/>
      <c r="K16" s="426" t="str">
        <f>IF(water_in[[#This Row],[Month]]&lt;&gt;"",VLOOKUP(water_in[[#This Row],[Month]], dropdown!$S$4:$T$15, 2, FALSE),"")</f>
        <v/>
      </c>
      <c r="L16" s="58"/>
      <c r="M16" s="29"/>
      <c r="N16" s="195"/>
      <c r="O16" s="44" t="str">
        <f>IF(J16="","",VLOOKUP($J16,dropdown!$S$3:$T$15,2,FALSE))</f>
        <v/>
      </c>
      <c r="P16" s="194" t="str">
        <f t="shared" si="1"/>
        <v/>
      </c>
      <c r="Q16" s="58"/>
      <c r="R16" s="18" t="str">
        <f>IF(water_out[[#This Row],[Month]]&lt;&gt;"",VLOOKUP(water_out[[#This Row],[Month]], dropdown!$S$4:$T$15, 2, FALSE),"")</f>
        <v/>
      </c>
      <c r="S16" s="60"/>
      <c r="T16" s="29"/>
      <c r="U16" s="195"/>
      <c r="W16" s="20"/>
    </row>
    <row r="17" spans="2:23" ht="14" x14ac:dyDescent="0.2">
      <c r="B17" s="122" t="s">
        <v>177</v>
      </c>
      <c r="I17" s="194" t="str">
        <f t="shared" si="0"/>
        <v/>
      </c>
      <c r="J17" s="58"/>
      <c r="K17" s="426" t="str">
        <f>IF(water_in[[#This Row],[Month]]&lt;&gt;"",VLOOKUP(water_in[[#This Row],[Month]], dropdown!$S$4:$T$15, 2, FALSE),"")</f>
        <v/>
      </c>
      <c r="L17" s="58"/>
      <c r="M17" s="29"/>
      <c r="N17" s="195"/>
      <c r="O17" s="44" t="str">
        <f>IF(J17="","",VLOOKUP($J17,dropdown!$S$3:$T$15,2,FALSE))</f>
        <v/>
      </c>
      <c r="P17" s="194" t="str">
        <f t="shared" si="1"/>
        <v/>
      </c>
      <c r="Q17" s="58"/>
      <c r="R17" s="18" t="str">
        <f>IF(water_out[[#This Row],[Month]]&lt;&gt;"",VLOOKUP(water_out[[#This Row],[Month]], dropdown!$S$4:$T$15, 2, FALSE),"")</f>
        <v/>
      </c>
      <c r="S17" s="60"/>
      <c r="T17" s="29"/>
      <c r="U17" s="195"/>
      <c r="V17" s="44" t="s">
        <v>43</v>
      </c>
      <c r="W17" s="20"/>
    </row>
    <row r="18" spans="2:23" ht="14" x14ac:dyDescent="0.2">
      <c r="I18" s="194" t="str">
        <f t="shared" si="0"/>
        <v/>
      </c>
      <c r="J18" s="58"/>
      <c r="K18" s="426" t="str">
        <f>IF(water_in[[#This Row],[Month]]&lt;&gt;"",VLOOKUP(water_in[[#This Row],[Month]], dropdown!$S$4:$T$15, 2, FALSE),"")</f>
        <v/>
      </c>
      <c r="L18" s="58"/>
      <c r="M18" s="29"/>
      <c r="N18" s="195"/>
      <c r="O18" s="44" t="str">
        <f>IF(J18="","",VLOOKUP($J18,dropdown!$S$3:$T$15,2,FALSE))</f>
        <v/>
      </c>
      <c r="P18" s="194" t="str">
        <f t="shared" si="1"/>
        <v/>
      </c>
      <c r="Q18" s="58"/>
      <c r="R18" s="18" t="str">
        <f>IF(water_out[[#This Row],[Month]]&lt;&gt;"",VLOOKUP(water_out[[#This Row],[Month]], dropdown!$S$4:$T$15, 2, FALSE),"")</f>
        <v/>
      </c>
      <c r="S18" s="60"/>
      <c r="T18" s="29"/>
      <c r="U18" s="195"/>
      <c r="V18" s="44" t="str">
        <f>IF(Q8="","",VLOOKUP($Q8,dropdown!$S$3:$T$15,2,FALSE))</f>
        <v>Q1</v>
      </c>
      <c r="W18" s="20"/>
    </row>
    <row r="19" spans="2:23" ht="14" x14ac:dyDescent="0.2">
      <c r="I19" s="194" t="str">
        <f t="shared" si="0"/>
        <v/>
      </c>
      <c r="J19" s="58"/>
      <c r="K19" s="426" t="str">
        <f>IF(water_in[[#This Row],[Month]]&lt;&gt;"",VLOOKUP(water_in[[#This Row],[Month]], dropdown!$S$4:$T$15, 2, FALSE),"")</f>
        <v/>
      </c>
      <c r="L19" s="58"/>
      <c r="M19" s="29"/>
      <c r="N19" s="195"/>
      <c r="O19" s="44" t="str">
        <f>IF(J19="","",VLOOKUP($J19,dropdown!$S$3:$T$15,2,FALSE))</f>
        <v/>
      </c>
      <c r="P19" s="194" t="str">
        <f t="shared" si="1"/>
        <v/>
      </c>
      <c r="Q19" s="58"/>
      <c r="R19" s="18" t="str">
        <f>IF(water_out[[#This Row],[Month]]&lt;&gt;"",VLOOKUP(water_out[[#This Row],[Month]], dropdown!$S$4:$T$15, 2, FALSE),"")</f>
        <v/>
      </c>
      <c r="S19" s="60"/>
      <c r="T19" s="29"/>
      <c r="U19" s="195"/>
      <c r="V19" s="44" t="str">
        <f>IF(Q9="","",VLOOKUP($Q9,dropdown!$S$3:$T$15,2,FALSE))</f>
        <v>Q1</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Q1</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Q2</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Q2</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Q2</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t="str">
        <f>'1. Data Info and Summary'!$D$2</f>
        <v>Legazpi Branch</v>
      </c>
      <c r="C4" s="37"/>
      <c r="D4" s="38">
        <f>'1. Data Info and Summary'!$D$3</f>
        <v>2025</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topLeftCell="B1" zoomScaleNormal="100" workbookViewId="0">
      <selection activeCell="O18" sqref="O18:O19"/>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t="str">
        <f>'1. Data Info and Summary'!$D$2</f>
        <v>Legazpi Branch</v>
      </c>
      <c r="C4" s="37"/>
      <c r="D4" s="38">
        <f>IF('1. Data Info and Summary'!$D$3=0,"-",'1. Data Info and Summary'!$D$3)</f>
        <v>2025</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47" t="s">
        <v>1431</v>
      </c>
      <c r="D6" s="448"/>
      <c r="E6" s="448"/>
      <c r="F6" s="448"/>
      <c r="G6" s="449"/>
      <c r="I6" s="409" t="s">
        <v>282</v>
      </c>
      <c r="J6" s="407"/>
      <c r="K6" s="407"/>
      <c r="L6" s="407"/>
      <c r="M6" s="408"/>
      <c r="N6" s="407"/>
      <c r="O6" s="407"/>
      <c r="Q6" s="44"/>
    </row>
    <row r="7" spans="2:17" ht="25.5" customHeight="1" x14ac:dyDescent="0.2">
      <c r="B7" s="278" t="s">
        <v>174</v>
      </c>
      <c r="C7" s="450">
        <v>45910</v>
      </c>
      <c r="D7" s="448"/>
      <c r="E7" s="448"/>
      <c r="F7" s="448"/>
      <c r="G7" s="449"/>
      <c r="I7" s="248" t="s">
        <v>173</v>
      </c>
      <c r="J7" s="249" t="s">
        <v>39</v>
      </c>
      <c r="K7" s="249" t="s">
        <v>43</v>
      </c>
      <c r="L7" s="249" t="s">
        <v>137</v>
      </c>
      <c r="M7" s="254" t="s">
        <v>140</v>
      </c>
      <c r="N7" s="255" t="s">
        <v>142</v>
      </c>
      <c r="O7" s="253" t="s">
        <v>54</v>
      </c>
      <c r="Q7" s="44"/>
    </row>
    <row r="8" spans="2:17" x14ac:dyDescent="0.2">
      <c r="I8" s="194">
        <f>IF($J8="","",1)</f>
        <v>1</v>
      </c>
      <c r="J8" s="58" t="s">
        <v>338</v>
      </c>
      <c r="K8" s="194" t="str">
        <f>IF(Waste[[#This Row],[Month]]&lt;&gt;"",VLOOKUP(Waste[[#This Row],[Month]], dropdown!$S$4:$T$15, 2, FALSE),"")</f>
        <v>Q1</v>
      </c>
      <c r="L8" s="57" t="s">
        <v>383</v>
      </c>
      <c r="M8" s="29">
        <v>6000</v>
      </c>
      <c r="N8" s="57" t="s">
        <v>313</v>
      </c>
      <c r="O8" s="195" t="s">
        <v>1530</v>
      </c>
      <c r="Q8" s="44"/>
    </row>
    <row r="9" spans="2:17" x14ac:dyDescent="0.2">
      <c r="B9" s="14" t="s">
        <v>134</v>
      </c>
      <c r="C9" s="14"/>
      <c r="D9" s="14"/>
      <c r="E9" s="14"/>
      <c r="F9" s="14"/>
      <c r="G9" s="14"/>
      <c r="I9" s="194">
        <f t="shared" ref="I9:I72" si="0">IF($J9="","",$I8+1)</f>
        <v>2</v>
      </c>
      <c r="J9" s="58" t="s">
        <v>338</v>
      </c>
      <c r="K9" s="194" t="str">
        <f>IF(Waste[[#This Row],[Month]]&lt;&gt;"",VLOOKUP(Waste[[#This Row],[Month]], dropdown!$S$4:$T$15, 2, FALSE),"")</f>
        <v>Q1</v>
      </c>
      <c r="L9" s="57" t="s">
        <v>317</v>
      </c>
      <c r="M9" s="29">
        <v>2700.3</v>
      </c>
      <c r="N9" s="57" t="s">
        <v>364</v>
      </c>
      <c r="O9" s="195" t="s">
        <v>1531</v>
      </c>
      <c r="Q9" s="44"/>
    </row>
    <row r="10" spans="2:17" x14ac:dyDescent="0.2">
      <c r="B10" s="13" t="s">
        <v>137</v>
      </c>
      <c r="C10" s="13" t="s">
        <v>51</v>
      </c>
      <c r="D10" s="40" t="s">
        <v>45</v>
      </c>
      <c r="E10" s="40" t="s">
        <v>149</v>
      </c>
      <c r="F10" s="40" t="s">
        <v>150</v>
      </c>
      <c r="G10" s="40" t="s">
        <v>151</v>
      </c>
      <c r="I10" s="194">
        <f t="shared" si="0"/>
        <v>3</v>
      </c>
      <c r="J10" s="58" t="s">
        <v>89</v>
      </c>
      <c r="K10" s="194" t="str">
        <f>IF(Waste[[#This Row],[Month]]&lt;&gt;"",VLOOKUP(Waste[[#This Row],[Month]], dropdown!$S$4:$T$15, 2, FALSE),"")</f>
        <v>Q1</v>
      </c>
      <c r="L10" s="57" t="s">
        <v>383</v>
      </c>
      <c r="M10" s="29">
        <v>6000</v>
      </c>
      <c r="N10" s="57" t="s">
        <v>313</v>
      </c>
      <c r="O10" s="195" t="s">
        <v>1530</v>
      </c>
      <c r="Q10" s="44"/>
    </row>
    <row r="11" spans="2:17" x14ac:dyDescent="0.2">
      <c r="B11" s="17" t="str">
        <f>dropdown!$B4</f>
        <v>Compostable</v>
      </c>
      <c r="C11" s="17" t="s">
        <v>283</v>
      </c>
      <c r="D11" s="41">
        <f>SUMIFS(Waste[Weight (kg)],Waste[Quarter],D$10,Waste[Waste Composition],$B$11)</f>
        <v>0</v>
      </c>
      <c r="E11" s="41">
        <f>SUMIFS(Waste[Weight (kg)],Waste[Quarter],E$10,Waste[Waste Composition],$B11)</f>
        <v>0</v>
      </c>
      <c r="F11" s="41">
        <f>SUMIFS(Waste[Weight (kg)],Waste[Quarter],F$10,Waste[Waste Composition],$B11)</f>
        <v>0</v>
      </c>
      <c r="G11" s="41">
        <f>SUMIFS(Waste[Weight (kg)],Waste[Quarter],G$10,Waste[Waste Composition],$B11)</f>
        <v>0</v>
      </c>
      <c r="I11" s="194">
        <f t="shared" si="0"/>
        <v>4</v>
      </c>
      <c r="J11" s="58" t="s">
        <v>89</v>
      </c>
      <c r="K11" s="194" t="str">
        <f>IF(Waste[[#This Row],[Month]]&lt;&gt;"",VLOOKUP(Waste[[#This Row],[Month]], dropdown!$S$4:$T$15, 2, FALSE),"")</f>
        <v>Q1</v>
      </c>
      <c r="L11" s="57" t="s">
        <v>317</v>
      </c>
      <c r="M11" s="29">
        <v>2700.3</v>
      </c>
      <c r="N11" s="57" t="s">
        <v>364</v>
      </c>
      <c r="O11" s="195" t="s">
        <v>1531</v>
      </c>
      <c r="Q11" s="44"/>
    </row>
    <row r="12" spans="2:17" x14ac:dyDescent="0.2">
      <c r="B12" s="17" t="str">
        <f>dropdown!$B5</f>
        <v>Recyclable</v>
      </c>
      <c r="C12" s="17" t="s">
        <v>283</v>
      </c>
      <c r="D12" s="41">
        <f>SUMIFS(Waste[Weight (kg)],Waste[Quarter],D$10,Waste[Waste Composition],$B12)</f>
        <v>0</v>
      </c>
      <c r="E12" s="41">
        <f>SUMIFS(Waste[Weight (kg)],Waste[Quarter],E$10,Waste[Waste Composition],$B12)</f>
        <v>0</v>
      </c>
      <c r="F12" s="41">
        <f>SUMIFS(Waste[Weight (kg)],Waste[Quarter],F$10,Waste[Waste Composition],$B12)</f>
        <v>0</v>
      </c>
      <c r="G12" s="41">
        <f>SUMIFS(Waste[Weight (kg)],Waste[Quarter],G$10,Waste[Waste Composition],$B12)</f>
        <v>0</v>
      </c>
      <c r="I12" s="194">
        <f t="shared" si="0"/>
        <v>5</v>
      </c>
      <c r="J12" s="58" t="s">
        <v>362</v>
      </c>
      <c r="K12" s="194" t="str">
        <f>IF(Waste[[#This Row],[Month]]&lt;&gt;"",VLOOKUP(Waste[[#This Row],[Month]], dropdown!$S$4:$T$15, 2, FALSE),"")</f>
        <v>Q1</v>
      </c>
      <c r="L12" s="57" t="s">
        <v>383</v>
      </c>
      <c r="M12" s="29">
        <v>6000</v>
      </c>
      <c r="N12" s="57" t="s">
        <v>313</v>
      </c>
      <c r="O12" s="195" t="s">
        <v>1530</v>
      </c>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362</v>
      </c>
      <c r="K13" s="194" t="str">
        <f>IF(Waste[[#This Row],[Month]]&lt;&gt;"",VLOOKUP(Waste[[#This Row],[Month]], dropdown!$S$4:$T$15, 2, FALSE),"")</f>
        <v>Q1</v>
      </c>
      <c r="L13" s="57" t="s">
        <v>317</v>
      </c>
      <c r="M13" s="29">
        <v>2700.3</v>
      </c>
      <c r="N13" s="57" t="s">
        <v>364</v>
      </c>
      <c r="O13" s="195" t="s">
        <v>1531</v>
      </c>
    </row>
    <row r="14" spans="2:17" ht="14" customHeight="1" x14ac:dyDescent="0.2">
      <c r="B14" s="17" t="str">
        <f>dropdown!$B7</f>
        <v>Security</v>
      </c>
      <c r="C14" s="17" t="s">
        <v>283</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f t="shared" si="0"/>
        <v>7</v>
      </c>
      <c r="J14" s="58" t="s">
        <v>371</v>
      </c>
      <c r="K14" s="194" t="str">
        <f>IF(Waste[[#This Row],[Month]]&lt;&gt;"",VLOOKUP(Waste[[#This Row],[Month]], dropdown!$S$4:$T$15, 2, FALSE),"")</f>
        <v>Q2</v>
      </c>
      <c r="L14" s="57" t="s">
        <v>383</v>
      </c>
      <c r="M14" s="29">
        <v>6000</v>
      </c>
      <c r="N14" s="57" t="s">
        <v>313</v>
      </c>
      <c r="O14" s="195" t="s">
        <v>1530</v>
      </c>
      <c r="Q14" s="44"/>
    </row>
    <row r="15" spans="2:17" ht="15" customHeight="1" x14ac:dyDescent="0.2">
      <c r="B15" s="17" t="str">
        <f>dropdown!$B8</f>
        <v>Hazardous</v>
      </c>
      <c r="C15" s="17" t="s">
        <v>283</v>
      </c>
      <c r="D15" s="41">
        <f>SUMIFS(Waste[Weight (kg)],Waste[Quarter],D$10,Waste[Waste Composition],$B15)</f>
        <v>8100.9000000000005</v>
      </c>
      <c r="E15" s="41">
        <f>SUMIFS(Waste[Weight (kg)],Waste[Quarter],E$10,Waste[Waste Composition],$B15)</f>
        <v>8700.2999999999993</v>
      </c>
      <c r="F15" s="41">
        <f>SUMIFS(Waste[Weight (kg)],Waste[Quarter],F$10,Waste[Waste Composition],$B15)</f>
        <v>0</v>
      </c>
      <c r="G15" s="41">
        <f>SUMIFS(Waste[Weight (kg)],Waste[Quarter],G$10,Waste[Waste Composition],$B15)</f>
        <v>0</v>
      </c>
      <c r="I15" s="194">
        <f t="shared" si="0"/>
        <v>8</v>
      </c>
      <c r="J15" s="58" t="s">
        <v>371</v>
      </c>
      <c r="K15" s="194" t="str">
        <f>IF(Waste[[#This Row],[Month]]&lt;&gt;"",VLOOKUP(Waste[[#This Row],[Month]], dropdown!$S$4:$T$15, 2, FALSE),"")</f>
        <v>Q2</v>
      </c>
      <c r="L15" s="57" t="s">
        <v>317</v>
      </c>
      <c r="M15" s="29">
        <v>2700.3</v>
      </c>
      <c r="N15" s="57" t="s">
        <v>364</v>
      </c>
      <c r="O15" s="195" t="s">
        <v>1531</v>
      </c>
    </row>
    <row r="16" spans="2:17" x14ac:dyDescent="0.2">
      <c r="B16" s="17" t="str">
        <f>dropdown!$B9</f>
        <v>Residual/Landfill</v>
      </c>
      <c r="C16" s="17" t="s">
        <v>283</v>
      </c>
      <c r="D16" s="41">
        <f>SUMIFS(Waste[Weight (kg)],Waste[Quarter],D$10,Waste[Waste Composition],$B16)</f>
        <v>18000</v>
      </c>
      <c r="E16" s="41">
        <f>SUMIFS(Waste[Weight (kg)],Waste[Quarter],E$10,Waste[Waste Composition],$B16)</f>
        <v>17701.900000000001</v>
      </c>
      <c r="F16" s="41">
        <f>SUMIFS(Waste[Weight (kg)],Waste[Quarter],F$10,Waste[Waste Composition],$B16)</f>
        <v>0</v>
      </c>
      <c r="G16" s="41">
        <f>SUMIFS(Waste[Weight (kg)],Waste[Quarter],G$10,Waste[Waste Composition],$B16)</f>
        <v>0</v>
      </c>
      <c r="I16" s="194">
        <f t="shared" si="0"/>
        <v>9</v>
      </c>
      <c r="J16" s="58" t="s">
        <v>379</v>
      </c>
      <c r="K16" s="194" t="str">
        <f>IF(Waste[[#This Row],[Month]]&lt;&gt;"",VLOOKUP(Waste[[#This Row],[Month]], dropdown!$S$4:$T$15, 2, FALSE),"")</f>
        <v>Q2</v>
      </c>
      <c r="L16" s="57" t="s">
        <v>383</v>
      </c>
      <c r="M16" s="29">
        <v>6000</v>
      </c>
      <c r="N16" s="57" t="s">
        <v>313</v>
      </c>
      <c r="O16" s="195" t="s">
        <v>1530</v>
      </c>
    </row>
    <row r="17" spans="2:15" x14ac:dyDescent="0.2">
      <c r="I17" s="194">
        <f t="shared" si="0"/>
        <v>10</v>
      </c>
      <c r="J17" s="58" t="s">
        <v>379</v>
      </c>
      <c r="K17" s="194" t="str">
        <f>IF(Waste[[#This Row],[Month]]&lt;&gt;"",VLOOKUP(Waste[[#This Row],[Month]], dropdown!$S$4:$T$15, 2, FALSE),"")</f>
        <v>Q2</v>
      </c>
      <c r="L17" s="57" t="s">
        <v>383</v>
      </c>
      <c r="M17" s="29">
        <v>2850.95</v>
      </c>
      <c r="N17" s="57" t="s">
        <v>364</v>
      </c>
      <c r="O17" s="195" t="s">
        <v>1531</v>
      </c>
    </row>
    <row r="18" spans="2:15" x14ac:dyDescent="0.2">
      <c r="B18" s="267" t="s">
        <v>38</v>
      </c>
      <c r="I18" s="194">
        <f t="shared" si="0"/>
        <v>11</v>
      </c>
      <c r="J18" s="58" t="s">
        <v>386</v>
      </c>
      <c r="K18" s="194" t="str">
        <f>IF(Waste[[#This Row],[Month]]&lt;&gt;"",VLOOKUP(Waste[[#This Row],[Month]], dropdown!$S$4:$T$15, 2, FALSE),"")</f>
        <v>Q2</v>
      </c>
      <c r="L18" s="57" t="s">
        <v>317</v>
      </c>
      <c r="M18" s="29">
        <v>6000</v>
      </c>
      <c r="N18" s="57" t="s">
        <v>313</v>
      </c>
      <c r="O18" s="195" t="s">
        <v>1530</v>
      </c>
    </row>
    <row r="19" spans="2:15" x14ac:dyDescent="0.2">
      <c r="B19" s="268" t="s">
        <v>175</v>
      </c>
      <c r="I19" s="194">
        <f t="shared" ref="I19" si="1">IF($J19="","",$I18+1)</f>
        <v>12</v>
      </c>
      <c r="J19" s="58" t="s">
        <v>386</v>
      </c>
      <c r="K19" s="194" t="str">
        <f>IF(Waste[[#This Row],[Month]]&lt;&gt;"",VLOOKUP(Waste[[#This Row],[Month]], dropdown!$S$4:$T$15, 2, FALSE),"")</f>
        <v>Q2</v>
      </c>
      <c r="L19" s="57" t="s">
        <v>383</v>
      </c>
      <c r="M19" s="29">
        <v>2850.95</v>
      </c>
      <c r="N19" s="57" t="s">
        <v>364</v>
      </c>
      <c r="O19" s="195" t="s">
        <v>1531</v>
      </c>
    </row>
    <row r="20" spans="2:15" x14ac:dyDescent="0.2">
      <c r="B20" s="266" t="s">
        <v>176</v>
      </c>
      <c r="I20" s="194" t="str">
        <f t="shared" si="0"/>
        <v/>
      </c>
      <c r="J20" s="58"/>
      <c r="K20" s="194" t="str">
        <f>IF(Waste[[#This Row],[Month]]&lt;&gt;"",VLOOKUP(Waste[[#This Row],[Month]], dropdown!$S$4:$T$15, 2, FALSE),"")</f>
        <v/>
      </c>
      <c r="L20" s="57"/>
      <c r="M20" s="29"/>
      <c r="N20" s="57"/>
      <c r="O20" s="195"/>
    </row>
    <row r="21" spans="2:15" x14ac:dyDescent="0.2">
      <c r="B21" s="17" t="s">
        <v>177</v>
      </c>
      <c r="I21" s="194" t="str">
        <f t="shared" si="0"/>
        <v/>
      </c>
      <c r="J21" s="58"/>
      <c r="K21" s="194" t="str">
        <f>IF(Waste[[#This Row],[Month]]&lt;&gt;"",VLOOKUP(Waste[[#This Row],[Month]], dropdown!$S$4:$T$15, 2, FALSE),"")</f>
        <v/>
      </c>
      <c r="L21" s="57"/>
      <c r="M21" s="29"/>
      <c r="N21" s="57"/>
      <c r="O21" s="195"/>
    </row>
    <row r="22" spans="2:15" x14ac:dyDescent="0.2">
      <c r="I22" s="194" t="str">
        <f t="shared" si="0"/>
        <v/>
      </c>
      <c r="J22" s="58"/>
      <c r="K22" s="194" t="str">
        <f>IF(Waste[[#This Row],[Month]]&lt;&gt;"",VLOOKUP(Waste[[#This Row],[Month]], dropdown!$S$4:$T$15, 2, FALSE),"")</f>
        <v/>
      </c>
      <c r="L22" s="57"/>
      <c r="M22" s="29"/>
      <c r="N22" s="57"/>
      <c r="O22" s="195"/>
    </row>
    <row r="23" spans="2:15" x14ac:dyDescent="0.2">
      <c r="I23" s="194" t="str">
        <f t="shared" si="0"/>
        <v/>
      </c>
      <c r="J23" s="58"/>
      <c r="K23" s="194" t="str">
        <f>IF(Waste[[#This Row],[Month]]&lt;&gt;"",VLOOKUP(Waste[[#This Row],[Month]], dropdown!$S$4:$T$15, 2, FALSE),"")</f>
        <v/>
      </c>
      <c r="L23" s="57"/>
      <c r="M23" s="29"/>
      <c r="N23" s="57"/>
      <c r="O23" s="195"/>
    </row>
    <row r="24" spans="2:15" x14ac:dyDescent="0.2">
      <c r="I24" s="194" t="str">
        <f t="shared" si="0"/>
        <v/>
      </c>
      <c r="J24" s="58"/>
      <c r="K24" s="194" t="str">
        <f>IF(Waste[[#This Row],[Month]]&lt;&gt;"",VLOOKUP(Waste[[#This Row],[Month]], dropdown!$S$4:$T$15, 2, FALSE),"")</f>
        <v/>
      </c>
      <c r="L24" s="57"/>
      <c r="M24" s="29"/>
      <c r="N24" s="57"/>
      <c r="O24" s="195"/>
    </row>
    <row r="25" spans="2:15" x14ac:dyDescent="0.2">
      <c r="I25" s="194" t="str">
        <f t="shared" si="0"/>
        <v/>
      </c>
      <c r="J25" s="58"/>
      <c r="K25" s="194" t="str">
        <f>IF(Waste[[#This Row],[Month]]&lt;&gt;"",VLOOKUP(Waste[[#This Row],[Month]], dropdown!$S$4:$T$15, 2, FALSE),"")</f>
        <v/>
      </c>
      <c r="L25" s="57"/>
      <c r="M25" s="29"/>
      <c r="N25" s="57"/>
      <c r="O25" s="195"/>
    </row>
    <row r="26" spans="2:15" x14ac:dyDescent="0.2">
      <c r="I26" s="194" t="str">
        <f t="shared" si="0"/>
        <v/>
      </c>
      <c r="J26" s="58"/>
      <c r="K26" s="194" t="str">
        <f>IF(Waste[[#This Row],[Month]]&lt;&gt;"",VLOOKUP(Waste[[#This Row],[Month]], dropdown!$S$4:$T$15, 2, FALSE),"")</f>
        <v/>
      </c>
      <c r="L26" s="57"/>
      <c r="M26" s="29"/>
      <c r="N26" s="57"/>
      <c r="O26" s="195"/>
    </row>
    <row r="27" spans="2:15" x14ac:dyDescent="0.2">
      <c r="I27" s="194" t="str">
        <f t="shared" si="0"/>
        <v/>
      </c>
      <c r="J27" s="58"/>
      <c r="K27" s="194" t="str">
        <f>IF(Waste[[#This Row],[Month]]&lt;&gt;"",VLOOKUP(Waste[[#This Row],[Month]], dropdown!$S$4:$T$15, 2, FALSE),"")</f>
        <v/>
      </c>
      <c r="L27" s="57"/>
      <c r="M27" s="29"/>
      <c r="N27" s="57"/>
      <c r="O27" s="195"/>
    </row>
    <row r="28" spans="2:15" x14ac:dyDescent="0.2">
      <c r="I28" s="194" t="str">
        <f t="shared" si="0"/>
        <v/>
      </c>
      <c r="J28" s="58"/>
      <c r="K28" s="194" t="str">
        <f>IF(Waste[[#This Row],[Month]]&lt;&gt;"",VLOOKUP(Waste[[#This Row],[Month]], dropdown!$S$4:$T$15, 2, FALSE),"")</f>
        <v/>
      </c>
      <c r="L28" s="57"/>
      <c r="M28" s="29"/>
      <c r="N28" s="57"/>
      <c r="O28" s="195"/>
    </row>
    <row r="29" spans="2:15" x14ac:dyDescent="0.2">
      <c r="I29" s="194" t="str">
        <f t="shared" si="0"/>
        <v/>
      </c>
      <c r="J29" s="58"/>
      <c r="K29" s="194" t="str">
        <f>IF(Waste[[#This Row],[Month]]&lt;&gt;"",VLOOKUP(Waste[[#This Row],[Month]], dropdown!$S$4:$T$15, 2, FALSE),"")</f>
        <v/>
      </c>
      <c r="L29" s="57"/>
      <c r="M29" s="29"/>
      <c r="N29" s="57"/>
      <c r="O29" s="195"/>
    </row>
    <row r="30" spans="2:15" x14ac:dyDescent="0.2">
      <c r="I30" s="194" t="str">
        <f t="shared" si="0"/>
        <v/>
      </c>
      <c r="J30" s="58"/>
      <c r="K30" s="194" t="str">
        <f>IF(Waste[[#This Row],[Month]]&lt;&gt;"",VLOOKUP(Waste[[#This Row],[Month]], dropdown!$S$4:$T$15, 2, FALSE),"")</f>
        <v/>
      </c>
      <c r="L30" s="57"/>
      <c r="M30" s="29"/>
      <c r="N30" s="57"/>
      <c r="O30" s="195"/>
    </row>
    <row r="31" spans="2:15" x14ac:dyDescent="0.2">
      <c r="I31" s="194" t="str">
        <f t="shared" si="0"/>
        <v/>
      </c>
      <c r="J31" s="58"/>
      <c r="K31" s="194" t="str">
        <f>IF(Waste[[#This Row],[Month]]&lt;&gt;"",VLOOKUP(Waste[[#This Row],[Month]], dropdown!$S$4:$T$15, 2, FALSE),"")</f>
        <v/>
      </c>
      <c r="L31" s="57"/>
      <c r="M31" s="29"/>
      <c r="N31" s="57"/>
      <c r="O31" s="195"/>
    </row>
    <row r="32" spans="2:15" x14ac:dyDescent="0.2">
      <c r="I32" s="194" t="str">
        <f t="shared" si="0"/>
        <v/>
      </c>
      <c r="J32" s="58"/>
      <c r="K32" s="194" t="str">
        <f>IF(Waste[[#This Row],[Month]]&lt;&gt;"",VLOOKUP(Waste[[#This Row],[Month]], dropdown!$S$4:$T$15, 2, FALSE),"")</f>
        <v/>
      </c>
      <c r="L32" s="57"/>
      <c r="M32" s="29"/>
      <c r="N32" s="57"/>
      <c r="O32" s="195"/>
    </row>
    <row r="33" spans="9:15" x14ac:dyDescent="0.2">
      <c r="I33" s="194" t="str">
        <f t="shared" si="0"/>
        <v/>
      </c>
      <c r="J33" s="58"/>
      <c r="K33" s="194" t="str">
        <f>IF(Waste[[#This Row],[Month]]&lt;&gt;"",VLOOKUP(Waste[[#This Row],[Month]], dropdown!$S$4:$T$15, 2, FALSE),"")</f>
        <v/>
      </c>
      <c r="L33" s="57"/>
      <c r="M33" s="29"/>
      <c r="N33" s="57"/>
      <c r="O33" s="195"/>
    </row>
    <row r="34" spans="9:15" x14ac:dyDescent="0.2">
      <c r="I34" s="194" t="str">
        <f t="shared" si="0"/>
        <v/>
      </c>
      <c r="J34" s="58"/>
      <c r="K34" s="194" t="str">
        <f>IF(Waste[[#This Row],[Month]]&lt;&gt;"",VLOOKUP(Waste[[#This Row],[Month]], dropdown!$S$4:$T$15, 2, FALSE),"")</f>
        <v/>
      </c>
      <c r="L34" s="57"/>
      <c r="M34" s="29"/>
      <c r="N34" s="57"/>
      <c r="O34" s="195"/>
    </row>
    <row r="35" spans="9:15" x14ac:dyDescent="0.2">
      <c r="I35" s="194" t="str">
        <f t="shared" si="0"/>
        <v/>
      </c>
      <c r="J35" s="58"/>
      <c r="K35" s="194" t="str">
        <f>IF(Waste[[#This Row],[Month]]&lt;&gt;"",VLOOKUP(Waste[[#This Row],[Month]], dropdown!$S$4:$T$15, 2, FALSE),"")</f>
        <v/>
      </c>
      <c r="L35" s="57"/>
      <c r="M35" s="29"/>
      <c r="N35" s="57"/>
      <c r="O35" s="195"/>
    </row>
    <row r="36" spans="9:15" x14ac:dyDescent="0.2">
      <c r="I36" s="194" t="str">
        <f t="shared" si="0"/>
        <v/>
      </c>
      <c r="J36" s="58"/>
      <c r="K36" s="194" t="str">
        <f>IF(Waste[[#This Row],[Month]]&lt;&gt;"",VLOOKUP(Waste[[#This Row],[Month]], dropdown!$S$4:$T$15, 2, FALSE),"")</f>
        <v/>
      </c>
      <c r="L36" s="57"/>
      <c r="M36" s="29"/>
      <c r="N36" s="57"/>
      <c r="O36" s="195"/>
    </row>
    <row r="37" spans="9:15" x14ac:dyDescent="0.2">
      <c r="I37" s="194" t="str">
        <f t="shared" si="0"/>
        <v/>
      </c>
      <c r="J37" s="58"/>
      <c r="K37" s="194" t="str">
        <f>IF(Waste[[#This Row],[Month]]&lt;&gt;"",VLOOKUP(Waste[[#This Row],[Month]], dropdown!$S$4:$T$15, 2, FALSE),"")</f>
        <v/>
      </c>
      <c r="L37" s="57"/>
      <c r="M37" s="29"/>
      <c r="N37" s="57"/>
      <c r="O37" s="195"/>
    </row>
    <row r="38" spans="9:15" x14ac:dyDescent="0.2">
      <c r="I38" s="194" t="str">
        <f t="shared" si="0"/>
        <v/>
      </c>
      <c r="J38" s="58"/>
      <c r="K38" s="194" t="str">
        <f>IF(Waste[[#This Row],[Month]]&lt;&gt;"",VLOOKUP(Waste[[#This Row],[Month]], dropdown!$S$4:$T$15, 2, FALSE),"")</f>
        <v/>
      </c>
      <c r="L38" s="57"/>
      <c r="M38" s="29"/>
      <c r="N38" s="57"/>
      <c r="O38" s="195"/>
    </row>
    <row r="39" spans="9:15" x14ac:dyDescent="0.2">
      <c r="I39" s="194" t="str">
        <f t="shared" si="0"/>
        <v/>
      </c>
      <c r="J39" s="58"/>
      <c r="K39" s="194" t="str">
        <f>IF(Waste[[#This Row],[Month]]&lt;&gt;"",VLOOKUP(Waste[[#This Row],[Month]], dropdown!$S$4:$T$15, 2, FALSE),"")</f>
        <v/>
      </c>
      <c r="L39" s="57"/>
      <c r="M39" s="29"/>
      <c r="N39" s="57"/>
      <c r="O39" s="195"/>
    </row>
    <row r="40" spans="9:15" x14ac:dyDescent="0.2">
      <c r="I40" s="194" t="str">
        <f t="shared" si="0"/>
        <v/>
      </c>
      <c r="J40" s="58"/>
      <c r="K40" s="194" t="str">
        <f>IF(Waste[[#This Row],[Month]]&lt;&gt;"",VLOOKUP(Waste[[#This Row],[Month]], dropdown!$S$4:$T$15, 2, FALSE),"")</f>
        <v/>
      </c>
      <c r="L40" s="57"/>
      <c r="M40" s="29"/>
      <c r="N40" s="57"/>
      <c r="O40" s="195"/>
    </row>
    <row r="41" spans="9:15" x14ac:dyDescent="0.2">
      <c r="I41" s="194" t="str">
        <f t="shared" si="0"/>
        <v/>
      </c>
      <c r="J41" s="58"/>
      <c r="K41" s="194" t="str">
        <f>IF(Waste[[#This Row],[Month]]&lt;&gt;"",VLOOKUP(Waste[[#This Row],[Month]], dropdown!$S$4:$T$15, 2, FALSE),"")</f>
        <v/>
      </c>
      <c r="L41" s="57"/>
      <c r="M41" s="29"/>
      <c r="N41" s="57"/>
      <c r="O41" s="195"/>
    </row>
    <row r="42" spans="9:15" x14ac:dyDescent="0.2">
      <c r="I42" s="194" t="str">
        <f t="shared" si="0"/>
        <v/>
      </c>
      <c r="J42" s="58"/>
      <c r="K42" s="194" t="str">
        <f>IF(Waste[[#This Row],[Month]]&lt;&gt;"",VLOOKUP(Waste[[#This Row],[Month]], dropdown!$S$4:$T$15, 2, FALSE),"")</f>
        <v/>
      </c>
      <c r="L42" s="57"/>
      <c r="M42" s="29"/>
      <c r="N42" s="57"/>
      <c r="O42" s="195"/>
    </row>
    <row r="43" spans="9:15" x14ac:dyDescent="0.2">
      <c r="I43" s="194" t="str">
        <f t="shared" si="0"/>
        <v/>
      </c>
      <c r="J43" s="58"/>
      <c r="K43" s="194" t="str">
        <f>IF(Waste[[#This Row],[Month]]&lt;&gt;"",VLOOKUP(Waste[[#This Row],[Month]], dropdown!$S$4:$T$15, 2, FALSE),"")</f>
        <v/>
      </c>
      <c r="L43" s="57"/>
      <c r="M43" s="29"/>
      <c r="N43" s="57"/>
      <c r="O43" s="195"/>
    </row>
    <row r="44" spans="9:15" x14ac:dyDescent="0.2">
      <c r="I44" s="194" t="str">
        <f t="shared" si="0"/>
        <v/>
      </c>
      <c r="J44" s="58"/>
      <c r="K44" s="194" t="str">
        <f>IF(Waste[[#This Row],[Month]]&lt;&gt;"",VLOOKUP(Waste[[#This Row],[Month]], dropdown!$S$4:$T$15, 2, FALSE),"")</f>
        <v/>
      </c>
      <c r="L44" s="57"/>
      <c r="M44" s="29"/>
      <c r="N44" s="57"/>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Legazpi Branch</v>
      </c>
      <c r="E6" s="462" t="s">
        <v>284</v>
      </c>
      <c r="F6" s="462"/>
      <c r="G6" s="462"/>
      <c r="H6" s="462"/>
      <c r="I6" s="462"/>
      <c r="J6" s="462"/>
      <c r="K6" s="462"/>
      <c r="L6" s="462"/>
      <c r="M6" s="462"/>
      <c r="N6" s="462"/>
      <c r="O6" s="462"/>
      <c r="P6" s="462"/>
      <c r="Q6" s="462"/>
    </row>
    <row r="7" spans="2:17" ht="20" customHeight="1" x14ac:dyDescent="0.2">
      <c r="B7" s="70" t="s">
        <v>12</v>
      </c>
      <c r="C7" s="59">
        <f>'1. Data Info and Summary'!$D$3</f>
        <v>2025</v>
      </c>
      <c r="E7" s="462"/>
      <c r="F7" s="462"/>
      <c r="G7" s="462"/>
      <c r="H7" s="462"/>
      <c r="I7" s="462"/>
      <c r="J7" s="462"/>
      <c r="K7" s="462"/>
      <c r="L7" s="462"/>
      <c r="M7" s="462"/>
      <c r="N7" s="462"/>
      <c r="O7" s="462"/>
      <c r="P7" s="462"/>
      <c r="Q7" s="462"/>
    </row>
    <row r="8" spans="2:17" ht="20" customHeight="1" x14ac:dyDescent="0.2">
      <c r="B8" s="71"/>
    </row>
    <row r="9" spans="2:17" x14ac:dyDescent="0.2">
      <c r="C9" s="53"/>
      <c r="E9" s="464" t="s">
        <v>285</v>
      </c>
      <c r="F9" s="464"/>
      <c r="G9" s="464"/>
      <c r="H9" s="464"/>
      <c r="I9" s="464"/>
      <c r="J9" s="464"/>
      <c r="L9" s="464" t="s">
        <v>286</v>
      </c>
      <c r="M9" s="464"/>
      <c r="N9" s="464"/>
      <c r="O9" s="464"/>
      <c r="P9" s="464"/>
      <c r="Q9" s="464"/>
    </row>
    <row r="10" spans="2:17" ht="8" customHeight="1" x14ac:dyDescent="0.2">
      <c r="B10" s="71"/>
    </row>
    <row r="11" spans="2:17" x14ac:dyDescent="0.2">
      <c r="E11" s="463" t="s">
        <v>287</v>
      </c>
      <c r="F11" s="463"/>
      <c r="G11" s="463"/>
      <c r="H11" s="463"/>
      <c r="I11" s="463"/>
      <c r="J11" s="463"/>
      <c r="L11" s="463" t="s">
        <v>288</v>
      </c>
      <c r="M11" s="463"/>
      <c r="N11" s="463"/>
      <c r="O11" s="463"/>
      <c r="P11" s="463"/>
      <c r="Q11" s="463"/>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11310</v>
      </c>
      <c r="G13" s="73" t="str">
        <f>'1. Data Info and Summary'!$D18</f>
        <v>Liters</v>
      </c>
      <c r="I13" s="76">
        <f>VLOOKUP($E13,Emission_Factors!$A$1:$G$20,5,FALSE)</f>
        <v>2.68</v>
      </c>
      <c r="J13" s="141">
        <f>F13*I13</f>
        <v>30310.800000000003</v>
      </c>
      <c r="L13" s="73" t="s">
        <v>155</v>
      </c>
      <c r="M13" s="78">
        <f>SUM('2.3a Electricity'!$D$12:$G$12)</f>
        <v>182364</v>
      </c>
      <c r="N13" s="73" t="str">
        <f>'2.3a Electricity'!$C$12</f>
        <v>Kilowatt-hour</v>
      </c>
      <c r="P13" s="76">
        <f>VLOOKUP($L13,Emission_Factors!$A$1:$G$20,5,FALSE)</f>
        <v>0.56000000000000005</v>
      </c>
      <c r="Q13" s="141">
        <f>M13*P13</f>
        <v>102123.84000000001</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30310.800000000003</v>
      </c>
    </row>
    <row r="20" spans="5:10" x14ac:dyDescent="0.2">
      <c r="E20" s="463" t="s">
        <v>293</v>
      </c>
      <c r="F20" s="463"/>
      <c r="G20" s="463"/>
      <c r="H20" s="463"/>
      <c r="I20" s="463"/>
      <c r="J20" s="463"/>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1182.1100000000001</v>
      </c>
      <c r="G22" s="73" t="str">
        <f>'1. Data Info and Summary'!$D26</f>
        <v>Liters</v>
      </c>
      <c r="I22" s="76">
        <f>VLOOKUP($E22,Emission_Factors!$A$1:$G$20,5,FALSE)</f>
        <v>2.68</v>
      </c>
      <c r="J22" s="141">
        <f>F22*I22</f>
        <v>3168.0548000000003</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292</v>
      </c>
      <c r="F24" s="78"/>
      <c r="G24" s="73"/>
      <c r="I24" s="76"/>
      <c r="J24" s="148">
        <f>SUM(J22:J23)</f>
        <v>3168.0548000000003</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4" width="6.6640625" bestFit="1" customWidth="1"/>
    <col min="5" max="5" width="10" bestFit="1" customWidth="1"/>
    <col min="6" max="6" width="5.5" bestFit="1" customWidth="1"/>
    <col min="7" max="7" width="11.6640625" bestFit="1" customWidth="1"/>
    <col min="8"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149</v>
      </c>
      <c r="E30" t="s">
        <v>297</v>
      </c>
      <c r="I30" s="20"/>
      <c r="J30" s="20"/>
      <c r="K30" s="21"/>
      <c r="L30" s="21"/>
      <c r="M30" s="22"/>
      <c r="N30" s="22"/>
      <c r="O30" s="11"/>
      <c r="P30" s="22"/>
      <c r="Q30" s="20"/>
      <c r="R30" s="20"/>
      <c r="S30" s="44"/>
    </row>
    <row r="31" spans="1:19" outlineLevel="1" x14ac:dyDescent="0.2">
      <c r="A31" s="19" t="s">
        <v>300</v>
      </c>
      <c r="B31" s="337"/>
      <c r="C31" s="337"/>
      <c r="D31" s="337"/>
      <c r="E31" s="337"/>
      <c r="I31" s="20"/>
      <c r="J31" s="20"/>
      <c r="K31" s="21"/>
      <c r="L31" s="21"/>
      <c r="M31" s="22"/>
      <c r="N31" s="22"/>
      <c r="O31" s="11"/>
      <c r="P31" s="22"/>
      <c r="Q31" s="20"/>
      <c r="R31" s="20"/>
      <c r="S31" s="44"/>
    </row>
    <row r="32" spans="1:19" outlineLevel="1" x14ac:dyDescent="0.2">
      <c r="A32" s="203" t="s">
        <v>300</v>
      </c>
      <c r="B32" s="337"/>
      <c r="C32" s="337"/>
      <c r="D32" s="337"/>
      <c r="E32" s="337"/>
      <c r="I32" s="20"/>
      <c r="J32" s="20"/>
      <c r="K32" s="21"/>
      <c r="L32" s="21"/>
      <c r="M32" s="22"/>
      <c r="N32" s="22"/>
      <c r="O32" s="11"/>
      <c r="P32" s="22"/>
      <c r="Q32" s="20"/>
      <c r="R32" s="20"/>
      <c r="S32" s="44"/>
    </row>
    <row r="33" spans="1:19" outlineLevel="1" x14ac:dyDescent="0.2">
      <c r="A33" s="19" t="s">
        <v>343</v>
      </c>
      <c r="B33" s="337"/>
      <c r="C33" s="337">
        <v>75.87</v>
      </c>
      <c r="D33" s="337">
        <v>2.66</v>
      </c>
      <c r="E33" s="337">
        <v>78.53</v>
      </c>
      <c r="I33" s="20"/>
      <c r="J33" s="20"/>
      <c r="K33" s="21"/>
      <c r="L33" s="21"/>
      <c r="M33" s="22"/>
      <c r="N33" s="22"/>
      <c r="O33" s="11"/>
      <c r="P33" s="22"/>
      <c r="Q33" s="20"/>
      <c r="R33" s="20"/>
      <c r="S33" s="44"/>
    </row>
    <row r="34" spans="1:19" outlineLevel="1" x14ac:dyDescent="0.2">
      <c r="A34" s="203" t="s">
        <v>63</v>
      </c>
      <c r="B34" s="337"/>
      <c r="C34" s="337">
        <v>75.87</v>
      </c>
      <c r="D34" s="337">
        <v>2.66</v>
      </c>
      <c r="E34" s="337">
        <v>78.53</v>
      </c>
      <c r="I34" s="20"/>
      <c r="J34" s="20"/>
      <c r="K34" s="21"/>
      <c r="L34" s="21"/>
      <c r="M34" s="22"/>
      <c r="N34" s="22"/>
      <c r="O34" s="11"/>
      <c r="P34" s="22"/>
      <c r="Q34" s="20"/>
      <c r="R34" s="20"/>
      <c r="S34" s="44"/>
    </row>
    <row r="35" spans="1:19" outlineLevel="1" x14ac:dyDescent="0.2">
      <c r="A35" s="19" t="s">
        <v>365</v>
      </c>
      <c r="B35" s="337"/>
      <c r="C35" s="337">
        <v>188.06</v>
      </c>
      <c r="D35" s="337">
        <v>161.72</v>
      </c>
      <c r="E35" s="337">
        <v>349.78</v>
      </c>
      <c r="I35" s="20"/>
      <c r="J35" s="20"/>
      <c r="K35" s="21"/>
      <c r="L35" s="21"/>
      <c r="M35" s="22"/>
      <c r="N35" s="22"/>
      <c r="O35" s="11"/>
      <c r="P35" s="22"/>
      <c r="Q35" s="20"/>
      <c r="R35" s="20"/>
      <c r="S35" s="44"/>
    </row>
    <row r="36" spans="1:19" outlineLevel="1" x14ac:dyDescent="0.2">
      <c r="A36" s="203" t="s">
        <v>63</v>
      </c>
      <c r="B36" s="337"/>
      <c r="C36" s="337">
        <v>188.06</v>
      </c>
      <c r="D36" s="337">
        <v>161.72</v>
      </c>
      <c r="E36" s="337">
        <v>349.78</v>
      </c>
      <c r="H36" s="12"/>
      <c r="I36" s="20"/>
      <c r="J36" s="20"/>
      <c r="K36" s="21"/>
      <c r="L36" s="21"/>
      <c r="M36" s="22"/>
      <c r="N36" s="22"/>
      <c r="O36" s="11"/>
      <c r="P36" s="22"/>
      <c r="Q36" s="20"/>
      <c r="R36" s="20"/>
      <c r="S36" s="44"/>
    </row>
    <row r="37" spans="1:19" outlineLevel="1" x14ac:dyDescent="0.2">
      <c r="A37" s="19" t="s">
        <v>381</v>
      </c>
      <c r="B37" s="337"/>
      <c r="C37" s="337">
        <v>490.01</v>
      </c>
      <c r="D37" s="337">
        <v>263.78999999999996</v>
      </c>
      <c r="E37" s="337">
        <v>753.8</v>
      </c>
      <c r="H37" s="12"/>
      <c r="I37" s="20"/>
      <c r="J37" s="20"/>
      <c r="K37" s="21"/>
      <c r="L37" s="21"/>
      <c r="M37" s="22"/>
      <c r="N37" s="22"/>
      <c r="O37" s="11"/>
      <c r="P37" s="22"/>
      <c r="Q37" s="20"/>
      <c r="R37" s="20"/>
      <c r="S37" s="44"/>
    </row>
    <row r="38" spans="1:19" outlineLevel="1" x14ac:dyDescent="0.2">
      <c r="A38" s="203" t="s">
        <v>63</v>
      </c>
      <c r="B38" s="337"/>
      <c r="C38" s="337">
        <v>490.01</v>
      </c>
      <c r="D38" s="337">
        <v>263.78999999999996</v>
      </c>
      <c r="E38" s="337">
        <v>753.8</v>
      </c>
      <c r="H38" s="12"/>
      <c r="I38" s="20"/>
      <c r="J38" s="20"/>
      <c r="K38" s="21"/>
      <c r="L38" s="21"/>
      <c r="M38" s="22"/>
      <c r="N38" s="22"/>
      <c r="O38" s="11"/>
      <c r="P38" s="22"/>
      <c r="Q38" s="20"/>
      <c r="R38" s="20"/>
      <c r="S38" s="44"/>
    </row>
    <row r="39" spans="1:19" outlineLevel="1" x14ac:dyDescent="0.2">
      <c r="A39" s="19" t="s">
        <v>297</v>
      </c>
      <c r="B39" s="337"/>
      <c r="C39" s="337">
        <v>753.94</v>
      </c>
      <c r="D39" s="337">
        <v>428.16999999999996</v>
      </c>
      <c r="E39" s="337">
        <v>1182.1099999999999</v>
      </c>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1279"/>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45910.5312962963</v>
      </c>
      <c r="B927" t="s">
        <v>1431</v>
      </c>
      <c r="C927" t="s">
        <v>597</v>
      </c>
      <c r="D927" t="s">
        <v>1230</v>
      </c>
      <c r="E927" t="s">
        <v>39</v>
      </c>
    </row>
    <row r="928" spans="1:5" x14ac:dyDescent="0.2">
      <c r="A928" s="269">
        <v>45910.531423611108</v>
      </c>
      <c r="B928" t="s">
        <v>1431</v>
      </c>
      <c r="C928" t="s">
        <v>2</v>
      </c>
      <c r="D928" t="s">
        <v>1432</v>
      </c>
      <c r="E928" t="s">
        <v>409</v>
      </c>
    </row>
    <row r="929" spans="1:5" x14ac:dyDescent="0.2">
      <c r="A929" s="269">
        <v>45910.531481481485</v>
      </c>
      <c r="B929" t="s">
        <v>1431</v>
      </c>
      <c r="C929" t="s">
        <v>2</v>
      </c>
      <c r="D929" t="s">
        <v>1433</v>
      </c>
      <c r="E929">
        <v>2025</v>
      </c>
    </row>
    <row r="930" spans="1:5" x14ac:dyDescent="0.2">
      <c r="A930" s="269">
        <v>45910.532106481478</v>
      </c>
      <c r="B930" t="s">
        <v>1431</v>
      </c>
      <c r="C930" t="s">
        <v>27</v>
      </c>
      <c r="D930" t="s">
        <v>1434</v>
      </c>
      <c r="E930" t="s">
        <v>1431</v>
      </c>
    </row>
    <row r="931" spans="1:5" x14ac:dyDescent="0.2">
      <c r="A931" s="269">
        <v>45910.532222222224</v>
      </c>
      <c r="B931" t="s">
        <v>1431</v>
      </c>
      <c r="C931" t="s">
        <v>27</v>
      </c>
      <c r="D931" t="s">
        <v>1435</v>
      </c>
      <c r="E931" s="442">
        <v>45910</v>
      </c>
    </row>
    <row r="932" spans="1:5" x14ac:dyDescent="0.2">
      <c r="A932" s="269">
        <v>45910.532314814816</v>
      </c>
      <c r="B932" t="s">
        <v>1431</v>
      </c>
      <c r="C932" t="s">
        <v>58</v>
      </c>
      <c r="D932" t="s">
        <v>1436</v>
      </c>
      <c r="E932" t="s">
        <v>1431</v>
      </c>
    </row>
    <row r="933" spans="1:5" x14ac:dyDescent="0.2">
      <c r="A933" s="269">
        <v>45910.532337962963</v>
      </c>
      <c r="B933" t="s">
        <v>1431</v>
      </c>
      <c r="C933" t="s">
        <v>58</v>
      </c>
      <c r="D933" t="s">
        <v>1436</v>
      </c>
    </row>
    <row r="934" spans="1:5" x14ac:dyDescent="0.2">
      <c r="A934" s="269">
        <v>45910.532453703701</v>
      </c>
      <c r="B934" t="s">
        <v>1431</v>
      </c>
      <c r="C934" t="s">
        <v>58</v>
      </c>
      <c r="D934" t="s">
        <v>1437</v>
      </c>
      <c r="E934" t="s">
        <v>1431</v>
      </c>
    </row>
    <row r="935" spans="1:5" x14ac:dyDescent="0.2">
      <c r="A935" s="269">
        <v>45910.532557870371</v>
      </c>
      <c r="B935" t="s">
        <v>1431</v>
      </c>
      <c r="C935" t="s">
        <v>58</v>
      </c>
      <c r="D935" t="s">
        <v>1435</v>
      </c>
      <c r="E935" s="442">
        <v>45910</v>
      </c>
    </row>
    <row r="936" spans="1:5" x14ac:dyDescent="0.2">
      <c r="A936" s="269">
        <v>45910.532719907409</v>
      </c>
      <c r="B936" t="s">
        <v>1431</v>
      </c>
      <c r="C936" t="s">
        <v>15</v>
      </c>
      <c r="D936" t="s">
        <v>1437</v>
      </c>
      <c r="E936" t="s">
        <v>1431</v>
      </c>
    </row>
    <row r="937" spans="1:5" x14ac:dyDescent="0.2">
      <c r="A937" s="269">
        <v>45910.532847222225</v>
      </c>
      <c r="B937" t="s">
        <v>1431</v>
      </c>
      <c r="C937" t="s">
        <v>15</v>
      </c>
      <c r="D937" t="s">
        <v>1435</v>
      </c>
      <c r="E937" s="442">
        <v>45910</v>
      </c>
    </row>
    <row r="938" spans="1:5" x14ac:dyDescent="0.2">
      <c r="A938" s="269">
        <v>45910.532905092594</v>
      </c>
      <c r="B938" t="s">
        <v>1431</v>
      </c>
      <c r="C938" t="s">
        <v>103</v>
      </c>
      <c r="D938" t="s">
        <v>1434</v>
      </c>
    </row>
    <row r="939" spans="1:5" x14ac:dyDescent="0.2">
      <c r="A939" s="269">
        <v>45910.533078703702</v>
      </c>
      <c r="B939" t="s">
        <v>1431</v>
      </c>
      <c r="C939" t="s">
        <v>103</v>
      </c>
      <c r="D939" t="s">
        <v>1437</v>
      </c>
      <c r="E939" t="s">
        <v>1431</v>
      </c>
    </row>
    <row r="940" spans="1:5" x14ac:dyDescent="0.2">
      <c r="A940" s="269">
        <v>45910.533171296294</v>
      </c>
      <c r="B940" t="s">
        <v>1431</v>
      </c>
      <c r="C940" t="s">
        <v>103</v>
      </c>
      <c r="D940" t="s">
        <v>1435</v>
      </c>
      <c r="E940" s="442">
        <v>45910</v>
      </c>
    </row>
    <row r="941" spans="1:5" x14ac:dyDescent="0.2">
      <c r="A941" s="269">
        <v>45910.533252314817</v>
      </c>
      <c r="B941" t="s">
        <v>1431</v>
      </c>
      <c r="C941" t="s">
        <v>25</v>
      </c>
      <c r="D941" t="s">
        <v>1437</v>
      </c>
      <c r="E941" t="s">
        <v>1431</v>
      </c>
    </row>
    <row r="942" spans="1:5" x14ac:dyDescent="0.2">
      <c r="A942" s="269">
        <v>45910.53334490741</v>
      </c>
      <c r="B942" t="s">
        <v>1431</v>
      </c>
      <c r="C942" t="s">
        <v>25</v>
      </c>
      <c r="D942" t="s">
        <v>1435</v>
      </c>
      <c r="E942" s="442">
        <v>45910</v>
      </c>
    </row>
    <row r="943" spans="1:5" x14ac:dyDescent="0.2">
      <c r="A943" s="269">
        <v>45910.533437500002</v>
      </c>
      <c r="B943" t="s">
        <v>1431</v>
      </c>
      <c r="C943" t="s">
        <v>26</v>
      </c>
      <c r="D943" t="s">
        <v>1437</v>
      </c>
      <c r="E943" t="s">
        <v>1431</v>
      </c>
    </row>
    <row r="944" spans="1:5" x14ac:dyDescent="0.2">
      <c r="A944" s="269">
        <v>45910.533553240741</v>
      </c>
      <c r="B944" t="s">
        <v>1431</v>
      </c>
      <c r="C944" t="s">
        <v>26</v>
      </c>
      <c r="D944" t="s">
        <v>1435</v>
      </c>
      <c r="E944" s="442">
        <v>45910</v>
      </c>
    </row>
    <row r="945" spans="1:5" x14ac:dyDescent="0.2">
      <c r="A945" s="269">
        <v>45910.533692129633</v>
      </c>
      <c r="B945" t="s">
        <v>1431</v>
      </c>
      <c r="C945" t="s">
        <v>28</v>
      </c>
      <c r="D945" t="s">
        <v>1437</v>
      </c>
      <c r="E945" t="s">
        <v>1431</v>
      </c>
    </row>
    <row r="946" spans="1:5" x14ac:dyDescent="0.2">
      <c r="A946" s="269">
        <v>45910.533784722225</v>
      </c>
      <c r="B946" t="s">
        <v>1431</v>
      </c>
      <c r="C946" t="s">
        <v>28</v>
      </c>
      <c r="D946" t="s">
        <v>1435</v>
      </c>
      <c r="E946" s="442">
        <v>45910</v>
      </c>
    </row>
    <row r="947" spans="1:5" x14ac:dyDescent="0.2">
      <c r="A947" s="269">
        <v>45910.534328703703</v>
      </c>
      <c r="B947" t="s">
        <v>1431</v>
      </c>
      <c r="C947" t="s">
        <v>27</v>
      </c>
      <c r="D947" t="s">
        <v>946</v>
      </c>
      <c r="E947" t="s">
        <v>37</v>
      </c>
    </row>
    <row r="948" spans="1:5" x14ac:dyDescent="0.2">
      <c r="A948" s="269">
        <v>45910.536030092589</v>
      </c>
      <c r="B948" t="s">
        <v>1431</v>
      </c>
      <c r="C948" t="s">
        <v>27</v>
      </c>
      <c r="D948" t="s">
        <v>950</v>
      </c>
      <c r="E948" t="s">
        <v>338</v>
      </c>
    </row>
    <row r="949" spans="1:5" x14ac:dyDescent="0.2">
      <c r="A949" s="269">
        <v>45910.536238425928</v>
      </c>
      <c r="B949" t="s">
        <v>1431</v>
      </c>
      <c r="C949" t="s">
        <v>27</v>
      </c>
      <c r="D949" t="s">
        <v>777</v>
      </c>
      <c r="E949">
        <v>161</v>
      </c>
    </row>
    <row r="950" spans="1:5" x14ac:dyDescent="0.2">
      <c r="A950" s="269">
        <v>45910.536261574074</v>
      </c>
      <c r="B950" t="s">
        <v>1431</v>
      </c>
      <c r="C950" t="s">
        <v>27</v>
      </c>
      <c r="D950" t="s">
        <v>1438</v>
      </c>
      <c r="E950" t="s">
        <v>37</v>
      </c>
    </row>
    <row r="951" spans="1:5" x14ac:dyDescent="0.2">
      <c r="A951" s="269">
        <v>45910.536307870374</v>
      </c>
      <c r="B951" t="s">
        <v>1431</v>
      </c>
      <c r="C951" t="s">
        <v>27</v>
      </c>
      <c r="D951" t="s">
        <v>1439</v>
      </c>
      <c r="E951" t="s">
        <v>89</v>
      </c>
    </row>
    <row r="952" spans="1:5" x14ac:dyDescent="0.2">
      <c r="A952" s="269">
        <v>45910.536458333336</v>
      </c>
      <c r="B952" t="s">
        <v>1431</v>
      </c>
      <c r="C952" t="s">
        <v>27</v>
      </c>
      <c r="D952" t="s">
        <v>777</v>
      </c>
      <c r="E952">
        <v>48</v>
      </c>
    </row>
    <row r="953" spans="1:5" x14ac:dyDescent="0.2">
      <c r="A953" s="269">
        <v>45910.536585648151</v>
      </c>
      <c r="B953" t="s">
        <v>1431</v>
      </c>
      <c r="C953" t="s">
        <v>27</v>
      </c>
      <c r="D953" t="s">
        <v>1440</v>
      </c>
      <c r="E953">
        <v>393</v>
      </c>
    </row>
    <row r="954" spans="1:5" x14ac:dyDescent="0.2">
      <c r="A954" s="269">
        <v>45910.536620370367</v>
      </c>
      <c r="B954" t="s">
        <v>1431</v>
      </c>
      <c r="C954" t="s">
        <v>27</v>
      </c>
      <c r="D954" t="s">
        <v>1191</v>
      </c>
      <c r="E954" t="s">
        <v>37</v>
      </c>
    </row>
    <row r="955" spans="1:5" x14ac:dyDescent="0.2">
      <c r="A955" s="269">
        <v>45910.53665509259</v>
      </c>
      <c r="B955" t="s">
        <v>1431</v>
      </c>
      <c r="C955" t="s">
        <v>27</v>
      </c>
      <c r="D955" t="s">
        <v>1010</v>
      </c>
      <c r="E955" t="s">
        <v>362</v>
      </c>
    </row>
    <row r="956" spans="1:5" x14ac:dyDescent="0.2">
      <c r="A956" s="269">
        <v>45910.536782407406</v>
      </c>
      <c r="B956" t="s">
        <v>1431</v>
      </c>
      <c r="C956" t="s">
        <v>27</v>
      </c>
      <c r="D956" t="s">
        <v>973</v>
      </c>
      <c r="E956">
        <v>9119</v>
      </c>
    </row>
    <row r="957" spans="1:5" x14ac:dyDescent="0.2">
      <c r="A957" s="269">
        <v>45910.536828703705</v>
      </c>
      <c r="B957" t="s">
        <v>1431</v>
      </c>
      <c r="C957" t="s">
        <v>27</v>
      </c>
      <c r="D957" t="s">
        <v>795</v>
      </c>
      <c r="E957" t="s">
        <v>37</v>
      </c>
    </row>
    <row r="958" spans="1:5" x14ac:dyDescent="0.2">
      <c r="A958" s="269">
        <v>45910.536863425928</v>
      </c>
      <c r="B958" t="s">
        <v>1431</v>
      </c>
      <c r="C958" t="s">
        <v>27</v>
      </c>
      <c r="D958" t="s">
        <v>995</v>
      </c>
      <c r="E958" t="s">
        <v>371</v>
      </c>
    </row>
    <row r="959" spans="1:5" x14ac:dyDescent="0.2">
      <c r="A959" s="269">
        <v>45910.536979166667</v>
      </c>
      <c r="B959" t="s">
        <v>1431</v>
      </c>
      <c r="C959" t="s">
        <v>27</v>
      </c>
      <c r="D959" t="s">
        <v>976</v>
      </c>
      <c r="E959">
        <v>944</v>
      </c>
    </row>
    <row r="960" spans="1:5" x14ac:dyDescent="0.2">
      <c r="A960" s="269">
        <v>45910.537060185183</v>
      </c>
      <c r="B960" t="s">
        <v>1431</v>
      </c>
      <c r="C960" t="s">
        <v>27</v>
      </c>
      <c r="D960" t="s">
        <v>1013</v>
      </c>
      <c r="E960" t="s">
        <v>37</v>
      </c>
    </row>
    <row r="961" spans="1:5" x14ac:dyDescent="0.2">
      <c r="A961" s="269">
        <v>45910.537083333336</v>
      </c>
      <c r="B961" t="s">
        <v>1431</v>
      </c>
      <c r="C961" t="s">
        <v>27</v>
      </c>
      <c r="D961" t="s">
        <v>1014</v>
      </c>
      <c r="E961" t="s">
        <v>379</v>
      </c>
    </row>
    <row r="962" spans="1:5" x14ac:dyDescent="0.2">
      <c r="A962" s="269">
        <v>45910.537222222221</v>
      </c>
      <c r="B962" t="s">
        <v>1431</v>
      </c>
      <c r="C962" t="s">
        <v>27</v>
      </c>
      <c r="D962" t="s">
        <v>977</v>
      </c>
      <c r="E962">
        <v>645</v>
      </c>
    </row>
    <row r="963" spans="1:5" x14ac:dyDescent="0.2">
      <c r="A963" s="269">
        <v>45910.537268518521</v>
      </c>
      <c r="B963" t="s">
        <v>1431</v>
      </c>
      <c r="C963" t="s">
        <v>27</v>
      </c>
      <c r="D963" t="s">
        <v>747</v>
      </c>
      <c r="E963" t="s">
        <v>37</v>
      </c>
    </row>
    <row r="964" spans="1:5" x14ac:dyDescent="0.2">
      <c r="A964" s="269">
        <v>45910.537303240744</v>
      </c>
      <c r="B964" t="s">
        <v>1431</v>
      </c>
      <c r="C964" t="s">
        <v>27</v>
      </c>
      <c r="D964" t="s">
        <v>1017</v>
      </c>
      <c r="E964" t="s">
        <v>386</v>
      </c>
    </row>
    <row r="965" spans="1:5" x14ac:dyDescent="0.2">
      <c r="A965" s="269">
        <v>45910.537407407406</v>
      </c>
      <c r="B965" t="s">
        <v>1431</v>
      </c>
      <c r="C965" t="s">
        <v>27</v>
      </c>
      <c r="D965" t="s">
        <v>923</v>
      </c>
      <c r="E965">
        <v>161</v>
      </c>
    </row>
    <row r="966" spans="1:5" x14ac:dyDescent="0.2">
      <c r="A966" s="269">
        <v>45910.537638888891</v>
      </c>
      <c r="B966" t="s">
        <v>1431</v>
      </c>
      <c r="C966" t="s">
        <v>58</v>
      </c>
      <c r="D966" t="s">
        <v>946</v>
      </c>
      <c r="E966" t="s">
        <v>365</v>
      </c>
    </row>
    <row r="967" spans="1:5" x14ac:dyDescent="0.2">
      <c r="A967" s="269">
        <v>45910.537708333337</v>
      </c>
      <c r="B967" t="s">
        <v>1431</v>
      </c>
      <c r="C967" t="s">
        <v>58</v>
      </c>
      <c r="D967" t="s">
        <v>1438</v>
      </c>
      <c r="E967" t="s">
        <v>381</v>
      </c>
    </row>
    <row r="968" spans="1:5" x14ac:dyDescent="0.2">
      <c r="A968" s="269">
        <v>45910.537754629629</v>
      </c>
      <c r="B968" t="s">
        <v>1431</v>
      </c>
      <c r="C968" t="s">
        <v>58</v>
      </c>
      <c r="D968" t="s">
        <v>1191</v>
      </c>
      <c r="E968" t="s">
        <v>343</v>
      </c>
    </row>
    <row r="969" spans="1:5" x14ac:dyDescent="0.2">
      <c r="A969" s="269">
        <v>45910.537812499999</v>
      </c>
      <c r="B969" t="s">
        <v>1431</v>
      </c>
      <c r="C969" t="s">
        <v>58</v>
      </c>
      <c r="D969" t="s">
        <v>950</v>
      </c>
      <c r="E969" t="s">
        <v>63</v>
      </c>
    </row>
    <row r="970" spans="1:5" x14ac:dyDescent="0.2">
      <c r="A970" s="269">
        <v>45910.537835648145</v>
      </c>
      <c r="B970" t="s">
        <v>1431</v>
      </c>
      <c r="C970" t="s">
        <v>58</v>
      </c>
      <c r="D970" t="s">
        <v>1439</v>
      </c>
      <c r="E970" t="s">
        <v>63</v>
      </c>
    </row>
    <row r="971" spans="1:5" x14ac:dyDescent="0.2">
      <c r="A971" s="269">
        <v>45910.537847222222</v>
      </c>
      <c r="B971" t="s">
        <v>1431</v>
      </c>
      <c r="C971" t="s">
        <v>58</v>
      </c>
      <c r="D971" t="s">
        <v>1010</v>
      </c>
      <c r="E971" t="s">
        <v>63</v>
      </c>
    </row>
    <row r="972" spans="1:5" x14ac:dyDescent="0.2">
      <c r="A972" s="269">
        <v>45910.537905092591</v>
      </c>
      <c r="B972" t="s">
        <v>1431</v>
      </c>
      <c r="C972" t="s">
        <v>58</v>
      </c>
      <c r="D972" t="s">
        <v>951</v>
      </c>
      <c r="E972" t="s">
        <v>338</v>
      </c>
    </row>
    <row r="973" spans="1:5" x14ac:dyDescent="0.2">
      <c r="A973" s="269">
        <v>45910.537928240738</v>
      </c>
      <c r="B973" t="s">
        <v>1431</v>
      </c>
      <c r="C973" t="s">
        <v>58</v>
      </c>
      <c r="D973" t="s">
        <v>983</v>
      </c>
      <c r="E973" t="s">
        <v>338</v>
      </c>
    </row>
    <row r="974" spans="1:5" x14ac:dyDescent="0.2">
      <c r="A974" s="269">
        <v>45910.537951388891</v>
      </c>
      <c r="B974" t="s">
        <v>1431</v>
      </c>
      <c r="C974" t="s">
        <v>58</v>
      </c>
      <c r="D974" t="s">
        <v>1066</v>
      </c>
      <c r="E974" t="s">
        <v>338</v>
      </c>
    </row>
    <row r="975" spans="1:5" x14ac:dyDescent="0.2">
      <c r="A975" s="269">
        <v>45910.546307870369</v>
      </c>
      <c r="B975" t="s">
        <v>1431</v>
      </c>
      <c r="C975" t="s">
        <v>58</v>
      </c>
      <c r="D975" t="s">
        <v>1441</v>
      </c>
      <c r="E975">
        <v>95.85</v>
      </c>
    </row>
    <row r="976" spans="1:5" x14ac:dyDescent="0.2">
      <c r="A976" s="269">
        <v>45910.546354166669</v>
      </c>
      <c r="B976" t="s">
        <v>1431</v>
      </c>
      <c r="C976" t="s">
        <v>58</v>
      </c>
      <c r="D976" t="s">
        <v>958</v>
      </c>
      <c r="E976">
        <v>1112</v>
      </c>
    </row>
    <row r="977" spans="1:5" x14ac:dyDescent="0.2">
      <c r="A977" s="269">
        <v>45910.546412037038</v>
      </c>
      <c r="B977" t="s">
        <v>1431</v>
      </c>
      <c r="C977" t="s">
        <v>58</v>
      </c>
      <c r="D977" t="s">
        <v>937</v>
      </c>
      <c r="E977">
        <v>156</v>
      </c>
    </row>
    <row r="978" spans="1:5" x14ac:dyDescent="0.2">
      <c r="A978" s="269">
        <v>45910.546527777777</v>
      </c>
      <c r="B978" t="s">
        <v>1431</v>
      </c>
      <c r="C978" t="s">
        <v>58</v>
      </c>
      <c r="D978" t="s">
        <v>1442</v>
      </c>
      <c r="E978">
        <v>1510</v>
      </c>
    </row>
    <row r="979" spans="1:5" x14ac:dyDescent="0.2">
      <c r="A979" s="269">
        <v>45910.5466087963</v>
      </c>
      <c r="B979" t="s">
        <v>1431</v>
      </c>
      <c r="C979" t="s">
        <v>58</v>
      </c>
      <c r="D979" t="s">
        <v>926</v>
      </c>
      <c r="E979" t="s">
        <v>1443</v>
      </c>
    </row>
    <row r="980" spans="1:5" x14ac:dyDescent="0.2">
      <c r="A980" s="269">
        <v>45910.546666666669</v>
      </c>
      <c r="B980" t="s">
        <v>1431</v>
      </c>
      <c r="C980" t="s">
        <v>58</v>
      </c>
      <c r="D980" t="s">
        <v>975</v>
      </c>
      <c r="E980">
        <v>148.4</v>
      </c>
    </row>
    <row r="981" spans="1:5" x14ac:dyDescent="0.2">
      <c r="A981" s="269">
        <v>45910.546793981484</v>
      </c>
      <c r="B981" t="s">
        <v>1431</v>
      </c>
      <c r="C981" t="s">
        <v>58</v>
      </c>
      <c r="D981" t="s">
        <v>795</v>
      </c>
      <c r="E981" t="s">
        <v>365</v>
      </c>
    </row>
    <row r="982" spans="1:5" x14ac:dyDescent="0.2">
      <c r="A982" s="269">
        <v>45910.546840277777</v>
      </c>
      <c r="B982" t="s">
        <v>1431</v>
      </c>
      <c r="C982" t="s">
        <v>58</v>
      </c>
      <c r="D982" t="s">
        <v>1013</v>
      </c>
      <c r="E982" t="s">
        <v>381</v>
      </c>
    </row>
    <row r="983" spans="1:5" x14ac:dyDescent="0.2">
      <c r="A983" s="269">
        <v>45910.546875</v>
      </c>
      <c r="B983" t="s">
        <v>1431</v>
      </c>
      <c r="C983" t="s">
        <v>58</v>
      </c>
      <c r="D983" t="s">
        <v>747</v>
      </c>
      <c r="E983" t="s">
        <v>343</v>
      </c>
    </row>
    <row r="984" spans="1:5" x14ac:dyDescent="0.2">
      <c r="A984" s="269">
        <v>45910.546956018516</v>
      </c>
      <c r="B984" t="s">
        <v>1431</v>
      </c>
      <c r="C984" t="s">
        <v>58</v>
      </c>
      <c r="D984" t="s">
        <v>1444</v>
      </c>
      <c r="E984" t="s">
        <v>365</v>
      </c>
    </row>
    <row r="985" spans="1:5" x14ac:dyDescent="0.2">
      <c r="A985" s="269">
        <v>45910.546990740739</v>
      </c>
      <c r="B985" t="s">
        <v>1431</v>
      </c>
      <c r="C985" t="s">
        <v>58</v>
      </c>
      <c r="D985" t="s">
        <v>1445</v>
      </c>
      <c r="E985" t="s">
        <v>381</v>
      </c>
    </row>
    <row r="986" spans="1:5" x14ac:dyDescent="0.2">
      <c r="A986" s="269">
        <v>45910.547025462962</v>
      </c>
      <c r="B986" t="s">
        <v>1431</v>
      </c>
      <c r="C986" t="s">
        <v>58</v>
      </c>
      <c r="D986" t="s">
        <v>1446</v>
      </c>
      <c r="E986" t="s">
        <v>343</v>
      </c>
    </row>
    <row r="987" spans="1:5" x14ac:dyDescent="0.2">
      <c r="A987" s="269">
        <v>45910.547164351854</v>
      </c>
      <c r="B987" t="s">
        <v>1431</v>
      </c>
      <c r="C987" t="s">
        <v>58</v>
      </c>
      <c r="D987" t="s">
        <v>672</v>
      </c>
      <c r="E987" t="s">
        <v>365</v>
      </c>
    </row>
    <row r="988" spans="1:5" x14ac:dyDescent="0.2">
      <c r="A988" s="269">
        <v>45910.547222222223</v>
      </c>
      <c r="B988" t="s">
        <v>1431</v>
      </c>
      <c r="C988" t="s">
        <v>58</v>
      </c>
      <c r="D988" t="s">
        <v>674</v>
      </c>
      <c r="E988" t="s">
        <v>381</v>
      </c>
    </row>
    <row r="989" spans="1:5" x14ac:dyDescent="0.2">
      <c r="A989" s="269">
        <v>45910.547361111108</v>
      </c>
      <c r="B989" t="s">
        <v>1431</v>
      </c>
      <c r="C989" t="s">
        <v>58</v>
      </c>
      <c r="D989" t="s">
        <v>675</v>
      </c>
      <c r="E989" t="s">
        <v>343</v>
      </c>
    </row>
    <row r="990" spans="1:5" x14ac:dyDescent="0.2">
      <c r="A990" s="269">
        <v>45910.547418981485</v>
      </c>
      <c r="B990" t="s">
        <v>1431</v>
      </c>
      <c r="C990" t="s">
        <v>58</v>
      </c>
      <c r="D990" t="s">
        <v>995</v>
      </c>
      <c r="E990" t="s">
        <v>63</v>
      </c>
    </row>
    <row r="991" spans="1:5" x14ac:dyDescent="0.2">
      <c r="A991" s="269">
        <v>45910.547442129631</v>
      </c>
      <c r="B991" t="s">
        <v>1431</v>
      </c>
      <c r="C991" t="s">
        <v>58</v>
      </c>
      <c r="D991" t="s">
        <v>1014</v>
      </c>
      <c r="E991" t="s">
        <v>63</v>
      </c>
    </row>
    <row r="992" spans="1:5" x14ac:dyDescent="0.2">
      <c r="A992" s="269">
        <v>45910.547476851854</v>
      </c>
      <c r="B992" t="s">
        <v>1431</v>
      </c>
      <c r="C992" t="s">
        <v>58</v>
      </c>
      <c r="D992" t="s">
        <v>1017</v>
      </c>
      <c r="E992" t="s">
        <v>63</v>
      </c>
    </row>
    <row r="993" spans="1:5" x14ac:dyDescent="0.2">
      <c r="A993" s="269">
        <v>45910.547500000001</v>
      </c>
      <c r="B993" t="s">
        <v>1431</v>
      </c>
      <c r="C993" t="s">
        <v>58</v>
      </c>
      <c r="D993" t="s">
        <v>1447</v>
      </c>
      <c r="E993" t="s">
        <v>63</v>
      </c>
    </row>
    <row r="994" spans="1:5" x14ac:dyDescent="0.2">
      <c r="A994" s="269">
        <v>45910.547523148147</v>
      </c>
      <c r="B994" t="s">
        <v>1431</v>
      </c>
      <c r="C994" t="s">
        <v>58</v>
      </c>
      <c r="D994" t="s">
        <v>1448</v>
      </c>
      <c r="E994" t="s">
        <v>63</v>
      </c>
    </row>
    <row r="995" spans="1:5" x14ac:dyDescent="0.2">
      <c r="A995" s="269">
        <v>45910.547546296293</v>
      </c>
      <c r="B995" t="s">
        <v>1431</v>
      </c>
      <c r="C995" t="s">
        <v>58</v>
      </c>
      <c r="D995" t="s">
        <v>1449</v>
      </c>
      <c r="E995" t="s">
        <v>63</v>
      </c>
    </row>
    <row r="996" spans="1:5" x14ac:dyDescent="0.2">
      <c r="A996" s="269">
        <v>45910.547569444447</v>
      </c>
      <c r="B996" t="s">
        <v>1431</v>
      </c>
      <c r="C996" t="s">
        <v>58</v>
      </c>
      <c r="D996" t="s">
        <v>1450</v>
      </c>
      <c r="E996" t="s">
        <v>63</v>
      </c>
    </row>
    <row r="997" spans="1:5" x14ac:dyDescent="0.2">
      <c r="A997" s="269">
        <v>45910.54760416667</v>
      </c>
      <c r="B997" t="s">
        <v>1431</v>
      </c>
      <c r="C997" t="s">
        <v>58</v>
      </c>
      <c r="D997" t="s">
        <v>1451</v>
      </c>
      <c r="E997" t="s">
        <v>63</v>
      </c>
    </row>
    <row r="998" spans="1:5" x14ac:dyDescent="0.2">
      <c r="A998" s="269">
        <v>45910.547638888886</v>
      </c>
      <c r="B998" t="s">
        <v>1431</v>
      </c>
      <c r="C998" t="s">
        <v>58</v>
      </c>
      <c r="D998" t="s">
        <v>1452</v>
      </c>
      <c r="E998" t="s">
        <v>63</v>
      </c>
    </row>
    <row r="999" spans="1:5" x14ac:dyDescent="0.2">
      <c r="A999" s="269">
        <v>45910.547662037039</v>
      </c>
      <c r="B999" t="s">
        <v>1431</v>
      </c>
      <c r="C999" t="s">
        <v>58</v>
      </c>
      <c r="D999" t="s">
        <v>994</v>
      </c>
      <c r="E999" t="s">
        <v>89</v>
      </c>
    </row>
    <row r="1000" spans="1:5" x14ac:dyDescent="0.2">
      <c r="A1000" s="269">
        <v>45910.547708333332</v>
      </c>
      <c r="B1000" t="s">
        <v>1431</v>
      </c>
      <c r="C1000" t="s">
        <v>58</v>
      </c>
      <c r="D1000" t="s">
        <v>1015</v>
      </c>
      <c r="E1000" t="s">
        <v>89</v>
      </c>
    </row>
    <row r="1001" spans="1:5" x14ac:dyDescent="0.2">
      <c r="A1001" s="269">
        <v>45910.547766203701</v>
      </c>
      <c r="B1001" t="s">
        <v>1431</v>
      </c>
      <c r="C1001" t="s">
        <v>58</v>
      </c>
      <c r="D1001" t="s">
        <v>1018</v>
      </c>
      <c r="E1001" t="s">
        <v>89</v>
      </c>
    </row>
    <row r="1002" spans="1:5" x14ac:dyDescent="0.2">
      <c r="A1002" s="269">
        <v>45910.54824074074</v>
      </c>
      <c r="B1002" t="s">
        <v>1431</v>
      </c>
      <c r="C1002" t="s">
        <v>58</v>
      </c>
      <c r="D1002" t="s">
        <v>926</v>
      </c>
      <c r="E1002">
        <v>75.87</v>
      </c>
    </row>
    <row r="1003" spans="1:5" x14ac:dyDescent="0.2">
      <c r="A1003" s="269">
        <v>45910.548506944448</v>
      </c>
      <c r="B1003" t="s">
        <v>1431</v>
      </c>
      <c r="C1003" t="s">
        <v>58</v>
      </c>
      <c r="D1003" t="s">
        <v>874</v>
      </c>
      <c r="E1003">
        <v>51.52</v>
      </c>
    </row>
    <row r="1004" spans="1:5" x14ac:dyDescent="0.2">
      <c r="A1004" s="269">
        <v>45910.548564814817</v>
      </c>
      <c r="B1004" t="s">
        <v>1431</v>
      </c>
      <c r="C1004" t="s">
        <v>58</v>
      </c>
      <c r="D1004" t="s">
        <v>974</v>
      </c>
      <c r="E1004">
        <v>949</v>
      </c>
    </row>
    <row r="1005" spans="1:5" x14ac:dyDescent="0.2">
      <c r="A1005" s="269">
        <v>45910.548645833333</v>
      </c>
      <c r="B1005" t="s">
        <v>1431</v>
      </c>
      <c r="C1005" t="s">
        <v>58</v>
      </c>
      <c r="D1005" t="s">
        <v>1453</v>
      </c>
      <c r="E1005">
        <v>172</v>
      </c>
    </row>
    <row r="1006" spans="1:5" x14ac:dyDescent="0.2">
      <c r="A1006" s="269">
        <v>45910.548668981479</v>
      </c>
      <c r="B1006" t="s">
        <v>1431</v>
      </c>
      <c r="C1006" t="s">
        <v>58</v>
      </c>
      <c r="D1006" t="s">
        <v>1454</v>
      </c>
      <c r="E1006">
        <v>1577</v>
      </c>
    </row>
    <row r="1007" spans="1:5" x14ac:dyDescent="0.2">
      <c r="A1007" s="269">
        <v>45910.548796296294</v>
      </c>
      <c r="B1007" t="s">
        <v>1431</v>
      </c>
      <c r="C1007" t="s">
        <v>58</v>
      </c>
      <c r="D1007" t="s">
        <v>1068</v>
      </c>
      <c r="E1007" t="s">
        <v>362</v>
      </c>
    </row>
    <row r="1008" spans="1:5" x14ac:dyDescent="0.2">
      <c r="A1008" s="269">
        <v>45910.548842592594</v>
      </c>
      <c r="B1008" t="s">
        <v>1431</v>
      </c>
      <c r="C1008" t="s">
        <v>58</v>
      </c>
      <c r="D1008" t="s">
        <v>1069</v>
      </c>
      <c r="E1008" t="s">
        <v>362</v>
      </c>
    </row>
    <row r="1009" spans="1:5" x14ac:dyDescent="0.2">
      <c r="A1009" s="269">
        <v>45910.548877314817</v>
      </c>
      <c r="B1009" t="s">
        <v>1431</v>
      </c>
      <c r="C1009" t="s">
        <v>58</v>
      </c>
      <c r="D1009" t="s">
        <v>1455</v>
      </c>
      <c r="E1009" t="s">
        <v>362</v>
      </c>
    </row>
    <row r="1010" spans="1:5" x14ac:dyDescent="0.2">
      <c r="A1010" s="269">
        <v>45910.548946759256</v>
      </c>
      <c r="B1010" t="s">
        <v>1431</v>
      </c>
      <c r="C1010" t="s">
        <v>58</v>
      </c>
      <c r="D1010" t="s">
        <v>1456</v>
      </c>
      <c r="E1010">
        <v>0</v>
      </c>
    </row>
    <row r="1011" spans="1:5" x14ac:dyDescent="0.2">
      <c r="A1011" s="269">
        <v>45910.548958333333</v>
      </c>
      <c r="B1011" t="s">
        <v>1431</v>
      </c>
      <c r="C1011" t="s">
        <v>58</v>
      </c>
      <c r="D1011" t="s">
        <v>1457</v>
      </c>
      <c r="E1011">
        <v>0</v>
      </c>
    </row>
    <row r="1012" spans="1:5" x14ac:dyDescent="0.2">
      <c r="A1012" s="269">
        <v>45910.549062500002</v>
      </c>
      <c r="B1012" t="s">
        <v>1431</v>
      </c>
      <c r="C1012" t="s">
        <v>58</v>
      </c>
      <c r="D1012" t="s">
        <v>1458</v>
      </c>
      <c r="E1012">
        <v>52.42</v>
      </c>
    </row>
    <row r="1013" spans="1:5" x14ac:dyDescent="0.2">
      <c r="A1013" s="269">
        <v>45910.549120370371</v>
      </c>
      <c r="B1013" t="s">
        <v>1431</v>
      </c>
      <c r="C1013" t="s">
        <v>58</v>
      </c>
      <c r="D1013" t="s">
        <v>925</v>
      </c>
      <c r="E1013">
        <v>581</v>
      </c>
    </row>
    <row r="1014" spans="1:5" x14ac:dyDescent="0.2">
      <c r="A1014" s="269">
        <v>45910.549201388887</v>
      </c>
      <c r="B1014" t="s">
        <v>1431</v>
      </c>
      <c r="C1014" t="s">
        <v>58</v>
      </c>
      <c r="D1014" t="s">
        <v>1459</v>
      </c>
      <c r="E1014">
        <v>87.97</v>
      </c>
    </row>
    <row r="1015" spans="1:5" x14ac:dyDescent="0.2">
      <c r="A1015" s="269">
        <v>45910.54923611111</v>
      </c>
      <c r="B1015" t="s">
        <v>1431</v>
      </c>
      <c r="C1015" t="s">
        <v>58</v>
      </c>
      <c r="D1015" t="s">
        <v>1460</v>
      </c>
      <c r="E1015">
        <v>653</v>
      </c>
    </row>
    <row r="1016" spans="1:5" x14ac:dyDescent="0.2">
      <c r="A1016" s="269">
        <v>45910.549270833333</v>
      </c>
      <c r="B1016" t="s">
        <v>1431</v>
      </c>
      <c r="C1016" t="s">
        <v>58</v>
      </c>
      <c r="D1016" t="s">
        <v>1461</v>
      </c>
      <c r="E1016">
        <v>0</v>
      </c>
    </row>
    <row r="1017" spans="1:5" x14ac:dyDescent="0.2">
      <c r="A1017" s="269">
        <v>45910.549293981479</v>
      </c>
      <c r="B1017" t="s">
        <v>1431</v>
      </c>
      <c r="C1017" t="s">
        <v>58</v>
      </c>
      <c r="D1017" t="s">
        <v>1462</v>
      </c>
      <c r="E1017">
        <v>0</v>
      </c>
    </row>
    <row r="1018" spans="1:5" x14ac:dyDescent="0.2">
      <c r="A1018" s="269">
        <v>45910.549340277779</v>
      </c>
      <c r="B1018" t="s">
        <v>1431</v>
      </c>
      <c r="C1018" t="s">
        <v>58</v>
      </c>
      <c r="D1018" t="s">
        <v>1463</v>
      </c>
      <c r="E1018" t="s">
        <v>371</v>
      </c>
    </row>
    <row r="1019" spans="1:5" x14ac:dyDescent="0.2">
      <c r="A1019" s="269">
        <v>45910.549386574072</v>
      </c>
      <c r="B1019" t="s">
        <v>1431</v>
      </c>
      <c r="C1019" t="s">
        <v>58</v>
      </c>
      <c r="D1019" t="s">
        <v>1464</v>
      </c>
      <c r="E1019" t="s">
        <v>371</v>
      </c>
    </row>
    <row r="1020" spans="1:5" x14ac:dyDescent="0.2">
      <c r="A1020" s="269">
        <v>45910.549421296295</v>
      </c>
      <c r="B1020" t="s">
        <v>1431</v>
      </c>
      <c r="C1020" t="s">
        <v>58</v>
      </c>
      <c r="D1020" t="s">
        <v>1465</v>
      </c>
      <c r="E1020" t="s">
        <v>371</v>
      </c>
    </row>
    <row r="1021" spans="1:5" x14ac:dyDescent="0.2">
      <c r="A1021" s="269">
        <v>45910.549733796295</v>
      </c>
      <c r="B1021" t="s">
        <v>1431</v>
      </c>
      <c r="C1021" t="s">
        <v>58</v>
      </c>
      <c r="D1021" t="s">
        <v>1466</v>
      </c>
    </row>
    <row r="1022" spans="1:5" x14ac:dyDescent="0.2">
      <c r="A1022" s="269">
        <v>45910.549733796295</v>
      </c>
      <c r="B1022" t="s">
        <v>1431</v>
      </c>
      <c r="C1022" t="s">
        <v>58</v>
      </c>
      <c r="D1022" t="s">
        <v>1467</v>
      </c>
      <c r="E1022">
        <v>52.42</v>
      </c>
    </row>
    <row r="1023" spans="1:5" x14ac:dyDescent="0.2">
      <c r="A1023" s="269">
        <v>45910.549826388888</v>
      </c>
      <c r="B1023" t="s">
        <v>1431</v>
      </c>
      <c r="C1023" t="s">
        <v>58</v>
      </c>
      <c r="D1023" t="s">
        <v>1458</v>
      </c>
      <c r="E1023">
        <v>40.69</v>
      </c>
    </row>
    <row r="1024" spans="1:5" x14ac:dyDescent="0.2">
      <c r="A1024" s="269">
        <v>45910.54991898148</v>
      </c>
      <c r="B1024" t="s">
        <v>1431</v>
      </c>
      <c r="C1024" t="s">
        <v>58</v>
      </c>
      <c r="D1024" t="s">
        <v>1459</v>
      </c>
    </row>
    <row r="1025" spans="1:5" x14ac:dyDescent="0.2">
      <c r="A1025" s="269">
        <v>45910.55</v>
      </c>
      <c r="B1025" t="s">
        <v>1431</v>
      </c>
      <c r="C1025" t="s">
        <v>58</v>
      </c>
      <c r="D1025" t="s">
        <v>1468</v>
      </c>
    </row>
    <row r="1026" spans="1:5" x14ac:dyDescent="0.2">
      <c r="A1026" s="269">
        <v>45910.55</v>
      </c>
      <c r="B1026" t="s">
        <v>1431</v>
      </c>
      <c r="C1026" t="s">
        <v>58</v>
      </c>
      <c r="D1026" t="s">
        <v>1469</v>
      </c>
      <c r="E1026">
        <v>581</v>
      </c>
    </row>
    <row r="1027" spans="1:5" x14ac:dyDescent="0.2">
      <c r="A1027" s="269">
        <v>45910.550115740742</v>
      </c>
      <c r="B1027" t="s">
        <v>1431</v>
      </c>
      <c r="C1027" t="s">
        <v>58</v>
      </c>
      <c r="D1027" t="s">
        <v>668</v>
      </c>
      <c r="E1027">
        <v>581</v>
      </c>
    </row>
    <row r="1028" spans="1:5" x14ac:dyDescent="0.2">
      <c r="A1028" s="269">
        <v>45910.550150462965</v>
      </c>
      <c r="B1028" t="s">
        <v>1431</v>
      </c>
      <c r="C1028" t="s">
        <v>58</v>
      </c>
      <c r="D1028" t="s">
        <v>1470</v>
      </c>
      <c r="E1028">
        <v>653</v>
      </c>
    </row>
    <row r="1029" spans="1:5" x14ac:dyDescent="0.2">
      <c r="A1029" s="269">
        <v>45910.550185185188</v>
      </c>
      <c r="B1029" t="s">
        <v>1431</v>
      </c>
      <c r="C1029" t="s">
        <v>58</v>
      </c>
      <c r="D1029" t="s">
        <v>1471</v>
      </c>
      <c r="E1029">
        <v>0</v>
      </c>
    </row>
    <row r="1030" spans="1:5" x14ac:dyDescent="0.2">
      <c r="A1030" s="269">
        <v>45910.550254629627</v>
      </c>
      <c r="B1030" t="s">
        <v>1431</v>
      </c>
      <c r="C1030" t="s">
        <v>58</v>
      </c>
      <c r="D1030" t="s">
        <v>1469</v>
      </c>
    </row>
    <row r="1031" spans="1:5" x14ac:dyDescent="0.2">
      <c r="A1031" s="269">
        <v>45910.550312500003</v>
      </c>
      <c r="B1031" t="s">
        <v>1431</v>
      </c>
      <c r="C1031" t="s">
        <v>58</v>
      </c>
      <c r="D1031" t="s">
        <v>1472</v>
      </c>
    </row>
    <row r="1032" spans="1:5" x14ac:dyDescent="0.2">
      <c r="A1032" s="269">
        <v>45910.550335648149</v>
      </c>
      <c r="B1032" t="s">
        <v>1431</v>
      </c>
      <c r="C1032" t="s">
        <v>58</v>
      </c>
      <c r="D1032" t="s">
        <v>1472</v>
      </c>
    </row>
    <row r="1033" spans="1:5" x14ac:dyDescent="0.2">
      <c r="A1033" s="269">
        <v>45910.550347222219</v>
      </c>
      <c r="B1033" t="s">
        <v>1431</v>
      </c>
      <c r="C1033" t="s">
        <v>58</v>
      </c>
      <c r="D1033" t="s">
        <v>1469</v>
      </c>
      <c r="E1033">
        <v>581</v>
      </c>
    </row>
    <row r="1034" spans="1:5" x14ac:dyDescent="0.2">
      <c r="A1034" s="269">
        <v>45910.550347222219</v>
      </c>
      <c r="B1034" t="s">
        <v>1431</v>
      </c>
      <c r="C1034" t="s">
        <v>58</v>
      </c>
      <c r="D1034" t="s">
        <v>1471</v>
      </c>
      <c r="E1034">
        <v>0</v>
      </c>
    </row>
    <row r="1035" spans="1:5" x14ac:dyDescent="0.2">
      <c r="A1035" s="269">
        <v>45910.550358796296</v>
      </c>
      <c r="B1035" t="s">
        <v>1431</v>
      </c>
      <c r="C1035" t="s">
        <v>58</v>
      </c>
      <c r="D1035" t="s">
        <v>1470</v>
      </c>
      <c r="E1035">
        <v>653</v>
      </c>
    </row>
    <row r="1036" spans="1:5" x14ac:dyDescent="0.2">
      <c r="A1036" s="269">
        <v>45910.550358796296</v>
      </c>
      <c r="B1036" t="s">
        <v>1431</v>
      </c>
      <c r="C1036" t="s">
        <v>58</v>
      </c>
      <c r="D1036" t="s">
        <v>668</v>
      </c>
      <c r="E1036">
        <v>581</v>
      </c>
    </row>
    <row r="1037" spans="1:5" x14ac:dyDescent="0.2">
      <c r="A1037" s="269">
        <v>45910.550370370373</v>
      </c>
      <c r="B1037" t="s">
        <v>1431</v>
      </c>
      <c r="C1037" t="s">
        <v>58</v>
      </c>
      <c r="D1037" t="s">
        <v>1468</v>
      </c>
      <c r="E1037">
        <v>581</v>
      </c>
    </row>
    <row r="1038" spans="1:5" x14ac:dyDescent="0.2">
      <c r="A1038" s="269">
        <v>45910.550370370373</v>
      </c>
      <c r="B1038" t="s">
        <v>1431</v>
      </c>
      <c r="C1038" t="s">
        <v>58</v>
      </c>
      <c r="D1038" t="s">
        <v>1469</v>
      </c>
    </row>
    <row r="1039" spans="1:5" x14ac:dyDescent="0.2">
      <c r="A1039" s="269">
        <v>45910.550370370373</v>
      </c>
      <c r="B1039" t="s">
        <v>1431</v>
      </c>
      <c r="C1039" t="s">
        <v>58</v>
      </c>
      <c r="D1039" t="s">
        <v>1469</v>
      </c>
    </row>
    <row r="1040" spans="1:5" x14ac:dyDescent="0.2">
      <c r="A1040" s="269">
        <v>45910.550428240742</v>
      </c>
      <c r="B1040" t="s">
        <v>1431</v>
      </c>
      <c r="C1040" t="s">
        <v>58</v>
      </c>
      <c r="D1040" t="s">
        <v>668</v>
      </c>
      <c r="E1040">
        <v>581</v>
      </c>
    </row>
    <row r="1041" spans="1:5" x14ac:dyDescent="0.2">
      <c r="A1041" s="269">
        <v>45910.550451388888</v>
      </c>
      <c r="B1041" t="s">
        <v>1431</v>
      </c>
      <c r="C1041" t="s">
        <v>58</v>
      </c>
      <c r="D1041" t="s">
        <v>1470</v>
      </c>
      <c r="E1041">
        <v>653</v>
      </c>
    </row>
    <row r="1042" spans="1:5" x14ac:dyDescent="0.2">
      <c r="A1042" s="269">
        <v>45910.550474537034</v>
      </c>
      <c r="B1042" t="s">
        <v>1431</v>
      </c>
      <c r="C1042" t="s">
        <v>58</v>
      </c>
      <c r="D1042" t="s">
        <v>1471</v>
      </c>
      <c r="E1042">
        <v>0</v>
      </c>
    </row>
    <row r="1043" spans="1:5" x14ac:dyDescent="0.2">
      <c r="A1043" s="269">
        <v>45910.550578703704</v>
      </c>
      <c r="B1043" t="s">
        <v>1431</v>
      </c>
      <c r="C1043" t="s">
        <v>58</v>
      </c>
      <c r="D1043" t="s">
        <v>925</v>
      </c>
      <c r="E1043">
        <v>397</v>
      </c>
    </row>
    <row r="1044" spans="1:5" x14ac:dyDescent="0.2">
      <c r="A1044" s="269">
        <v>45910.55064814815</v>
      </c>
      <c r="B1044" t="s">
        <v>1431</v>
      </c>
      <c r="C1044" t="s">
        <v>58</v>
      </c>
      <c r="D1044" t="s">
        <v>1459</v>
      </c>
      <c r="E1044">
        <v>162.01</v>
      </c>
    </row>
    <row r="1045" spans="1:5" x14ac:dyDescent="0.2">
      <c r="A1045" s="269">
        <v>45910.550682870373</v>
      </c>
      <c r="B1045" t="s">
        <v>1431</v>
      </c>
      <c r="C1045" t="s">
        <v>58</v>
      </c>
      <c r="D1045" t="s">
        <v>1460</v>
      </c>
      <c r="E1045">
        <v>1305</v>
      </c>
    </row>
    <row r="1046" spans="1:5" x14ac:dyDescent="0.2">
      <c r="A1046" s="269">
        <v>45910.550729166665</v>
      </c>
      <c r="B1046" t="s">
        <v>1431</v>
      </c>
      <c r="C1046" t="s">
        <v>58</v>
      </c>
      <c r="D1046" t="s">
        <v>1461</v>
      </c>
      <c r="E1046">
        <v>0</v>
      </c>
    </row>
    <row r="1047" spans="1:5" x14ac:dyDescent="0.2">
      <c r="A1047" s="269">
        <v>45910.550868055558</v>
      </c>
      <c r="B1047" t="s">
        <v>1431</v>
      </c>
      <c r="C1047" t="s">
        <v>58</v>
      </c>
      <c r="D1047" t="s">
        <v>676</v>
      </c>
      <c r="E1047" t="s">
        <v>343</v>
      </c>
    </row>
    <row r="1048" spans="1:5" x14ac:dyDescent="0.2">
      <c r="A1048" s="269">
        <v>45910.55091435185</v>
      </c>
      <c r="B1048" t="s">
        <v>1431</v>
      </c>
      <c r="C1048" t="s">
        <v>58</v>
      </c>
      <c r="D1048" t="s">
        <v>676</v>
      </c>
      <c r="E1048" t="s">
        <v>365</v>
      </c>
    </row>
    <row r="1049" spans="1:5" x14ac:dyDescent="0.2">
      <c r="A1049" s="269">
        <v>45910.550983796296</v>
      </c>
      <c r="B1049" t="s">
        <v>1431</v>
      </c>
      <c r="C1049" t="s">
        <v>58</v>
      </c>
      <c r="D1049" t="s">
        <v>677</v>
      </c>
      <c r="E1049" t="s">
        <v>381</v>
      </c>
    </row>
    <row r="1050" spans="1:5" x14ac:dyDescent="0.2">
      <c r="A1050" s="269">
        <v>45910.551030092596</v>
      </c>
      <c r="B1050" t="s">
        <v>1431</v>
      </c>
      <c r="C1050" t="s">
        <v>58</v>
      </c>
      <c r="D1050" t="s">
        <v>678</v>
      </c>
      <c r="E1050" t="s">
        <v>343</v>
      </c>
    </row>
    <row r="1051" spans="1:5" x14ac:dyDescent="0.2">
      <c r="A1051" s="269">
        <v>45910.551076388889</v>
      </c>
      <c r="B1051" t="s">
        <v>1431</v>
      </c>
      <c r="C1051" t="s">
        <v>58</v>
      </c>
      <c r="D1051" t="s">
        <v>1473</v>
      </c>
      <c r="E1051" t="s">
        <v>365</v>
      </c>
    </row>
    <row r="1052" spans="1:5" x14ac:dyDescent="0.2">
      <c r="A1052" s="269">
        <v>45910.551122685189</v>
      </c>
      <c r="B1052" t="s">
        <v>1431</v>
      </c>
      <c r="C1052" t="s">
        <v>58</v>
      </c>
      <c r="D1052" t="s">
        <v>1474</v>
      </c>
      <c r="E1052" t="s">
        <v>381</v>
      </c>
    </row>
    <row r="1053" spans="1:5" x14ac:dyDescent="0.2">
      <c r="A1053" s="269">
        <v>45910.551180555558</v>
      </c>
      <c r="B1053" t="s">
        <v>1431</v>
      </c>
      <c r="C1053" t="s">
        <v>58</v>
      </c>
      <c r="D1053" t="s">
        <v>1475</v>
      </c>
      <c r="E1053" t="s">
        <v>343</v>
      </c>
    </row>
    <row r="1054" spans="1:5" x14ac:dyDescent="0.2">
      <c r="A1054" s="269">
        <v>45910.551238425927</v>
      </c>
      <c r="B1054" t="s">
        <v>1431</v>
      </c>
      <c r="C1054" t="s">
        <v>58</v>
      </c>
      <c r="D1054" t="s">
        <v>1476</v>
      </c>
      <c r="E1054" t="s">
        <v>63</v>
      </c>
    </row>
    <row r="1055" spans="1:5" x14ac:dyDescent="0.2">
      <c r="A1055" s="269">
        <v>45910.551249999997</v>
      </c>
      <c r="B1055" t="s">
        <v>1431</v>
      </c>
      <c r="C1055" t="s">
        <v>58</v>
      </c>
      <c r="D1055" t="s">
        <v>1477</v>
      </c>
      <c r="E1055" t="s">
        <v>63</v>
      </c>
    </row>
    <row r="1056" spans="1:5" x14ac:dyDescent="0.2">
      <c r="A1056" s="269">
        <v>45910.55127314815</v>
      </c>
      <c r="B1056" t="s">
        <v>1431</v>
      </c>
      <c r="C1056" t="s">
        <v>58</v>
      </c>
      <c r="D1056" t="s">
        <v>1478</v>
      </c>
      <c r="E1056" t="s">
        <v>63</v>
      </c>
    </row>
    <row r="1057" spans="1:5" x14ac:dyDescent="0.2">
      <c r="A1057" s="269">
        <v>45910.551365740743</v>
      </c>
      <c r="B1057" t="s">
        <v>1431</v>
      </c>
      <c r="C1057" t="s">
        <v>58</v>
      </c>
      <c r="D1057" t="s">
        <v>1479</v>
      </c>
      <c r="E1057" t="s">
        <v>63</v>
      </c>
    </row>
    <row r="1058" spans="1:5" x14ac:dyDescent="0.2">
      <c r="A1058" s="269">
        <v>45910.551388888889</v>
      </c>
      <c r="B1058" t="s">
        <v>1431</v>
      </c>
      <c r="C1058" t="s">
        <v>58</v>
      </c>
      <c r="D1058" t="s">
        <v>1480</v>
      </c>
      <c r="E1058" t="s">
        <v>63</v>
      </c>
    </row>
    <row r="1059" spans="1:5" x14ac:dyDescent="0.2">
      <c r="A1059" s="269">
        <v>45910.551423611112</v>
      </c>
      <c r="B1059" t="s">
        <v>1431</v>
      </c>
      <c r="C1059" t="s">
        <v>58</v>
      </c>
      <c r="D1059" t="s">
        <v>1481</v>
      </c>
      <c r="E1059" t="s">
        <v>63</v>
      </c>
    </row>
    <row r="1060" spans="1:5" x14ac:dyDescent="0.2">
      <c r="A1060" s="269">
        <v>45910.551458333335</v>
      </c>
      <c r="B1060" t="s">
        <v>1431</v>
      </c>
      <c r="C1060" t="s">
        <v>58</v>
      </c>
      <c r="D1060" t="s">
        <v>1482</v>
      </c>
      <c r="E1060" t="s">
        <v>379</v>
      </c>
    </row>
    <row r="1061" spans="1:5" x14ac:dyDescent="0.2">
      <c r="A1061" s="269">
        <v>45910.551493055558</v>
      </c>
      <c r="B1061" t="s">
        <v>1431</v>
      </c>
      <c r="C1061" t="s">
        <v>58</v>
      </c>
      <c r="D1061" t="s">
        <v>1483</v>
      </c>
      <c r="E1061" t="s">
        <v>379</v>
      </c>
    </row>
    <row r="1062" spans="1:5" x14ac:dyDescent="0.2">
      <c r="A1062" s="269">
        <v>45910.551539351851</v>
      </c>
      <c r="B1062" t="s">
        <v>1431</v>
      </c>
      <c r="C1062" t="s">
        <v>58</v>
      </c>
      <c r="D1062" t="s">
        <v>1484</v>
      </c>
      <c r="E1062" t="s">
        <v>379</v>
      </c>
    </row>
    <row r="1063" spans="1:5" x14ac:dyDescent="0.2">
      <c r="A1063" s="269">
        <v>45910.551585648151</v>
      </c>
      <c r="B1063" t="s">
        <v>1431</v>
      </c>
      <c r="C1063" t="s">
        <v>58</v>
      </c>
      <c r="D1063" t="s">
        <v>1485</v>
      </c>
      <c r="E1063" t="s">
        <v>390</v>
      </c>
    </row>
    <row r="1064" spans="1:5" x14ac:dyDescent="0.2">
      <c r="A1064" s="269">
        <v>45910.551620370374</v>
      </c>
      <c r="B1064" t="s">
        <v>1431</v>
      </c>
      <c r="C1064" t="s">
        <v>58</v>
      </c>
      <c r="D1064" t="s">
        <v>1485</v>
      </c>
      <c r="E1064" t="s">
        <v>386</v>
      </c>
    </row>
    <row r="1065" spans="1:5" x14ac:dyDescent="0.2">
      <c r="A1065" s="269">
        <v>45910.551655092589</v>
      </c>
      <c r="B1065" t="s">
        <v>1431</v>
      </c>
      <c r="C1065" t="s">
        <v>58</v>
      </c>
      <c r="D1065" t="s">
        <v>1486</v>
      </c>
      <c r="E1065" t="s">
        <v>386</v>
      </c>
    </row>
    <row r="1066" spans="1:5" x14ac:dyDescent="0.2">
      <c r="A1066" s="269">
        <v>45910.551701388889</v>
      </c>
      <c r="B1066" t="s">
        <v>1431</v>
      </c>
      <c r="C1066" t="s">
        <v>58</v>
      </c>
      <c r="D1066" t="s">
        <v>1487</v>
      </c>
      <c r="E1066" t="s">
        <v>386</v>
      </c>
    </row>
    <row r="1067" spans="1:5" x14ac:dyDescent="0.2">
      <c r="A1067" s="269">
        <v>45910.551944444444</v>
      </c>
      <c r="B1067" t="s">
        <v>1431</v>
      </c>
      <c r="C1067" t="s">
        <v>58</v>
      </c>
      <c r="D1067" t="s">
        <v>1488</v>
      </c>
      <c r="E1067">
        <v>47.5</v>
      </c>
    </row>
    <row r="1068" spans="1:5" x14ac:dyDescent="0.2">
      <c r="A1068" s="269">
        <v>45910.55196759259</v>
      </c>
      <c r="B1068" t="s">
        <v>1431</v>
      </c>
      <c r="C1068" t="s">
        <v>58</v>
      </c>
      <c r="D1068" t="s">
        <v>1489</v>
      </c>
      <c r="E1068">
        <v>686</v>
      </c>
    </row>
    <row r="1069" spans="1:5" x14ac:dyDescent="0.2">
      <c r="A1069" s="269">
        <v>45910.552037037036</v>
      </c>
      <c r="B1069" t="s">
        <v>1431</v>
      </c>
      <c r="C1069" t="s">
        <v>58</v>
      </c>
      <c r="D1069" t="s">
        <v>1490</v>
      </c>
      <c r="E1069">
        <v>83.32</v>
      </c>
    </row>
    <row r="1070" spans="1:5" x14ac:dyDescent="0.2">
      <c r="A1070" s="269">
        <v>45910.552071759259</v>
      </c>
      <c r="B1070" t="s">
        <v>1431</v>
      </c>
      <c r="C1070" t="s">
        <v>58</v>
      </c>
      <c r="D1070" t="s">
        <v>1491</v>
      </c>
      <c r="E1070">
        <v>780</v>
      </c>
    </row>
    <row r="1071" spans="1:5" x14ac:dyDescent="0.2">
      <c r="A1071" s="269">
        <v>45910.552118055559</v>
      </c>
      <c r="B1071" t="s">
        <v>1431</v>
      </c>
      <c r="C1071" t="s">
        <v>58</v>
      </c>
      <c r="D1071" t="s">
        <v>1492</v>
      </c>
      <c r="E1071">
        <v>0</v>
      </c>
    </row>
    <row r="1072" spans="1:5" x14ac:dyDescent="0.2">
      <c r="A1072" s="269">
        <v>45910.552129629628</v>
      </c>
      <c r="B1072" t="s">
        <v>1431</v>
      </c>
      <c r="C1072" t="s">
        <v>58</v>
      </c>
      <c r="D1072" t="s">
        <v>1493</v>
      </c>
      <c r="E1072">
        <v>0</v>
      </c>
    </row>
    <row r="1073" spans="1:5" x14ac:dyDescent="0.2">
      <c r="A1073" s="269">
        <v>45910.552199074074</v>
      </c>
      <c r="B1073" t="s">
        <v>1431</v>
      </c>
      <c r="C1073" t="s">
        <v>58</v>
      </c>
      <c r="D1073" t="s">
        <v>1494</v>
      </c>
      <c r="E1073">
        <v>61.8</v>
      </c>
    </row>
    <row r="1074" spans="1:5" x14ac:dyDescent="0.2">
      <c r="A1074" s="269">
        <v>45910.552245370367</v>
      </c>
      <c r="B1074" t="s">
        <v>1431</v>
      </c>
      <c r="C1074" t="s">
        <v>58</v>
      </c>
      <c r="D1074" t="s">
        <v>1495</v>
      </c>
      <c r="E1074">
        <v>601</v>
      </c>
    </row>
    <row r="1075" spans="1:5" x14ac:dyDescent="0.2">
      <c r="A1075" s="269">
        <v>45910.552314814813</v>
      </c>
      <c r="B1075" t="s">
        <v>1431</v>
      </c>
      <c r="C1075" t="s">
        <v>58</v>
      </c>
      <c r="D1075" t="s">
        <v>1496</v>
      </c>
      <c r="E1075">
        <v>92.5</v>
      </c>
    </row>
    <row r="1076" spans="1:5" x14ac:dyDescent="0.2">
      <c r="A1076" s="269">
        <v>45910.552337962959</v>
      </c>
      <c r="B1076" t="s">
        <v>1431</v>
      </c>
      <c r="C1076" t="s">
        <v>58</v>
      </c>
      <c r="D1076" t="s">
        <v>1497</v>
      </c>
      <c r="E1076">
        <v>675</v>
      </c>
    </row>
    <row r="1077" spans="1:5" x14ac:dyDescent="0.2">
      <c r="A1077" s="269">
        <v>45910.552395833336</v>
      </c>
      <c r="B1077" t="s">
        <v>1431</v>
      </c>
      <c r="C1077" t="s">
        <v>58</v>
      </c>
      <c r="D1077" t="s">
        <v>1498</v>
      </c>
      <c r="E1077">
        <v>2.66</v>
      </c>
    </row>
    <row r="1078" spans="1:5" x14ac:dyDescent="0.2">
      <c r="A1078" s="269">
        <v>45910.552488425928</v>
      </c>
      <c r="B1078" t="s">
        <v>1431</v>
      </c>
      <c r="C1078" t="s">
        <v>58</v>
      </c>
      <c r="D1078" t="s">
        <v>1499</v>
      </c>
      <c r="E1078">
        <v>7.24</v>
      </c>
    </row>
    <row r="1079" spans="1:5" x14ac:dyDescent="0.2">
      <c r="A1079" s="269">
        <v>45910.552916666667</v>
      </c>
      <c r="B1079" t="s">
        <v>1431</v>
      </c>
      <c r="C1079" t="s">
        <v>15</v>
      </c>
      <c r="D1079" t="s">
        <v>1191</v>
      </c>
      <c r="E1079" t="s">
        <v>1500</v>
      </c>
    </row>
    <row r="1080" spans="1:5" x14ac:dyDescent="0.2">
      <c r="A1080" s="269">
        <v>45910.553090277775</v>
      </c>
      <c r="B1080" t="s">
        <v>1431</v>
      </c>
      <c r="C1080" t="s">
        <v>15</v>
      </c>
      <c r="D1080" t="s">
        <v>795</v>
      </c>
      <c r="E1080" t="s">
        <v>1501</v>
      </c>
    </row>
    <row r="1081" spans="1:5" x14ac:dyDescent="0.2">
      <c r="A1081" s="269">
        <v>45910.553124999999</v>
      </c>
      <c r="B1081" t="s">
        <v>1431</v>
      </c>
      <c r="C1081" t="s">
        <v>15</v>
      </c>
      <c r="D1081" t="s">
        <v>1013</v>
      </c>
      <c r="E1081" t="s">
        <v>1501</v>
      </c>
    </row>
    <row r="1082" spans="1:5" x14ac:dyDescent="0.2">
      <c r="A1082" s="269">
        <v>45910.553217592591</v>
      </c>
      <c r="B1082" t="s">
        <v>1431</v>
      </c>
      <c r="C1082" t="s">
        <v>15</v>
      </c>
      <c r="D1082" t="s">
        <v>1066</v>
      </c>
      <c r="E1082">
        <v>3</v>
      </c>
    </row>
    <row r="1083" spans="1:5" x14ac:dyDescent="0.2">
      <c r="A1083" s="269">
        <v>45910.553229166668</v>
      </c>
      <c r="B1083" t="s">
        <v>1431</v>
      </c>
      <c r="C1083" t="s">
        <v>15</v>
      </c>
      <c r="D1083" t="s">
        <v>994</v>
      </c>
      <c r="E1083">
        <v>4</v>
      </c>
    </row>
    <row r="1084" spans="1:5" x14ac:dyDescent="0.2">
      <c r="A1084" s="269">
        <v>45910.553240740737</v>
      </c>
      <c r="B1084" t="s">
        <v>1431</v>
      </c>
      <c r="C1084" t="s">
        <v>15</v>
      </c>
      <c r="D1084" t="s">
        <v>1015</v>
      </c>
      <c r="E1084">
        <v>4</v>
      </c>
    </row>
    <row r="1085" spans="1:5" x14ac:dyDescent="0.2">
      <c r="A1085" s="269">
        <v>45910.553287037037</v>
      </c>
      <c r="B1085" t="s">
        <v>1431</v>
      </c>
      <c r="C1085" t="s">
        <v>15</v>
      </c>
      <c r="D1085" t="s">
        <v>1010</v>
      </c>
      <c r="E1085" t="s">
        <v>197</v>
      </c>
    </row>
    <row r="1086" spans="1:5" x14ac:dyDescent="0.2">
      <c r="A1086" s="269">
        <v>45910.553333333337</v>
      </c>
      <c r="B1086" t="s">
        <v>1431</v>
      </c>
      <c r="C1086" t="s">
        <v>15</v>
      </c>
      <c r="D1086" t="s">
        <v>995</v>
      </c>
      <c r="E1086" t="s">
        <v>200</v>
      </c>
    </row>
    <row r="1087" spans="1:5" x14ac:dyDescent="0.2">
      <c r="A1087" s="269">
        <v>45910.553391203706</v>
      </c>
      <c r="B1087" t="s">
        <v>1431</v>
      </c>
      <c r="C1087" t="s">
        <v>15</v>
      </c>
      <c r="D1087" t="s">
        <v>1014</v>
      </c>
      <c r="E1087" t="s">
        <v>200</v>
      </c>
    </row>
    <row r="1088" spans="1:5" x14ac:dyDescent="0.2">
      <c r="A1088" s="269">
        <v>45910.553472222222</v>
      </c>
      <c r="B1088" t="s">
        <v>1431</v>
      </c>
      <c r="C1088" t="s">
        <v>15</v>
      </c>
      <c r="D1088" t="s">
        <v>973</v>
      </c>
      <c r="E1088" t="s">
        <v>380</v>
      </c>
    </row>
    <row r="1089" spans="1:5" x14ac:dyDescent="0.2">
      <c r="A1089" s="269">
        <v>45910.553506944445</v>
      </c>
      <c r="B1089" t="s">
        <v>1431</v>
      </c>
      <c r="C1089" t="s">
        <v>15</v>
      </c>
      <c r="D1089" t="s">
        <v>976</v>
      </c>
      <c r="E1089" t="s">
        <v>380</v>
      </c>
    </row>
    <row r="1090" spans="1:5" x14ac:dyDescent="0.2">
      <c r="A1090" s="269">
        <v>45910.553541666668</v>
      </c>
      <c r="B1090" t="s">
        <v>1431</v>
      </c>
      <c r="C1090" t="s">
        <v>15</v>
      </c>
      <c r="D1090" t="s">
        <v>977</v>
      </c>
      <c r="E1090" t="s">
        <v>372</v>
      </c>
    </row>
    <row r="1091" spans="1:5" x14ac:dyDescent="0.2">
      <c r="A1091" s="269">
        <v>45910.553576388891</v>
      </c>
      <c r="B1091" t="s">
        <v>1431</v>
      </c>
      <c r="C1091" t="s">
        <v>15</v>
      </c>
      <c r="D1091" t="s">
        <v>926</v>
      </c>
      <c r="E1091" t="s">
        <v>352</v>
      </c>
    </row>
    <row r="1092" spans="1:5" x14ac:dyDescent="0.2">
      <c r="A1092" s="269">
        <v>45910.553611111114</v>
      </c>
      <c r="B1092" t="s">
        <v>1431</v>
      </c>
      <c r="C1092" t="s">
        <v>15</v>
      </c>
      <c r="D1092" t="s">
        <v>874</v>
      </c>
      <c r="E1092" t="s">
        <v>352</v>
      </c>
    </row>
    <row r="1093" spans="1:5" x14ac:dyDescent="0.2">
      <c r="A1093" s="269">
        <v>45910.553680555553</v>
      </c>
      <c r="B1093" t="s">
        <v>1431</v>
      </c>
      <c r="C1093" t="s">
        <v>15</v>
      </c>
      <c r="D1093" t="s">
        <v>1453</v>
      </c>
      <c r="E1093" t="s">
        <v>352</v>
      </c>
    </row>
    <row r="1094" spans="1:5" x14ac:dyDescent="0.2">
      <c r="A1094" s="269">
        <v>45910.554988425924</v>
      </c>
      <c r="B1094" t="s">
        <v>1431</v>
      </c>
      <c r="C1094" t="s">
        <v>15</v>
      </c>
      <c r="D1094" t="s">
        <v>1502</v>
      </c>
      <c r="E1094" t="s">
        <v>362</v>
      </c>
    </row>
    <row r="1095" spans="1:5" x14ac:dyDescent="0.2">
      <c r="A1095" s="269">
        <v>45910.55505787037</v>
      </c>
      <c r="B1095" t="s">
        <v>1431</v>
      </c>
      <c r="C1095" t="s">
        <v>15</v>
      </c>
      <c r="D1095" t="s">
        <v>1503</v>
      </c>
      <c r="E1095" t="s">
        <v>362</v>
      </c>
    </row>
    <row r="1096" spans="1:5" x14ac:dyDescent="0.2">
      <c r="A1096" s="269">
        <v>45910.555219907408</v>
      </c>
      <c r="B1096" t="s">
        <v>1431</v>
      </c>
      <c r="C1096" t="s">
        <v>15</v>
      </c>
      <c r="D1096" t="s">
        <v>972</v>
      </c>
      <c r="E1096">
        <v>18</v>
      </c>
    </row>
    <row r="1097" spans="1:5" x14ac:dyDescent="0.2">
      <c r="A1097" s="269">
        <v>45910.555289351854</v>
      </c>
      <c r="B1097" t="s">
        <v>1431</v>
      </c>
      <c r="C1097" t="s">
        <v>15</v>
      </c>
      <c r="D1097" t="s">
        <v>1504</v>
      </c>
      <c r="E1097">
        <v>22.6</v>
      </c>
    </row>
    <row r="1098" spans="1:5" x14ac:dyDescent="0.2">
      <c r="A1098" s="269">
        <v>45910.556111111109</v>
      </c>
      <c r="B1098" t="s">
        <v>1431</v>
      </c>
      <c r="C1098" t="s">
        <v>103</v>
      </c>
      <c r="D1098" t="s">
        <v>1438</v>
      </c>
      <c r="E1098" t="s">
        <v>338</v>
      </c>
    </row>
    <row r="1099" spans="1:5" x14ac:dyDescent="0.2">
      <c r="A1099" s="269">
        <v>45910.556134259263</v>
      </c>
      <c r="B1099" t="s">
        <v>1431</v>
      </c>
      <c r="C1099" t="s">
        <v>103</v>
      </c>
      <c r="D1099" t="s">
        <v>1191</v>
      </c>
      <c r="E1099" t="s">
        <v>89</v>
      </c>
    </row>
    <row r="1100" spans="1:5" x14ac:dyDescent="0.2">
      <c r="A1100" s="269">
        <v>45910.556168981479</v>
      </c>
      <c r="B1100" t="s">
        <v>1431</v>
      </c>
      <c r="C1100" t="s">
        <v>103</v>
      </c>
      <c r="D1100" t="s">
        <v>795</v>
      </c>
      <c r="E1100" t="s">
        <v>362</v>
      </c>
    </row>
    <row r="1101" spans="1:5" x14ac:dyDescent="0.2">
      <c r="A1101" s="269">
        <v>45910.556226851855</v>
      </c>
      <c r="B1101" t="s">
        <v>1431</v>
      </c>
      <c r="C1101" t="s">
        <v>103</v>
      </c>
      <c r="D1101" t="s">
        <v>1013</v>
      </c>
      <c r="E1101" t="s">
        <v>371</v>
      </c>
    </row>
    <row r="1102" spans="1:5" x14ac:dyDescent="0.2">
      <c r="A1102" s="269">
        <v>45910.556261574071</v>
      </c>
      <c r="B1102" t="s">
        <v>1431</v>
      </c>
      <c r="C1102" t="s">
        <v>103</v>
      </c>
      <c r="D1102" t="s">
        <v>747</v>
      </c>
      <c r="E1102" t="s">
        <v>379</v>
      </c>
    </row>
    <row r="1103" spans="1:5" x14ac:dyDescent="0.2">
      <c r="A1103" s="269">
        <v>45910.556296296294</v>
      </c>
      <c r="B1103" t="s">
        <v>1431</v>
      </c>
      <c r="C1103" t="s">
        <v>103</v>
      </c>
      <c r="D1103" t="s">
        <v>1444</v>
      </c>
      <c r="E1103" t="s">
        <v>386</v>
      </c>
    </row>
    <row r="1104" spans="1:5" x14ac:dyDescent="0.2">
      <c r="A1104" s="269">
        <v>45910.556504629632</v>
      </c>
      <c r="B1104" t="s">
        <v>1431</v>
      </c>
      <c r="C1104" t="s">
        <v>103</v>
      </c>
      <c r="D1104" t="s">
        <v>983</v>
      </c>
      <c r="E1104">
        <v>32788</v>
      </c>
    </row>
    <row r="1105" spans="1:5" x14ac:dyDescent="0.2">
      <c r="A1105" s="269">
        <v>45910.556585648148</v>
      </c>
      <c r="B1105" t="s">
        <v>1431</v>
      </c>
      <c r="C1105" t="s">
        <v>103</v>
      </c>
      <c r="D1105" t="s">
        <v>1440</v>
      </c>
      <c r="E1105">
        <v>132190</v>
      </c>
    </row>
    <row r="1106" spans="1:5" x14ac:dyDescent="0.2">
      <c r="A1106" s="269">
        <v>45910.557256944441</v>
      </c>
      <c r="B1106" t="s">
        <v>1431</v>
      </c>
      <c r="C1106" t="s">
        <v>103</v>
      </c>
      <c r="D1106" t="s">
        <v>1066</v>
      </c>
      <c r="E1106">
        <v>35140</v>
      </c>
    </row>
    <row r="1107" spans="1:5" x14ac:dyDescent="0.2">
      <c r="A1107" s="269">
        <v>45910.557511574072</v>
      </c>
      <c r="B1107" t="s">
        <v>1431</v>
      </c>
      <c r="C1107" t="s">
        <v>103</v>
      </c>
      <c r="D1107" t="s">
        <v>973</v>
      </c>
      <c r="E1107">
        <v>230261.55</v>
      </c>
    </row>
    <row r="1108" spans="1:5" x14ac:dyDescent="0.2">
      <c r="A1108" s="269">
        <v>45910.557581018518</v>
      </c>
      <c r="B1108" t="s">
        <v>1431</v>
      </c>
      <c r="C1108" t="s">
        <v>103</v>
      </c>
      <c r="D1108" t="s">
        <v>994</v>
      </c>
      <c r="E1108">
        <v>5600</v>
      </c>
    </row>
    <row r="1109" spans="1:5" x14ac:dyDescent="0.2">
      <c r="A1109" s="269">
        <v>45910.557743055557</v>
      </c>
      <c r="B1109" t="s">
        <v>1431</v>
      </c>
      <c r="C1109" t="s">
        <v>103</v>
      </c>
      <c r="D1109" t="s">
        <v>976</v>
      </c>
      <c r="E1109">
        <v>93364.41</v>
      </c>
    </row>
    <row r="1110" spans="1:5" x14ac:dyDescent="0.2">
      <c r="A1110" s="269">
        <v>45910.557812500003</v>
      </c>
      <c r="B1110" t="s">
        <v>1431</v>
      </c>
      <c r="C1110" t="s">
        <v>103</v>
      </c>
      <c r="D1110" t="s">
        <v>1015</v>
      </c>
      <c r="E1110">
        <v>29288</v>
      </c>
    </row>
    <row r="1111" spans="1:5" x14ac:dyDescent="0.2">
      <c r="A1111" s="269">
        <v>45910.55804398148</v>
      </c>
      <c r="B1111" t="s">
        <v>1431</v>
      </c>
      <c r="C1111" t="s">
        <v>103</v>
      </c>
      <c r="D1111" t="s">
        <v>1018</v>
      </c>
      <c r="E1111">
        <v>277224.40000000002</v>
      </c>
    </row>
    <row r="1112" spans="1:5" x14ac:dyDescent="0.2">
      <c r="A1112" s="269">
        <v>45910.558113425926</v>
      </c>
      <c r="B1112" t="s">
        <v>1431</v>
      </c>
      <c r="C1112" t="s">
        <v>103</v>
      </c>
      <c r="D1112" t="s">
        <v>977</v>
      </c>
      <c r="E1112">
        <v>277224.40000000002</v>
      </c>
    </row>
    <row r="1113" spans="1:5" x14ac:dyDescent="0.2">
      <c r="A1113" s="269">
        <v>45910.558263888888</v>
      </c>
      <c r="B1113" t="s">
        <v>1431</v>
      </c>
      <c r="C1113" t="s">
        <v>103</v>
      </c>
      <c r="D1113" t="s">
        <v>1018</v>
      </c>
      <c r="E1113">
        <v>37772</v>
      </c>
    </row>
    <row r="1114" spans="1:5" x14ac:dyDescent="0.2">
      <c r="A1114" s="269">
        <v>45910.558368055557</v>
      </c>
      <c r="B1114" t="s">
        <v>1431</v>
      </c>
      <c r="C1114" t="s">
        <v>103</v>
      </c>
      <c r="D1114" t="s">
        <v>923</v>
      </c>
      <c r="E1114">
        <v>335492</v>
      </c>
    </row>
    <row r="1115" spans="1:5" x14ac:dyDescent="0.2">
      <c r="A1115" s="269">
        <v>45910.558472222219</v>
      </c>
      <c r="B1115" t="s">
        <v>1431</v>
      </c>
      <c r="C1115" t="s">
        <v>103</v>
      </c>
      <c r="D1115" t="s">
        <v>1068</v>
      </c>
      <c r="E1115">
        <v>41776</v>
      </c>
    </row>
    <row r="1116" spans="1:5" x14ac:dyDescent="0.2">
      <c r="A1116" s="269">
        <v>45910.558576388888</v>
      </c>
      <c r="B1116" t="s">
        <v>1431</v>
      </c>
      <c r="C1116" t="s">
        <v>103</v>
      </c>
      <c r="D1116" t="s">
        <v>918</v>
      </c>
      <c r="E1116">
        <v>354701.66</v>
      </c>
    </row>
    <row r="1117" spans="1:5" x14ac:dyDescent="0.2">
      <c r="A1117" s="269">
        <v>45910.558738425927</v>
      </c>
      <c r="B1117" t="s">
        <v>1431</v>
      </c>
      <c r="C1117" t="s">
        <v>103</v>
      </c>
      <c r="D1117" t="s">
        <v>937</v>
      </c>
      <c r="E1117" t="s">
        <v>375</v>
      </c>
    </row>
    <row r="1118" spans="1:5" x14ac:dyDescent="0.2">
      <c r="A1118" s="269">
        <v>45910.558761574073</v>
      </c>
      <c r="B1118" t="s">
        <v>1431</v>
      </c>
      <c r="C1118" t="s">
        <v>103</v>
      </c>
      <c r="D1118" t="s">
        <v>926</v>
      </c>
      <c r="E1118" t="s">
        <v>375</v>
      </c>
    </row>
    <row r="1119" spans="1:5" x14ac:dyDescent="0.2">
      <c r="A1119" s="269">
        <v>45910.558796296296</v>
      </c>
      <c r="B1119" t="s">
        <v>1431</v>
      </c>
      <c r="C1119" t="s">
        <v>103</v>
      </c>
      <c r="D1119" t="s">
        <v>874</v>
      </c>
      <c r="E1119" t="s">
        <v>375</v>
      </c>
    </row>
    <row r="1120" spans="1:5" x14ac:dyDescent="0.2">
      <c r="A1120" s="269">
        <v>45910.558831018519</v>
      </c>
      <c r="B1120" t="s">
        <v>1431</v>
      </c>
      <c r="C1120" t="s">
        <v>103</v>
      </c>
      <c r="D1120" t="s">
        <v>1453</v>
      </c>
      <c r="E1120" t="s">
        <v>375</v>
      </c>
    </row>
    <row r="1121" spans="1:5" x14ac:dyDescent="0.2">
      <c r="A1121" s="269">
        <v>45910.558865740742</v>
      </c>
      <c r="B1121" t="s">
        <v>1431</v>
      </c>
      <c r="C1121" t="s">
        <v>103</v>
      </c>
      <c r="D1121" t="s">
        <v>1456</v>
      </c>
      <c r="E1121" t="s">
        <v>375</v>
      </c>
    </row>
    <row r="1122" spans="1:5" x14ac:dyDescent="0.2">
      <c r="A1122" s="269">
        <v>45910.558900462966</v>
      </c>
      <c r="B1122" t="s">
        <v>1431</v>
      </c>
      <c r="C1122" t="s">
        <v>103</v>
      </c>
      <c r="D1122" t="s">
        <v>1458</v>
      </c>
      <c r="E1122" t="s">
        <v>375</v>
      </c>
    </row>
    <row r="1123" spans="1:5" x14ac:dyDescent="0.2">
      <c r="A1123" s="269">
        <v>45910.559201388889</v>
      </c>
      <c r="B1123" t="s">
        <v>1431</v>
      </c>
      <c r="C1123" t="s">
        <v>58</v>
      </c>
      <c r="D1123" t="s">
        <v>1508</v>
      </c>
      <c r="E1123" t="s">
        <v>1505</v>
      </c>
    </row>
    <row r="1124" spans="1:5" x14ac:dyDescent="0.2">
      <c r="A1124" s="269">
        <v>45910.559328703705</v>
      </c>
      <c r="B1124" t="s">
        <v>1431</v>
      </c>
      <c r="C1124" t="s">
        <v>25</v>
      </c>
      <c r="D1124" t="s">
        <v>946</v>
      </c>
      <c r="E1124" t="s">
        <v>338</v>
      </c>
    </row>
    <row r="1125" spans="1:5" x14ac:dyDescent="0.2">
      <c r="A1125" s="269">
        <v>45910.559374999997</v>
      </c>
      <c r="B1125" t="s">
        <v>1431</v>
      </c>
      <c r="C1125" t="s">
        <v>25</v>
      </c>
      <c r="D1125" t="s">
        <v>1438</v>
      </c>
      <c r="E1125" t="s">
        <v>89</v>
      </c>
    </row>
    <row r="1126" spans="1:5" x14ac:dyDescent="0.2">
      <c r="A1126" s="269">
        <v>45910.559432870374</v>
      </c>
      <c r="B1126" t="s">
        <v>1431</v>
      </c>
      <c r="C1126" t="s">
        <v>25</v>
      </c>
      <c r="D1126" t="s">
        <v>1191</v>
      </c>
      <c r="E1126" t="s">
        <v>362</v>
      </c>
    </row>
    <row r="1127" spans="1:5" x14ac:dyDescent="0.2">
      <c r="A1127" s="269">
        <v>45910.55945601852</v>
      </c>
      <c r="B1127" t="s">
        <v>1431</v>
      </c>
      <c r="C1127" t="s">
        <v>25</v>
      </c>
      <c r="D1127" t="s">
        <v>795</v>
      </c>
      <c r="E1127" t="s">
        <v>371</v>
      </c>
    </row>
    <row r="1128" spans="1:5" x14ac:dyDescent="0.2">
      <c r="A1128" s="269">
        <v>45910.559502314813</v>
      </c>
      <c r="B1128" t="s">
        <v>1431</v>
      </c>
      <c r="C1128" t="s">
        <v>25</v>
      </c>
      <c r="D1128" t="s">
        <v>1013</v>
      </c>
      <c r="E1128" t="s">
        <v>379</v>
      </c>
    </row>
    <row r="1129" spans="1:5" x14ac:dyDescent="0.2">
      <c r="A1129" s="269">
        <v>45910.559525462966</v>
      </c>
      <c r="B1129" t="s">
        <v>1431</v>
      </c>
      <c r="C1129" t="s">
        <v>25</v>
      </c>
      <c r="D1129" t="s">
        <v>747</v>
      </c>
      <c r="E1129" t="s">
        <v>386</v>
      </c>
    </row>
    <row r="1130" spans="1:5" x14ac:dyDescent="0.2">
      <c r="A1130" s="269">
        <v>45910.559560185182</v>
      </c>
      <c r="B1130" t="s">
        <v>1431</v>
      </c>
      <c r="C1130" t="s">
        <v>25</v>
      </c>
      <c r="D1130" t="s">
        <v>1444</v>
      </c>
      <c r="E1130" t="s">
        <v>390</v>
      </c>
    </row>
    <row r="1131" spans="1:5" x14ac:dyDescent="0.2">
      <c r="A1131" s="269">
        <v>45910.559583333335</v>
      </c>
      <c r="B1131" t="s">
        <v>1431</v>
      </c>
      <c r="C1131" t="s">
        <v>25</v>
      </c>
      <c r="D1131" t="s">
        <v>1445</v>
      </c>
      <c r="E1131" t="s">
        <v>41</v>
      </c>
    </row>
    <row r="1132" spans="1:5" x14ac:dyDescent="0.2">
      <c r="A1132" s="269">
        <v>45910.559629629628</v>
      </c>
      <c r="B1132" t="s">
        <v>1431</v>
      </c>
      <c r="C1132" t="s">
        <v>25</v>
      </c>
      <c r="D1132" t="s">
        <v>1446</v>
      </c>
      <c r="E1132" t="s">
        <v>397</v>
      </c>
    </row>
    <row r="1133" spans="1:5" x14ac:dyDescent="0.2">
      <c r="A1133" s="269">
        <v>45910.559675925928</v>
      </c>
      <c r="B1133" t="s">
        <v>1431</v>
      </c>
      <c r="C1133" t="s">
        <v>25</v>
      </c>
      <c r="D1133" t="s">
        <v>672</v>
      </c>
      <c r="E1133" t="s">
        <v>400</v>
      </c>
    </row>
    <row r="1134" spans="1:5" x14ac:dyDescent="0.2">
      <c r="A1134" s="269">
        <v>45910.559699074074</v>
      </c>
      <c r="B1134" t="s">
        <v>1431</v>
      </c>
      <c r="C1134" t="s">
        <v>25</v>
      </c>
      <c r="D1134" t="s">
        <v>674</v>
      </c>
      <c r="E1134" t="s">
        <v>404</v>
      </c>
    </row>
    <row r="1135" spans="1:5" x14ac:dyDescent="0.2">
      <c r="A1135" s="269">
        <v>45910.559733796297</v>
      </c>
      <c r="B1135" t="s">
        <v>1431</v>
      </c>
      <c r="C1135" t="s">
        <v>25</v>
      </c>
      <c r="D1135" t="s">
        <v>675</v>
      </c>
      <c r="E1135" t="s">
        <v>407</v>
      </c>
    </row>
    <row r="1136" spans="1:5" x14ac:dyDescent="0.2">
      <c r="A1136" s="269">
        <v>45910.55976851852</v>
      </c>
      <c r="B1136" t="s">
        <v>1431</v>
      </c>
      <c r="C1136" t="s">
        <v>25</v>
      </c>
      <c r="D1136" t="s">
        <v>951</v>
      </c>
      <c r="E1136">
        <v>0</v>
      </c>
    </row>
    <row r="1137" spans="1:5" x14ac:dyDescent="0.2">
      <c r="A1137" s="269">
        <v>45910.55978009259</v>
      </c>
      <c r="B1137" t="s">
        <v>1431</v>
      </c>
      <c r="C1137" t="s">
        <v>25</v>
      </c>
      <c r="D1137" t="s">
        <v>983</v>
      </c>
      <c r="E1137">
        <v>0</v>
      </c>
    </row>
    <row r="1138" spans="1:5" x14ac:dyDescent="0.2">
      <c r="A1138" s="269">
        <v>45910.55978009259</v>
      </c>
      <c r="B1138" t="s">
        <v>1431</v>
      </c>
      <c r="C1138" t="s">
        <v>25</v>
      </c>
      <c r="D1138" t="s">
        <v>1066</v>
      </c>
      <c r="E1138">
        <v>0</v>
      </c>
    </row>
    <row r="1139" spans="1:5" x14ac:dyDescent="0.2">
      <c r="A1139" s="269">
        <v>45910.55978009259</v>
      </c>
      <c r="B1139" t="s">
        <v>1431</v>
      </c>
      <c r="C1139" t="s">
        <v>25</v>
      </c>
      <c r="D1139" t="s">
        <v>994</v>
      </c>
      <c r="E1139">
        <v>0</v>
      </c>
    </row>
    <row r="1140" spans="1:5" x14ac:dyDescent="0.2">
      <c r="A1140" s="269">
        <v>45910.559791666667</v>
      </c>
      <c r="B1140" t="s">
        <v>1431</v>
      </c>
      <c r="C1140" t="s">
        <v>25</v>
      </c>
      <c r="D1140" t="s">
        <v>1015</v>
      </c>
      <c r="E1140">
        <v>0</v>
      </c>
    </row>
    <row r="1141" spans="1:5" x14ac:dyDescent="0.2">
      <c r="A1141" s="269">
        <v>45910.559791666667</v>
      </c>
      <c r="B1141" t="s">
        <v>1431</v>
      </c>
      <c r="C1141" t="s">
        <v>25</v>
      </c>
      <c r="D1141" t="s">
        <v>1068</v>
      </c>
      <c r="E1141">
        <v>0</v>
      </c>
    </row>
    <row r="1142" spans="1:5" x14ac:dyDescent="0.2">
      <c r="A1142" s="269">
        <v>45910.55982638889</v>
      </c>
      <c r="B1142" t="s">
        <v>1431</v>
      </c>
      <c r="C1142" t="s">
        <v>25</v>
      </c>
      <c r="D1142" t="s">
        <v>1018</v>
      </c>
      <c r="E1142">
        <v>0</v>
      </c>
    </row>
    <row r="1143" spans="1:5" x14ac:dyDescent="0.2">
      <c r="A1143" s="269">
        <v>45910.559837962966</v>
      </c>
      <c r="B1143" t="s">
        <v>1431</v>
      </c>
      <c r="C1143" t="s">
        <v>25</v>
      </c>
      <c r="D1143" t="s">
        <v>1068</v>
      </c>
      <c r="E1143">
        <v>0</v>
      </c>
    </row>
    <row r="1144" spans="1:5" x14ac:dyDescent="0.2">
      <c r="A1144" s="269">
        <v>45910.559837962966</v>
      </c>
      <c r="B1144" t="s">
        <v>1431</v>
      </c>
      <c r="C1144" t="s">
        <v>25</v>
      </c>
      <c r="D1144" t="s">
        <v>1069</v>
      </c>
      <c r="E1144">
        <v>0</v>
      </c>
    </row>
    <row r="1145" spans="1:5" x14ac:dyDescent="0.2">
      <c r="A1145" s="269">
        <v>45910.559837962966</v>
      </c>
      <c r="B1145" t="s">
        <v>1431</v>
      </c>
      <c r="C1145" t="s">
        <v>25</v>
      </c>
      <c r="D1145" t="s">
        <v>1455</v>
      </c>
      <c r="E1145">
        <v>0</v>
      </c>
    </row>
    <row r="1146" spans="1:5" x14ac:dyDescent="0.2">
      <c r="A1146" s="269">
        <v>45910.559849537036</v>
      </c>
      <c r="B1146" t="s">
        <v>1431</v>
      </c>
      <c r="C1146" t="s">
        <v>25</v>
      </c>
      <c r="D1146" t="s">
        <v>1463</v>
      </c>
      <c r="E1146">
        <v>0</v>
      </c>
    </row>
    <row r="1147" spans="1:5" x14ac:dyDescent="0.2">
      <c r="A1147" s="269">
        <v>45910.559849537036</v>
      </c>
      <c r="B1147" t="s">
        <v>1431</v>
      </c>
      <c r="C1147" t="s">
        <v>25</v>
      </c>
      <c r="D1147" t="s">
        <v>1464</v>
      </c>
      <c r="E1147">
        <v>0</v>
      </c>
    </row>
    <row r="1148" spans="1:5" x14ac:dyDescent="0.2">
      <c r="A1148" s="269">
        <v>45910.559861111113</v>
      </c>
      <c r="B1148" t="s">
        <v>1431</v>
      </c>
      <c r="C1148" t="s">
        <v>25</v>
      </c>
      <c r="D1148" t="s">
        <v>1465</v>
      </c>
      <c r="E1148">
        <v>0</v>
      </c>
    </row>
    <row r="1149" spans="1:5" x14ac:dyDescent="0.2">
      <c r="A1149" s="269">
        <v>45910.559895833336</v>
      </c>
      <c r="B1149" t="s">
        <v>1431</v>
      </c>
      <c r="C1149" t="s">
        <v>25</v>
      </c>
      <c r="D1149" t="s">
        <v>777</v>
      </c>
      <c r="E1149">
        <v>0</v>
      </c>
    </row>
    <row r="1150" spans="1:5" x14ac:dyDescent="0.2">
      <c r="A1150" s="269">
        <v>45910.559907407405</v>
      </c>
      <c r="B1150" t="s">
        <v>1431</v>
      </c>
      <c r="C1150" t="s">
        <v>25</v>
      </c>
      <c r="D1150" t="s">
        <v>1440</v>
      </c>
      <c r="E1150">
        <v>0</v>
      </c>
    </row>
    <row r="1151" spans="1:5" x14ac:dyDescent="0.2">
      <c r="A1151" s="269">
        <v>45910.559907407405</v>
      </c>
      <c r="B1151" t="s">
        <v>1431</v>
      </c>
      <c r="C1151" t="s">
        <v>25</v>
      </c>
      <c r="D1151" t="s">
        <v>973</v>
      </c>
      <c r="E1151">
        <v>0</v>
      </c>
    </row>
    <row r="1152" spans="1:5" x14ac:dyDescent="0.2">
      <c r="A1152" s="269">
        <v>45910.559907407405</v>
      </c>
      <c r="B1152" t="s">
        <v>1431</v>
      </c>
      <c r="C1152" t="s">
        <v>25</v>
      </c>
      <c r="D1152" t="s">
        <v>976</v>
      </c>
      <c r="E1152">
        <v>0</v>
      </c>
    </row>
    <row r="1153" spans="1:5" x14ac:dyDescent="0.2">
      <c r="A1153" s="269">
        <v>45910.559918981482</v>
      </c>
      <c r="B1153" t="s">
        <v>1431</v>
      </c>
      <c r="C1153" t="s">
        <v>25</v>
      </c>
      <c r="D1153" t="s">
        <v>923</v>
      </c>
      <c r="E1153">
        <v>0</v>
      </c>
    </row>
    <row r="1154" spans="1:5" x14ac:dyDescent="0.2">
      <c r="A1154" s="269">
        <v>45910.559918981482</v>
      </c>
      <c r="B1154" t="s">
        <v>1431</v>
      </c>
      <c r="C1154" t="s">
        <v>25</v>
      </c>
      <c r="D1154" t="s">
        <v>924</v>
      </c>
      <c r="E1154">
        <v>0</v>
      </c>
    </row>
    <row r="1155" spans="1:5" x14ac:dyDescent="0.2">
      <c r="A1155" s="269">
        <v>45910.559930555559</v>
      </c>
      <c r="B1155" t="s">
        <v>1431</v>
      </c>
      <c r="C1155" t="s">
        <v>25</v>
      </c>
      <c r="D1155" t="s">
        <v>1509</v>
      </c>
      <c r="E1155">
        <v>0</v>
      </c>
    </row>
    <row r="1156" spans="1:5" x14ac:dyDescent="0.2">
      <c r="A1156" s="269">
        <v>45910.559930555559</v>
      </c>
      <c r="B1156" t="s">
        <v>1431</v>
      </c>
      <c r="C1156" t="s">
        <v>25</v>
      </c>
      <c r="D1156" t="s">
        <v>981</v>
      </c>
      <c r="E1156">
        <v>0</v>
      </c>
    </row>
    <row r="1157" spans="1:5" x14ac:dyDescent="0.2">
      <c r="A1157" s="269">
        <v>45910.559930555559</v>
      </c>
      <c r="B1157" t="s">
        <v>1431</v>
      </c>
      <c r="C1157" t="s">
        <v>25</v>
      </c>
      <c r="D1157" t="s">
        <v>1510</v>
      </c>
      <c r="E1157">
        <v>0</v>
      </c>
    </row>
    <row r="1158" spans="1:5" x14ac:dyDescent="0.2">
      <c r="A1158" s="269">
        <v>45910.559942129628</v>
      </c>
      <c r="B1158" t="s">
        <v>1431</v>
      </c>
      <c r="C1158" t="s">
        <v>25</v>
      </c>
      <c r="D1158" t="s">
        <v>1511</v>
      </c>
      <c r="E1158">
        <v>0</v>
      </c>
    </row>
    <row r="1159" spans="1:5" x14ac:dyDescent="0.2">
      <c r="A1159" s="269">
        <v>45910.559976851851</v>
      </c>
      <c r="B1159" t="s">
        <v>1431</v>
      </c>
      <c r="C1159" t="s">
        <v>25</v>
      </c>
      <c r="D1159" t="s">
        <v>918</v>
      </c>
      <c r="E1159">
        <v>0</v>
      </c>
    </row>
    <row r="1160" spans="1:5" x14ac:dyDescent="0.2">
      <c r="A1160" s="269">
        <v>45910.559999999998</v>
      </c>
      <c r="B1160" t="s">
        <v>1431</v>
      </c>
      <c r="C1160" t="s">
        <v>25</v>
      </c>
      <c r="D1160" t="s">
        <v>977</v>
      </c>
      <c r="E1160">
        <v>0</v>
      </c>
    </row>
    <row r="1161" spans="1:5" x14ac:dyDescent="0.2">
      <c r="A1161" s="269">
        <v>45910.560081018521</v>
      </c>
      <c r="B1161" t="s">
        <v>1431</v>
      </c>
      <c r="C1161" t="s">
        <v>26</v>
      </c>
      <c r="D1161" t="s">
        <v>1438</v>
      </c>
      <c r="E1161" t="s">
        <v>338</v>
      </c>
    </row>
    <row r="1162" spans="1:5" x14ac:dyDescent="0.2">
      <c r="A1162" s="269">
        <v>45910.560104166667</v>
      </c>
      <c r="B1162" t="s">
        <v>1431</v>
      </c>
      <c r="C1162" t="s">
        <v>26</v>
      </c>
      <c r="D1162" t="s">
        <v>1191</v>
      </c>
      <c r="E1162" t="s">
        <v>89</v>
      </c>
    </row>
    <row r="1163" spans="1:5" x14ac:dyDescent="0.2">
      <c r="A1163" s="269">
        <v>45910.561273148145</v>
      </c>
      <c r="B1163" t="s">
        <v>1431</v>
      </c>
      <c r="C1163" t="s">
        <v>26</v>
      </c>
      <c r="D1163" t="s">
        <v>795</v>
      </c>
      <c r="E1163" t="s">
        <v>362</v>
      </c>
    </row>
    <row r="1164" spans="1:5" x14ac:dyDescent="0.2">
      <c r="A1164" s="269">
        <v>45910.561296296299</v>
      </c>
      <c r="B1164" t="s">
        <v>1431</v>
      </c>
      <c r="C1164" t="s">
        <v>26</v>
      </c>
      <c r="D1164" t="s">
        <v>1013</v>
      </c>
      <c r="E1164" t="s">
        <v>371</v>
      </c>
    </row>
    <row r="1165" spans="1:5" x14ac:dyDescent="0.2">
      <c r="A1165" s="269">
        <v>45910.561319444445</v>
      </c>
      <c r="B1165" t="s">
        <v>1431</v>
      </c>
      <c r="C1165" t="s">
        <v>26</v>
      </c>
      <c r="D1165" t="s">
        <v>747</v>
      </c>
      <c r="E1165" t="s">
        <v>379</v>
      </c>
    </row>
    <row r="1166" spans="1:5" x14ac:dyDescent="0.2">
      <c r="A1166" s="269">
        <v>45910.561354166668</v>
      </c>
      <c r="B1166" t="s">
        <v>1431</v>
      </c>
      <c r="C1166" t="s">
        <v>26</v>
      </c>
      <c r="D1166" t="s">
        <v>1444</v>
      </c>
      <c r="E1166" t="s">
        <v>386</v>
      </c>
    </row>
    <row r="1167" spans="1:5" x14ac:dyDescent="0.2">
      <c r="A1167" s="269">
        <v>45910.561423611114</v>
      </c>
      <c r="B1167" t="s">
        <v>1431</v>
      </c>
      <c r="C1167" t="s">
        <v>26</v>
      </c>
      <c r="D1167" t="s">
        <v>983</v>
      </c>
      <c r="E1167" t="s">
        <v>124</v>
      </c>
    </row>
    <row r="1168" spans="1:5" x14ac:dyDescent="0.2">
      <c r="A1168" s="269">
        <v>45910.56145833333</v>
      </c>
      <c r="B1168" t="s">
        <v>1431</v>
      </c>
      <c r="C1168" t="s">
        <v>26</v>
      </c>
      <c r="D1168" t="s">
        <v>1066</v>
      </c>
      <c r="E1168" t="s">
        <v>124</v>
      </c>
    </row>
    <row r="1169" spans="1:5" x14ac:dyDescent="0.2">
      <c r="A1169" s="269">
        <v>45910.561481481483</v>
      </c>
      <c r="B1169" t="s">
        <v>1431</v>
      </c>
      <c r="C1169" t="s">
        <v>26</v>
      </c>
      <c r="D1169" t="s">
        <v>994</v>
      </c>
      <c r="E1169" t="s">
        <v>124</v>
      </c>
    </row>
    <row r="1170" spans="1:5" x14ac:dyDescent="0.2">
      <c r="A1170" s="269">
        <v>45910.561527777776</v>
      </c>
      <c r="B1170" t="s">
        <v>1431</v>
      </c>
      <c r="C1170" t="s">
        <v>26</v>
      </c>
      <c r="D1170" t="s">
        <v>1015</v>
      </c>
      <c r="E1170" t="s">
        <v>124</v>
      </c>
    </row>
    <row r="1171" spans="1:5" x14ac:dyDescent="0.2">
      <c r="A1171" s="269">
        <v>45910.561550925922</v>
      </c>
      <c r="B1171" t="s">
        <v>1431</v>
      </c>
      <c r="C1171" t="s">
        <v>26</v>
      </c>
      <c r="D1171" t="s">
        <v>1018</v>
      </c>
      <c r="E1171" t="s">
        <v>124</v>
      </c>
    </row>
    <row r="1172" spans="1:5" x14ac:dyDescent="0.2">
      <c r="A1172" s="269">
        <v>45910.561597222222</v>
      </c>
      <c r="B1172" t="s">
        <v>1431</v>
      </c>
      <c r="C1172" t="s">
        <v>26</v>
      </c>
      <c r="D1172" t="s">
        <v>1068</v>
      </c>
      <c r="E1172" t="s">
        <v>124</v>
      </c>
    </row>
    <row r="1173" spans="1:5" x14ac:dyDescent="0.2">
      <c r="A1173" s="269">
        <v>45910.562650462962</v>
      </c>
      <c r="B1173" t="s">
        <v>1431</v>
      </c>
      <c r="C1173" t="s">
        <v>26</v>
      </c>
      <c r="D1173" t="s">
        <v>1440</v>
      </c>
      <c r="E1173">
        <v>194</v>
      </c>
    </row>
    <row r="1174" spans="1:5" x14ac:dyDescent="0.2">
      <c r="A1174" s="269">
        <v>45910.562789351854</v>
      </c>
      <c r="B1174" t="s">
        <v>1431</v>
      </c>
      <c r="C1174" t="s">
        <v>26</v>
      </c>
      <c r="D1174" t="s">
        <v>973</v>
      </c>
      <c r="E1174">
        <v>207</v>
      </c>
    </row>
    <row r="1175" spans="1:5" x14ac:dyDescent="0.2">
      <c r="A1175" s="269">
        <v>45910.562928240739</v>
      </c>
      <c r="B1175" t="s">
        <v>1431</v>
      </c>
      <c r="C1175" t="s">
        <v>26</v>
      </c>
      <c r="D1175" t="s">
        <v>976</v>
      </c>
      <c r="E1175">
        <v>165</v>
      </c>
    </row>
    <row r="1176" spans="1:5" x14ac:dyDescent="0.2">
      <c r="A1176" s="269">
        <v>45910.563055555554</v>
      </c>
      <c r="B1176" t="s">
        <v>1431</v>
      </c>
      <c r="C1176" t="s">
        <v>26</v>
      </c>
      <c r="D1176" t="s">
        <v>977</v>
      </c>
      <c r="E1176">
        <v>175</v>
      </c>
    </row>
    <row r="1177" spans="1:5" x14ac:dyDescent="0.2">
      <c r="A1177" s="269">
        <v>45910.563344907408</v>
      </c>
      <c r="B1177" t="s">
        <v>1431</v>
      </c>
      <c r="C1177" t="s">
        <v>26</v>
      </c>
      <c r="D1177" t="s">
        <v>923</v>
      </c>
      <c r="E1177">
        <v>242</v>
      </c>
    </row>
    <row r="1178" spans="1:5" x14ac:dyDescent="0.2">
      <c r="A1178" s="269">
        <v>45910.563379629632</v>
      </c>
      <c r="B1178" t="s">
        <v>1431</v>
      </c>
      <c r="C1178" t="s">
        <v>26</v>
      </c>
      <c r="D1178" t="s">
        <v>918</v>
      </c>
      <c r="E1178">
        <v>633</v>
      </c>
    </row>
    <row r="1179" spans="1:5" x14ac:dyDescent="0.2">
      <c r="A1179" s="269">
        <v>45910.563449074078</v>
      </c>
      <c r="B1179" t="s">
        <v>1431</v>
      </c>
      <c r="C1179" t="s">
        <v>28</v>
      </c>
      <c r="D1179" t="s">
        <v>1438</v>
      </c>
      <c r="E1179" t="s">
        <v>338</v>
      </c>
    </row>
    <row r="1180" spans="1:5" x14ac:dyDescent="0.2">
      <c r="A1180" s="269">
        <v>45910.563472222224</v>
      </c>
      <c r="B1180" t="s">
        <v>1431</v>
      </c>
      <c r="C1180" t="s">
        <v>28</v>
      </c>
      <c r="D1180" t="s">
        <v>1191</v>
      </c>
      <c r="E1180" t="s">
        <v>338</v>
      </c>
    </row>
    <row r="1181" spans="1:5" x14ac:dyDescent="0.2">
      <c r="A1181" s="269">
        <v>45910.563518518517</v>
      </c>
      <c r="B1181" t="s">
        <v>1431</v>
      </c>
      <c r="C1181" t="s">
        <v>28</v>
      </c>
      <c r="D1181" t="s">
        <v>1191</v>
      </c>
      <c r="E1181" t="s">
        <v>89</v>
      </c>
    </row>
    <row r="1182" spans="1:5" x14ac:dyDescent="0.2">
      <c r="A1182" s="269">
        <v>45910.56355324074</v>
      </c>
      <c r="B1182" t="s">
        <v>1431</v>
      </c>
      <c r="C1182" t="s">
        <v>28</v>
      </c>
      <c r="D1182" t="s">
        <v>795</v>
      </c>
      <c r="E1182" t="s">
        <v>362</v>
      </c>
    </row>
    <row r="1183" spans="1:5" x14ac:dyDescent="0.2">
      <c r="A1183" s="269">
        <v>45910.563576388886</v>
      </c>
      <c r="B1183" t="s">
        <v>1431</v>
      </c>
      <c r="C1183" t="s">
        <v>28</v>
      </c>
      <c r="D1183" t="s">
        <v>1013</v>
      </c>
      <c r="E1183" t="s">
        <v>362</v>
      </c>
    </row>
    <row r="1184" spans="1:5" x14ac:dyDescent="0.2">
      <c r="A1184" s="269">
        <v>45910.563611111109</v>
      </c>
      <c r="B1184" t="s">
        <v>1431</v>
      </c>
      <c r="C1184" t="s">
        <v>28</v>
      </c>
      <c r="D1184" t="s">
        <v>1013</v>
      </c>
      <c r="E1184" t="s">
        <v>371</v>
      </c>
    </row>
    <row r="1185" spans="1:5" x14ac:dyDescent="0.2">
      <c r="A1185" s="269">
        <v>45910.563645833332</v>
      </c>
      <c r="B1185" t="s">
        <v>1431</v>
      </c>
      <c r="C1185" t="s">
        <v>28</v>
      </c>
      <c r="D1185" t="s">
        <v>747</v>
      </c>
      <c r="E1185" t="s">
        <v>379</v>
      </c>
    </row>
    <row r="1186" spans="1:5" x14ac:dyDescent="0.2">
      <c r="A1186" s="269">
        <v>45910.563680555555</v>
      </c>
      <c r="B1186" t="s">
        <v>1431</v>
      </c>
      <c r="C1186" t="s">
        <v>28</v>
      </c>
      <c r="D1186" t="s">
        <v>1444</v>
      </c>
      <c r="E1186" t="s">
        <v>386</v>
      </c>
    </row>
    <row r="1187" spans="1:5" x14ac:dyDescent="0.2">
      <c r="A1187" s="269">
        <v>45910.56386574074</v>
      </c>
      <c r="B1187" t="s">
        <v>1431</v>
      </c>
      <c r="C1187" t="s">
        <v>28</v>
      </c>
      <c r="D1187" t="s">
        <v>983</v>
      </c>
      <c r="E1187" t="s">
        <v>383</v>
      </c>
    </row>
    <row r="1188" spans="1:5" x14ac:dyDescent="0.2">
      <c r="A1188" s="269">
        <v>45910.563888888886</v>
      </c>
      <c r="B1188" t="s">
        <v>1431</v>
      </c>
      <c r="C1188" t="s">
        <v>28</v>
      </c>
      <c r="D1188" t="s">
        <v>1066</v>
      </c>
      <c r="E1188" t="s">
        <v>383</v>
      </c>
    </row>
    <row r="1189" spans="1:5" x14ac:dyDescent="0.2">
      <c r="A1189" s="269">
        <v>45910.563923611109</v>
      </c>
      <c r="B1189" t="s">
        <v>1431</v>
      </c>
      <c r="C1189" t="s">
        <v>28</v>
      </c>
      <c r="D1189" t="s">
        <v>994</v>
      </c>
      <c r="E1189" t="s">
        <v>383</v>
      </c>
    </row>
    <row r="1190" spans="1:5" x14ac:dyDescent="0.2">
      <c r="A1190" s="269">
        <v>45910.563969907409</v>
      </c>
      <c r="B1190" t="s">
        <v>1431</v>
      </c>
      <c r="C1190" t="s">
        <v>28</v>
      </c>
      <c r="D1190" t="s">
        <v>983</v>
      </c>
      <c r="E1190" t="s">
        <v>139</v>
      </c>
    </row>
    <row r="1191" spans="1:5" x14ac:dyDescent="0.2">
      <c r="A1191" s="269">
        <v>45910.564016203702</v>
      </c>
      <c r="B1191" t="s">
        <v>1431</v>
      </c>
      <c r="C1191" t="s">
        <v>28</v>
      </c>
      <c r="D1191" t="s">
        <v>1066</v>
      </c>
      <c r="E1191" t="s">
        <v>139</v>
      </c>
    </row>
    <row r="1192" spans="1:5" x14ac:dyDescent="0.2">
      <c r="A1192" s="269">
        <v>45910.564039351855</v>
      </c>
      <c r="B1192" t="s">
        <v>1431</v>
      </c>
      <c r="C1192" t="s">
        <v>28</v>
      </c>
      <c r="D1192" t="s">
        <v>994</v>
      </c>
      <c r="E1192" t="s">
        <v>139</v>
      </c>
    </row>
    <row r="1193" spans="1:5" x14ac:dyDescent="0.2">
      <c r="A1193" s="269">
        <v>45910.564062500001</v>
      </c>
      <c r="B1193" t="s">
        <v>1431</v>
      </c>
      <c r="C1193" t="s">
        <v>28</v>
      </c>
      <c r="D1193" t="s">
        <v>1015</v>
      </c>
      <c r="E1193" t="s">
        <v>139</v>
      </c>
    </row>
    <row r="1194" spans="1:5" x14ac:dyDescent="0.2">
      <c r="A1194" s="269">
        <v>45910.564085648148</v>
      </c>
      <c r="B1194" t="s">
        <v>1431</v>
      </c>
      <c r="C1194" t="s">
        <v>28</v>
      </c>
      <c r="D1194" t="s">
        <v>1018</v>
      </c>
      <c r="E1194" t="s">
        <v>139</v>
      </c>
    </row>
    <row r="1195" spans="1:5" x14ac:dyDescent="0.2">
      <c r="A1195" s="269">
        <v>45910.564108796294</v>
      </c>
      <c r="B1195" t="s">
        <v>1431</v>
      </c>
      <c r="C1195" t="s">
        <v>28</v>
      </c>
      <c r="D1195" t="s">
        <v>1068</v>
      </c>
      <c r="E1195" t="s">
        <v>139</v>
      </c>
    </row>
    <row r="1196" spans="1:5" x14ac:dyDescent="0.2">
      <c r="A1196" s="269">
        <v>45910.564189814817</v>
      </c>
      <c r="B1196" t="s">
        <v>1431</v>
      </c>
      <c r="C1196" t="s">
        <v>28</v>
      </c>
      <c r="D1196" t="s">
        <v>1440</v>
      </c>
      <c r="E1196">
        <v>6000</v>
      </c>
    </row>
    <row r="1197" spans="1:5" x14ac:dyDescent="0.2">
      <c r="A1197" s="269">
        <v>45910.564212962963</v>
      </c>
      <c r="B1197" t="s">
        <v>1431</v>
      </c>
      <c r="C1197" t="s">
        <v>28</v>
      </c>
      <c r="D1197" t="s">
        <v>973</v>
      </c>
      <c r="E1197">
        <v>6000</v>
      </c>
    </row>
    <row r="1198" spans="1:5" x14ac:dyDescent="0.2">
      <c r="A1198" s="269">
        <v>45910.56422453704</v>
      </c>
      <c r="B1198" t="s">
        <v>1431</v>
      </c>
      <c r="C1198" t="s">
        <v>28</v>
      </c>
      <c r="D1198" t="s">
        <v>976</v>
      </c>
      <c r="E1198">
        <v>6000</v>
      </c>
    </row>
    <row r="1199" spans="1:5" x14ac:dyDescent="0.2">
      <c r="A1199" s="269">
        <v>45910.564293981479</v>
      </c>
      <c r="B1199" t="s">
        <v>1431</v>
      </c>
      <c r="C1199" t="s">
        <v>28</v>
      </c>
      <c r="D1199" t="s">
        <v>1512</v>
      </c>
      <c r="E1199">
        <v>6000</v>
      </c>
    </row>
    <row r="1200" spans="1:5" x14ac:dyDescent="0.2">
      <c r="A1200" s="269">
        <v>45910.564375000002</v>
      </c>
      <c r="B1200" t="s">
        <v>1431</v>
      </c>
      <c r="C1200" t="s">
        <v>28</v>
      </c>
      <c r="D1200" t="s">
        <v>937</v>
      </c>
      <c r="E1200" t="s">
        <v>313</v>
      </c>
    </row>
    <row r="1201" spans="1:5" x14ac:dyDescent="0.2">
      <c r="A1201" s="269">
        <v>45910.564398148148</v>
      </c>
      <c r="B1201" t="s">
        <v>1431</v>
      </c>
      <c r="C1201" t="s">
        <v>28</v>
      </c>
      <c r="D1201" t="s">
        <v>926</v>
      </c>
      <c r="E1201" t="s">
        <v>313</v>
      </c>
    </row>
    <row r="1202" spans="1:5" x14ac:dyDescent="0.2">
      <c r="A1202" s="269">
        <v>45910.564444444448</v>
      </c>
      <c r="B1202" t="s">
        <v>1431</v>
      </c>
      <c r="C1202" t="s">
        <v>28</v>
      </c>
      <c r="D1202" t="s">
        <v>874</v>
      </c>
      <c r="E1202" t="s">
        <v>313</v>
      </c>
    </row>
    <row r="1203" spans="1:5" x14ac:dyDescent="0.2">
      <c r="A1203" s="269">
        <v>45910.564479166664</v>
      </c>
      <c r="B1203" t="s">
        <v>1431</v>
      </c>
      <c r="C1203" t="s">
        <v>28</v>
      </c>
      <c r="D1203" t="s">
        <v>1453</v>
      </c>
      <c r="E1203" t="s">
        <v>313</v>
      </c>
    </row>
    <row r="1204" spans="1:5" x14ac:dyDescent="0.2">
      <c r="A1204" s="269">
        <v>45910.564502314817</v>
      </c>
      <c r="B1204" t="s">
        <v>1431</v>
      </c>
      <c r="C1204" t="s">
        <v>28</v>
      </c>
      <c r="D1204" t="s">
        <v>1456</v>
      </c>
      <c r="E1204" t="s">
        <v>313</v>
      </c>
    </row>
    <row r="1205" spans="1:5" x14ac:dyDescent="0.2">
      <c r="A1205" s="269">
        <v>45910.56453703704</v>
      </c>
      <c r="B1205" t="s">
        <v>1431</v>
      </c>
      <c r="C1205" t="s">
        <v>28</v>
      </c>
      <c r="D1205" t="s">
        <v>1458</v>
      </c>
      <c r="E1205" t="s">
        <v>313</v>
      </c>
    </row>
    <row r="1206" spans="1:5" x14ac:dyDescent="0.2">
      <c r="A1206" s="269">
        <v>45910.60229166667</v>
      </c>
      <c r="B1206" t="s">
        <v>1431</v>
      </c>
      <c r="C1206" t="s">
        <v>28</v>
      </c>
      <c r="D1206" t="s">
        <v>983</v>
      </c>
      <c r="E1206" t="s">
        <v>383</v>
      </c>
    </row>
    <row r="1207" spans="1:5" x14ac:dyDescent="0.2">
      <c r="A1207" s="269">
        <v>45910.602337962962</v>
      </c>
      <c r="B1207" t="s">
        <v>1431</v>
      </c>
      <c r="C1207" t="s">
        <v>28</v>
      </c>
      <c r="D1207" t="s">
        <v>1066</v>
      </c>
      <c r="E1207" t="s">
        <v>383</v>
      </c>
    </row>
    <row r="1208" spans="1:5" x14ac:dyDescent="0.2">
      <c r="A1208" s="269">
        <v>45910.602395833332</v>
      </c>
      <c r="B1208" t="s">
        <v>1431</v>
      </c>
      <c r="C1208" t="s">
        <v>28</v>
      </c>
      <c r="D1208" t="s">
        <v>994</v>
      </c>
      <c r="E1208" t="s">
        <v>383</v>
      </c>
    </row>
    <row r="1209" spans="1:5" x14ac:dyDescent="0.2">
      <c r="A1209" s="269">
        <v>45910.602453703701</v>
      </c>
      <c r="B1209" t="s">
        <v>1431</v>
      </c>
      <c r="C1209" t="s">
        <v>28</v>
      </c>
      <c r="D1209" t="s">
        <v>1015</v>
      </c>
      <c r="E1209" t="s">
        <v>383</v>
      </c>
    </row>
    <row r="1210" spans="1:5" x14ac:dyDescent="0.2">
      <c r="A1210" s="269">
        <v>45910.602488425924</v>
      </c>
      <c r="B1210" t="s">
        <v>1431</v>
      </c>
      <c r="C1210" t="s">
        <v>28</v>
      </c>
      <c r="D1210" t="s">
        <v>1018</v>
      </c>
      <c r="E1210" t="s">
        <v>383</v>
      </c>
    </row>
    <row r="1211" spans="1:5" x14ac:dyDescent="0.2">
      <c r="A1211" s="269">
        <v>45910.602523148147</v>
      </c>
      <c r="B1211" t="s">
        <v>1431</v>
      </c>
      <c r="C1211" t="s">
        <v>28</v>
      </c>
      <c r="D1211" t="s">
        <v>1068</v>
      </c>
      <c r="E1211" t="s">
        <v>383</v>
      </c>
    </row>
    <row r="1212" spans="1:5" x14ac:dyDescent="0.2">
      <c r="A1212" s="269">
        <v>45910.697280092594</v>
      </c>
      <c r="B1212" t="s">
        <v>1431</v>
      </c>
      <c r="C1212" t="s">
        <v>597</v>
      </c>
      <c r="D1212" t="s">
        <v>1513</v>
      </c>
      <c r="E1212" t="s">
        <v>39</v>
      </c>
    </row>
    <row r="1213" spans="1:5" x14ac:dyDescent="0.2">
      <c r="A1213" s="269">
        <v>45910.697557870371</v>
      </c>
      <c r="B1213" t="s">
        <v>1431</v>
      </c>
      <c r="C1213" t="s">
        <v>26</v>
      </c>
      <c r="D1213" t="s">
        <v>1133</v>
      </c>
      <c r="E1213" t="s">
        <v>338</v>
      </c>
    </row>
    <row r="1214" spans="1:5" x14ac:dyDescent="0.2">
      <c r="A1214" s="269">
        <v>45910.697581018518</v>
      </c>
      <c r="B1214" t="s">
        <v>1431</v>
      </c>
      <c r="C1214" t="s">
        <v>26</v>
      </c>
      <c r="D1214" t="s">
        <v>1502</v>
      </c>
      <c r="E1214" t="s">
        <v>89</v>
      </c>
    </row>
    <row r="1215" spans="1:5" x14ac:dyDescent="0.2">
      <c r="A1215" s="269">
        <v>45910.697615740741</v>
      </c>
      <c r="B1215" t="s">
        <v>1431</v>
      </c>
      <c r="C1215" t="s">
        <v>26</v>
      </c>
      <c r="D1215" t="s">
        <v>1503</v>
      </c>
      <c r="E1215" t="s">
        <v>362</v>
      </c>
    </row>
    <row r="1216" spans="1:5" x14ac:dyDescent="0.2">
      <c r="A1216" s="269">
        <v>45910.697638888887</v>
      </c>
      <c r="B1216" t="s">
        <v>1431</v>
      </c>
      <c r="C1216" t="s">
        <v>26</v>
      </c>
      <c r="D1216" t="s">
        <v>1514</v>
      </c>
      <c r="E1216" t="s">
        <v>371</v>
      </c>
    </row>
    <row r="1217" spans="1:5" x14ac:dyDescent="0.2">
      <c r="A1217" s="269">
        <v>45910.69767361111</v>
      </c>
      <c r="B1217" t="s">
        <v>1431</v>
      </c>
      <c r="C1217" t="s">
        <v>26</v>
      </c>
      <c r="D1217" t="s">
        <v>1515</v>
      </c>
      <c r="E1217" t="s">
        <v>379</v>
      </c>
    </row>
    <row r="1218" spans="1:5" x14ac:dyDescent="0.2">
      <c r="A1218" s="269">
        <v>45910.697708333333</v>
      </c>
      <c r="B1218" t="s">
        <v>1431</v>
      </c>
      <c r="C1218" t="s">
        <v>26</v>
      </c>
      <c r="D1218" t="s">
        <v>1516</v>
      </c>
      <c r="E1218" t="s">
        <v>386</v>
      </c>
    </row>
    <row r="1219" spans="1:5" x14ac:dyDescent="0.2">
      <c r="A1219" s="269">
        <v>45910.697777777779</v>
      </c>
      <c r="B1219" t="s">
        <v>1431</v>
      </c>
      <c r="C1219" t="s">
        <v>26</v>
      </c>
      <c r="D1219" t="s">
        <v>1134</v>
      </c>
      <c r="E1219" t="s">
        <v>364</v>
      </c>
    </row>
    <row r="1220" spans="1:5" x14ac:dyDescent="0.2">
      <c r="A1220" s="269">
        <v>45910.697812500002</v>
      </c>
      <c r="B1220" t="s">
        <v>1431</v>
      </c>
      <c r="C1220" t="s">
        <v>26</v>
      </c>
      <c r="D1220" t="s">
        <v>1517</v>
      </c>
      <c r="E1220" t="s">
        <v>364</v>
      </c>
    </row>
    <row r="1221" spans="1:5" x14ac:dyDescent="0.2">
      <c r="A1221" s="269">
        <v>45910.697835648149</v>
      </c>
      <c r="B1221" t="s">
        <v>1431</v>
      </c>
      <c r="C1221" t="s">
        <v>26</v>
      </c>
      <c r="D1221" t="s">
        <v>1518</v>
      </c>
      <c r="E1221" t="s">
        <v>364</v>
      </c>
    </row>
    <row r="1222" spans="1:5" x14ac:dyDescent="0.2">
      <c r="A1222" s="269">
        <v>45910.697858796295</v>
      </c>
      <c r="B1222" t="s">
        <v>1431</v>
      </c>
      <c r="C1222" t="s">
        <v>26</v>
      </c>
      <c r="D1222" t="s">
        <v>1519</v>
      </c>
      <c r="E1222" t="s">
        <v>364</v>
      </c>
    </row>
    <row r="1223" spans="1:5" x14ac:dyDescent="0.2">
      <c r="A1223" s="269">
        <v>45910.697893518518</v>
      </c>
      <c r="B1223" t="s">
        <v>1431</v>
      </c>
      <c r="C1223" t="s">
        <v>26</v>
      </c>
      <c r="D1223" t="s">
        <v>1520</v>
      </c>
      <c r="E1223" t="s">
        <v>364</v>
      </c>
    </row>
    <row r="1224" spans="1:5" x14ac:dyDescent="0.2">
      <c r="A1224" s="269">
        <v>45910.697916666664</v>
      </c>
      <c r="B1224" t="s">
        <v>1431</v>
      </c>
      <c r="C1224" t="s">
        <v>26</v>
      </c>
      <c r="D1224" t="s">
        <v>1521</v>
      </c>
      <c r="E1224" t="s">
        <v>364</v>
      </c>
    </row>
    <row r="1225" spans="1:5" x14ac:dyDescent="0.2">
      <c r="A1225" s="269">
        <v>45910.698020833333</v>
      </c>
      <c r="B1225" t="s">
        <v>1431</v>
      </c>
      <c r="C1225" t="s">
        <v>26</v>
      </c>
      <c r="D1225" t="s">
        <v>1522</v>
      </c>
      <c r="E1225">
        <v>194</v>
      </c>
    </row>
    <row r="1226" spans="1:5" x14ac:dyDescent="0.2">
      <c r="A1226" s="269">
        <v>45910.698252314818</v>
      </c>
      <c r="B1226" t="s">
        <v>1431</v>
      </c>
      <c r="C1226" t="s">
        <v>26</v>
      </c>
      <c r="D1226" t="s">
        <v>1524</v>
      </c>
      <c r="E1226" t="s">
        <v>1523</v>
      </c>
    </row>
    <row r="1227" spans="1:5" x14ac:dyDescent="0.2">
      <c r="A1227" s="269">
        <v>45910.698298611111</v>
      </c>
      <c r="B1227" t="s">
        <v>1431</v>
      </c>
      <c r="C1227" t="s">
        <v>26</v>
      </c>
      <c r="D1227" t="s">
        <v>1525</v>
      </c>
      <c r="E1227" t="s">
        <v>1523</v>
      </c>
    </row>
    <row r="1228" spans="1:5" x14ac:dyDescent="0.2">
      <c r="A1228" s="269">
        <v>45910.698483796295</v>
      </c>
      <c r="B1228" t="s">
        <v>1431</v>
      </c>
      <c r="C1228" t="s">
        <v>28</v>
      </c>
      <c r="D1228" t="s">
        <v>1191</v>
      </c>
      <c r="E1228" t="s">
        <v>338</v>
      </c>
    </row>
    <row r="1229" spans="1:5" x14ac:dyDescent="0.2">
      <c r="A1229" s="269">
        <v>45910.698518518519</v>
      </c>
      <c r="B1229" t="s">
        <v>1431</v>
      </c>
      <c r="C1229" t="s">
        <v>28</v>
      </c>
      <c r="D1229" t="s">
        <v>795</v>
      </c>
      <c r="E1229" t="s">
        <v>89</v>
      </c>
    </row>
    <row r="1230" spans="1:5" x14ac:dyDescent="0.2">
      <c r="A1230" s="269">
        <v>45910.698564814818</v>
      </c>
      <c r="B1230" t="s">
        <v>1431</v>
      </c>
      <c r="C1230" t="s">
        <v>28</v>
      </c>
      <c r="D1230" t="s">
        <v>1013</v>
      </c>
      <c r="E1230" t="s">
        <v>89</v>
      </c>
    </row>
    <row r="1231" spans="1:5" x14ac:dyDescent="0.2">
      <c r="A1231" s="269">
        <v>45910.698634259257</v>
      </c>
      <c r="B1231" t="s">
        <v>1431</v>
      </c>
      <c r="C1231" t="s">
        <v>28</v>
      </c>
      <c r="D1231" t="s">
        <v>747</v>
      </c>
      <c r="E1231" t="s">
        <v>362</v>
      </c>
    </row>
    <row r="1232" spans="1:5" x14ac:dyDescent="0.2">
      <c r="A1232" s="269">
        <v>45910.698657407411</v>
      </c>
      <c r="B1232" t="s">
        <v>1431</v>
      </c>
      <c r="C1232" t="s">
        <v>28</v>
      </c>
      <c r="D1232" t="s">
        <v>1444</v>
      </c>
      <c r="E1232" t="s">
        <v>362</v>
      </c>
    </row>
    <row r="1233" spans="1:5" x14ac:dyDescent="0.2">
      <c r="A1233" s="269">
        <v>45910.698703703703</v>
      </c>
      <c r="B1233" t="s">
        <v>1431</v>
      </c>
      <c r="C1233" t="s">
        <v>28</v>
      </c>
      <c r="D1233" t="s">
        <v>1445</v>
      </c>
      <c r="E1233" t="s">
        <v>371</v>
      </c>
    </row>
    <row r="1234" spans="1:5" x14ac:dyDescent="0.2">
      <c r="A1234" s="269">
        <v>45910.698750000003</v>
      </c>
      <c r="B1234" t="s">
        <v>1431</v>
      </c>
      <c r="C1234" t="s">
        <v>28</v>
      </c>
      <c r="D1234" t="s">
        <v>1446</v>
      </c>
      <c r="E1234" t="s">
        <v>371</v>
      </c>
    </row>
    <row r="1235" spans="1:5" x14ac:dyDescent="0.2">
      <c r="A1235" s="269">
        <v>45910.698796296296</v>
      </c>
      <c r="B1235" t="s">
        <v>1431</v>
      </c>
      <c r="C1235" t="s">
        <v>28</v>
      </c>
      <c r="D1235" t="s">
        <v>672</v>
      </c>
      <c r="E1235" t="s">
        <v>379</v>
      </c>
    </row>
    <row r="1236" spans="1:5" x14ac:dyDescent="0.2">
      <c r="A1236" s="269">
        <v>45910.69939814815</v>
      </c>
      <c r="B1236" t="s">
        <v>1431</v>
      </c>
      <c r="C1236" t="s">
        <v>28</v>
      </c>
      <c r="D1236" t="s">
        <v>674</v>
      </c>
      <c r="E1236" t="s">
        <v>379</v>
      </c>
    </row>
    <row r="1237" spans="1:5" x14ac:dyDescent="0.2">
      <c r="A1237" s="269">
        <v>45910.699444444443</v>
      </c>
      <c r="B1237" t="s">
        <v>1431</v>
      </c>
      <c r="C1237" t="s">
        <v>28</v>
      </c>
      <c r="D1237" t="s">
        <v>675</v>
      </c>
      <c r="E1237" t="s">
        <v>386</v>
      </c>
    </row>
    <row r="1238" spans="1:5" x14ac:dyDescent="0.2">
      <c r="A1238" s="269">
        <v>45910.699490740742</v>
      </c>
      <c r="B1238" t="s">
        <v>1431</v>
      </c>
      <c r="C1238" t="s">
        <v>28</v>
      </c>
      <c r="D1238" t="s">
        <v>676</v>
      </c>
      <c r="E1238" t="s">
        <v>386</v>
      </c>
    </row>
    <row r="1239" spans="1:5" x14ac:dyDescent="0.2">
      <c r="A1239" s="269">
        <v>45910.699571759258</v>
      </c>
      <c r="B1239" t="s">
        <v>1431</v>
      </c>
      <c r="C1239" t="s">
        <v>28</v>
      </c>
      <c r="D1239" t="s">
        <v>1066</v>
      </c>
      <c r="E1239" t="s">
        <v>317</v>
      </c>
    </row>
    <row r="1240" spans="1:5" x14ac:dyDescent="0.2">
      <c r="A1240" s="269">
        <v>45910.699618055558</v>
      </c>
      <c r="B1240" t="s">
        <v>1431</v>
      </c>
      <c r="C1240" t="s">
        <v>28</v>
      </c>
      <c r="D1240" t="s">
        <v>1015</v>
      </c>
      <c r="E1240" t="s">
        <v>317</v>
      </c>
    </row>
    <row r="1241" spans="1:5" x14ac:dyDescent="0.2">
      <c r="A1241" s="269">
        <v>45910.699652777781</v>
      </c>
      <c r="B1241" t="s">
        <v>1431</v>
      </c>
      <c r="C1241" t="s">
        <v>28</v>
      </c>
      <c r="D1241" t="s">
        <v>1068</v>
      </c>
      <c r="E1241" t="s">
        <v>317</v>
      </c>
    </row>
    <row r="1242" spans="1:5" x14ac:dyDescent="0.2">
      <c r="A1242" s="269">
        <v>45910.699699074074</v>
      </c>
      <c r="B1242" t="s">
        <v>1431</v>
      </c>
      <c r="C1242" t="s">
        <v>28</v>
      </c>
      <c r="D1242" t="s">
        <v>1069</v>
      </c>
      <c r="E1242" t="s">
        <v>383</v>
      </c>
    </row>
    <row r="1243" spans="1:5" x14ac:dyDescent="0.2">
      <c r="A1243" s="269">
        <v>45910.700324074074</v>
      </c>
      <c r="B1243" t="s">
        <v>1431</v>
      </c>
      <c r="C1243" t="s">
        <v>28</v>
      </c>
      <c r="D1243" t="s">
        <v>1455</v>
      </c>
      <c r="E1243" t="s">
        <v>317</v>
      </c>
    </row>
    <row r="1244" spans="1:5" x14ac:dyDescent="0.2">
      <c r="A1244" s="269">
        <v>45910.700358796297</v>
      </c>
      <c r="B1244" t="s">
        <v>1431</v>
      </c>
      <c r="C1244" t="s">
        <v>28</v>
      </c>
      <c r="D1244" t="s">
        <v>1463</v>
      </c>
      <c r="E1244" t="s">
        <v>383</v>
      </c>
    </row>
    <row r="1245" spans="1:5" x14ac:dyDescent="0.2">
      <c r="A1245" s="269">
        <v>45910.70040509259</v>
      </c>
      <c r="B1245" t="s">
        <v>1431</v>
      </c>
      <c r="C1245" t="s">
        <v>28</v>
      </c>
      <c r="D1245" t="s">
        <v>1464</v>
      </c>
      <c r="E1245" t="s">
        <v>383</v>
      </c>
    </row>
    <row r="1246" spans="1:5" x14ac:dyDescent="0.2">
      <c r="A1246" s="269">
        <v>45910.700428240743</v>
      </c>
      <c r="B1246" t="s">
        <v>1431</v>
      </c>
      <c r="C1246" t="s">
        <v>28</v>
      </c>
      <c r="D1246" t="s">
        <v>1465</v>
      </c>
      <c r="E1246" t="s">
        <v>317</v>
      </c>
    </row>
    <row r="1247" spans="1:5" x14ac:dyDescent="0.2">
      <c r="A1247" s="269">
        <v>45910.700509259259</v>
      </c>
      <c r="B1247" t="s">
        <v>1431</v>
      </c>
      <c r="C1247" t="s">
        <v>28</v>
      </c>
      <c r="D1247" t="s">
        <v>1464</v>
      </c>
      <c r="E1247" t="s">
        <v>383</v>
      </c>
    </row>
    <row r="1248" spans="1:5" x14ac:dyDescent="0.2">
      <c r="A1248" s="269">
        <v>45910.700567129628</v>
      </c>
      <c r="B1248" t="s">
        <v>1431</v>
      </c>
      <c r="C1248" t="s">
        <v>28</v>
      </c>
      <c r="D1248" t="s">
        <v>1482</v>
      </c>
      <c r="E1248" t="s">
        <v>383</v>
      </c>
    </row>
    <row r="1249" spans="1:5" x14ac:dyDescent="0.2">
      <c r="A1249" s="269">
        <v>45910.702986111108</v>
      </c>
      <c r="B1249" t="s">
        <v>1431</v>
      </c>
      <c r="C1249" t="s">
        <v>28</v>
      </c>
      <c r="D1249" t="s">
        <v>973</v>
      </c>
    </row>
    <row r="1250" spans="1:5" x14ac:dyDescent="0.2">
      <c r="A1250" s="269">
        <v>45910.703009259261</v>
      </c>
      <c r="B1250" t="s">
        <v>1431</v>
      </c>
      <c r="C1250" t="s">
        <v>28</v>
      </c>
      <c r="D1250" t="s">
        <v>977</v>
      </c>
    </row>
    <row r="1251" spans="1:5" x14ac:dyDescent="0.2">
      <c r="A1251" s="269">
        <v>45910.703055555554</v>
      </c>
      <c r="B1251" t="s">
        <v>1431</v>
      </c>
      <c r="C1251" t="s">
        <v>28</v>
      </c>
      <c r="D1251" t="s">
        <v>918</v>
      </c>
    </row>
    <row r="1252" spans="1:5" x14ac:dyDescent="0.2">
      <c r="A1252" s="269">
        <v>45910.703206018516</v>
      </c>
      <c r="B1252" t="s">
        <v>1431</v>
      </c>
      <c r="C1252" t="s">
        <v>28</v>
      </c>
      <c r="D1252" t="s">
        <v>973</v>
      </c>
      <c r="E1252">
        <v>2700.3</v>
      </c>
    </row>
    <row r="1253" spans="1:5" x14ac:dyDescent="0.2">
      <c r="A1253" s="269">
        <v>45910.703333333331</v>
      </c>
      <c r="B1253" t="s">
        <v>1431</v>
      </c>
      <c r="C1253" t="s">
        <v>28</v>
      </c>
      <c r="D1253" t="s">
        <v>977</v>
      </c>
      <c r="E1253">
        <v>2850.95</v>
      </c>
    </row>
    <row r="1254" spans="1:5" x14ac:dyDescent="0.2">
      <c r="A1254" s="269">
        <v>45910.703472222223</v>
      </c>
      <c r="B1254" t="s">
        <v>1431</v>
      </c>
      <c r="C1254" t="s">
        <v>28</v>
      </c>
      <c r="D1254" t="s">
        <v>918</v>
      </c>
      <c r="E1254">
        <v>2850.95</v>
      </c>
    </row>
    <row r="1255" spans="1:5" x14ac:dyDescent="0.2">
      <c r="A1255" s="269">
        <v>45910.703576388885</v>
      </c>
      <c r="B1255" t="s">
        <v>1431</v>
      </c>
      <c r="C1255" t="s">
        <v>28</v>
      </c>
      <c r="D1255" t="s">
        <v>926</v>
      </c>
      <c r="E1255" t="s">
        <v>364</v>
      </c>
    </row>
    <row r="1256" spans="1:5" x14ac:dyDescent="0.2">
      <c r="A1256" s="269">
        <v>45910.703622685185</v>
      </c>
      <c r="B1256" t="s">
        <v>1431</v>
      </c>
      <c r="C1256" t="s">
        <v>28</v>
      </c>
      <c r="D1256" t="s">
        <v>1453</v>
      </c>
      <c r="E1256" t="s">
        <v>364</v>
      </c>
    </row>
    <row r="1257" spans="1:5" x14ac:dyDescent="0.2">
      <c r="A1257" s="269">
        <v>45910.703657407408</v>
      </c>
      <c r="B1257" t="s">
        <v>1431</v>
      </c>
      <c r="C1257" t="s">
        <v>28</v>
      </c>
      <c r="D1257" t="s">
        <v>1458</v>
      </c>
      <c r="E1257" t="s">
        <v>364</v>
      </c>
    </row>
    <row r="1258" spans="1:5" x14ac:dyDescent="0.2">
      <c r="A1258" s="269">
        <v>45910.703703703701</v>
      </c>
      <c r="B1258" t="s">
        <v>1431</v>
      </c>
      <c r="C1258" t="s">
        <v>28</v>
      </c>
      <c r="D1258" t="s">
        <v>924</v>
      </c>
      <c r="E1258">
        <v>6000</v>
      </c>
    </row>
    <row r="1259" spans="1:5" x14ac:dyDescent="0.2">
      <c r="A1259" s="269">
        <v>45910.703865740739</v>
      </c>
      <c r="B1259" t="s">
        <v>1431</v>
      </c>
      <c r="C1259" t="s">
        <v>28</v>
      </c>
      <c r="D1259" t="s">
        <v>977</v>
      </c>
      <c r="E1259">
        <v>2700.3</v>
      </c>
    </row>
    <row r="1260" spans="1:5" x14ac:dyDescent="0.2">
      <c r="A1260" s="269">
        <v>45910.703888888886</v>
      </c>
      <c r="B1260" t="s">
        <v>1431</v>
      </c>
      <c r="C1260" t="s">
        <v>28</v>
      </c>
      <c r="D1260" t="s">
        <v>918</v>
      </c>
      <c r="E1260">
        <v>2700.3</v>
      </c>
    </row>
    <row r="1261" spans="1:5" x14ac:dyDescent="0.2">
      <c r="A1261" s="269">
        <v>45910.703946759262</v>
      </c>
      <c r="B1261" t="s">
        <v>1431</v>
      </c>
      <c r="C1261" t="s">
        <v>28</v>
      </c>
      <c r="D1261" t="s">
        <v>1509</v>
      </c>
      <c r="E1261">
        <v>2700.3</v>
      </c>
    </row>
    <row r="1262" spans="1:5" x14ac:dyDescent="0.2">
      <c r="A1262" s="269">
        <v>45910.704050925924</v>
      </c>
      <c r="B1262" t="s">
        <v>1431</v>
      </c>
      <c r="C1262" t="s">
        <v>28</v>
      </c>
      <c r="D1262" t="s">
        <v>1510</v>
      </c>
      <c r="E1262">
        <v>2850.95</v>
      </c>
    </row>
    <row r="1263" spans="1:5" x14ac:dyDescent="0.2">
      <c r="A1263" s="269">
        <v>45910.704108796293</v>
      </c>
      <c r="B1263" t="s">
        <v>1431</v>
      </c>
      <c r="C1263" t="s">
        <v>28</v>
      </c>
      <c r="D1263" t="s">
        <v>981</v>
      </c>
      <c r="E1263">
        <v>6000</v>
      </c>
    </row>
    <row r="1264" spans="1:5" x14ac:dyDescent="0.2">
      <c r="A1264" s="269">
        <v>45910.70416666667</v>
      </c>
      <c r="B1264" t="s">
        <v>1431</v>
      </c>
      <c r="C1264" t="s">
        <v>28</v>
      </c>
      <c r="D1264" t="s">
        <v>1526</v>
      </c>
      <c r="E1264">
        <v>6000</v>
      </c>
    </row>
    <row r="1265" spans="1:5" x14ac:dyDescent="0.2">
      <c r="A1265" s="269">
        <v>45910.704247685186</v>
      </c>
      <c r="B1265" t="s">
        <v>1431</v>
      </c>
      <c r="C1265" t="s">
        <v>28</v>
      </c>
      <c r="D1265" t="s">
        <v>1459</v>
      </c>
      <c r="E1265" t="s">
        <v>313</v>
      </c>
    </row>
    <row r="1266" spans="1:5" x14ac:dyDescent="0.2">
      <c r="A1266" s="269">
        <v>45910.704305555555</v>
      </c>
      <c r="B1266" t="s">
        <v>1431</v>
      </c>
      <c r="C1266" t="s">
        <v>28</v>
      </c>
      <c r="D1266" t="s">
        <v>1461</v>
      </c>
      <c r="E1266" t="s">
        <v>364</v>
      </c>
    </row>
    <row r="1267" spans="1:5" x14ac:dyDescent="0.2">
      <c r="A1267" s="269">
        <v>45910.704363425924</v>
      </c>
      <c r="B1267" t="s">
        <v>1431</v>
      </c>
      <c r="C1267" t="s">
        <v>28</v>
      </c>
      <c r="D1267" t="s">
        <v>1527</v>
      </c>
      <c r="E1267" t="s">
        <v>313</v>
      </c>
    </row>
    <row r="1268" spans="1:5" x14ac:dyDescent="0.2">
      <c r="A1268" s="269">
        <v>45910.704398148147</v>
      </c>
      <c r="B1268" t="s">
        <v>1431</v>
      </c>
      <c r="C1268" t="s">
        <v>28</v>
      </c>
      <c r="D1268" t="s">
        <v>1528</v>
      </c>
      <c r="E1268" t="s">
        <v>364</v>
      </c>
    </row>
    <row r="1269" spans="1:5" x14ac:dyDescent="0.2">
      <c r="A1269" s="269">
        <v>45910.704421296294</v>
      </c>
      <c r="B1269" t="s">
        <v>1431</v>
      </c>
      <c r="C1269" t="s">
        <v>28</v>
      </c>
      <c r="D1269" t="s">
        <v>1529</v>
      </c>
      <c r="E1269" t="s">
        <v>313</v>
      </c>
    </row>
    <row r="1270" spans="1:5" x14ac:dyDescent="0.2">
      <c r="A1270" s="269">
        <v>45910.704479166663</v>
      </c>
      <c r="B1270" t="s">
        <v>1431</v>
      </c>
      <c r="C1270" t="s">
        <v>28</v>
      </c>
      <c r="D1270" t="s">
        <v>1488</v>
      </c>
      <c r="E1270" t="s">
        <v>364</v>
      </c>
    </row>
    <row r="1271" spans="1:5" x14ac:dyDescent="0.2">
      <c r="A1271" s="269">
        <v>45910.704930555556</v>
      </c>
      <c r="B1271" t="s">
        <v>1431</v>
      </c>
      <c r="C1271" t="s">
        <v>28</v>
      </c>
      <c r="D1271" t="s">
        <v>1532</v>
      </c>
      <c r="E1271" t="s">
        <v>1530</v>
      </c>
    </row>
    <row r="1272" spans="1:5" x14ac:dyDescent="0.2">
      <c r="A1272" s="269">
        <v>45910.704953703702</v>
      </c>
      <c r="B1272" t="s">
        <v>1431</v>
      </c>
      <c r="C1272" t="s">
        <v>28</v>
      </c>
      <c r="D1272" t="s">
        <v>1533</v>
      </c>
      <c r="E1272" t="s">
        <v>1530</v>
      </c>
    </row>
    <row r="1273" spans="1:5" x14ac:dyDescent="0.2">
      <c r="A1273" s="269">
        <v>45910.704988425925</v>
      </c>
      <c r="B1273" t="s">
        <v>1431</v>
      </c>
      <c r="C1273" t="s">
        <v>28</v>
      </c>
      <c r="D1273" t="s">
        <v>1534</v>
      </c>
      <c r="E1273" t="s">
        <v>1530</v>
      </c>
    </row>
    <row r="1274" spans="1:5" x14ac:dyDescent="0.2">
      <c r="A1274" s="269">
        <v>45910.705000000002</v>
      </c>
      <c r="B1274" t="s">
        <v>1431</v>
      </c>
      <c r="C1274" t="s">
        <v>28</v>
      </c>
      <c r="D1274" t="s">
        <v>1535</v>
      </c>
      <c r="E1274" t="s">
        <v>1530</v>
      </c>
    </row>
    <row r="1275" spans="1:5" x14ac:dyDescent="0.2">
      <c r="A1275" s="269">
        <v>45910.705023148148</v>
      </c>
      <c r="B1275" t="s">
        <v>1431</v>
      </c>
      <c r="C1275" t="s">
        <v>28</v>
      </c>
      <c r="D1275" t="s">
        <v>1536</v>
      </c>
      <c r="E1275" t="s">
        <v>1530</v>
      </c>
    </row>
    <row r="1276" spans="1:5" x14ac:dyDescent="0.2">
      <c r="A1276" s="269">
        <v>45910.705034722225</v>
      </c>
      <c r="B1276" t="s">
        <v>1431</v>
      </c>
      <c r="C1276" t="s">
        <v>28</v>
      </c>
      <c r="D1276" t="s">
        <v>1537</v>
      </c>
      <c r="E1276" t="s">
        <v>1530</v>
      </c>
    </row>
    <row r="1277" spans="1:5" x14ac:dyDescent="0.2">
      <c r="A1277" s="269">
        <v>45916.90048611111</v>
      </c>
      <c r="B1277" t="s">
        <v>596</v>
      </c>
      <c r="C1277" t="s">
        <v>597</v>
      </c>
      <c r="D1277" t="s">
        <v>1513</v>
      </c>
      <c r="E1277" t="s">
        <v>39</v>
      </c>
    </row>
    <row r="1278" spans="1:5" x14ac:dyDescent="0.2">
      <c r="A1278" s="269">
        <v>45916.900879629633</v>
      </c>
      <c r="B1278" t="s">
        <v>596</v>
      </c>
      <c r="C1278" t="s">
        <v>27</v>
      </c>
      <c r="D1278" t="s">
        <v>1538</v>
      </c>
      <c r="E1278" t="s">
        <v>53</v>
      </c>
    </row>
    <row r="1279" spans="1:5" x14ac:dyDescent="0.2">
      <c r="A1279" s="269">
        <v>45916.900972222225</v>
      </c>
      <c r="B1279" t="s">
        <v>596</v>
      </c>
      <c r="C1279" t="s">
        <v>27</v>
      </c>
      <c r="D1279" t="s">
        <v>1539</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BFF0D39-3661-481E-B3B6-00FDA404A818}">
  <ds:schemaRefs>
    <ds:schemaRef ds:uri="http://schemas.microsoft.com/sharepoint/v3/contenttype/forms"/>
  </ds:schemaRefs>
</ds:datastoreItem>
</file>

<file path=customXml/itemProps3.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2025-09-16T13:37:24Z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