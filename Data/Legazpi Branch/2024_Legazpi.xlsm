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Legazpi Branch/"/>
    </mc:Choice>
  </mc:AlternateContent>
  <xr:revisionPtr revIDLastSave="0" documentId="13_ncr:1_{65984BAA-DA8B-144C-8368-FD52AFD9A3FA}"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702" r:id="rId19"/>
    <pivotCache cacheId="703" r:id="rId20"/>
    <pivotCache cacheId="704" r:id="rId21"/>
    <pivotCache cacheId="705" r:id="rId22"/>
    <pivotCache cacheId="706" r:id="rId23"/>
    <pivotCache cacheId="714"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9" i="40"/>
  <c r="I10" i="40" s="1"/>
  <c r="I11" i="40" s="1"/>
  <c r="I12" i="40" s="1"/>
  <c r="I13" i="40" s="1"/>
  <c r="I14" i="40" s="1"/>
  <c r="I15" i="40" s="1"/>
  <c r="I16" i="40" s="1"/>
  <c r="I17" i="40" s="1"/>
  <c r="I18" i="40" s="1"/>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E12" i="38" s="1"/>
  <c r="V9" i="38"/>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P14" i="41" s="1"/>
  <c r="P15" i="41" s="1"/>
  <c r="P16" i="41" s="1"/>
  <c r="P17" i="41" s="1"/>
  <c r="P18" i="41" s="1"/>
  <c r="P19" i="41" s="1"/>
  <c r="I13" i="41"/>
  <c r="I14" i="41" s="1"/>
  <c r="I15" i="41" s="1"/>
  <c r="I16" i="41" s="1"/>
  <c r="I17" i="41" s="1"/>
  <c r="I18" i="41" s="1"/>
  <c r="I19" i="41" s="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13" i="34" s="1"/>
  <c r="I14" i="34" s="1"/>
  <c r="I15" i="34" s="1"/>
  <c r="I16" i="34" s="1"/>
  <c r="I17" i="34" s="1"/>
  <c r="I18"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F12" i="38" l="1"/>
  <c r="D12" i="38"/>
  <c r="G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3" i="34"/>
  <c r="N12" i="34"/>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G14" i="34" l="1"/>
  <c r="E14" i="34"/>
  <c r="F14" i="34"/>
  <c r="D14" i="34"/>
  <c r="E12" i="34"/>
  <c r="F12" i="34"/>
  <c r="G12" i="34"/>
  <c r="D12" i="34"/>
  <c r="E13" i="34"/>
  <c r="F13" i="34"/>
  <c r="D13" i="34"/>
  <c r="G13" i="34"/>
  <c r="G11" i="34"/>
  <c r="E11" i="34"/>
  <c r="F11" i="34"/>
  <c r="D11" i="34"/>
  <c r="D15" i="34"/>
  <c r="F15" i="34"/>
  <c r="G15" i="34"/>
  <c r="E15" i="34"/>
  <c r="E49" i="37"/>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<sst xmlns="http://schemas.openxmlformats.org/spreadsheetml/2006/main" count="6712" uniqueCount="1541">
  <si>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</si>
  <si>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</si>
  <si>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</si>
  <si>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</si>
  <si>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</si>
  <si>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</si>
  <si>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</si>
  <si>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</si>
  <si>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</si>
  <si>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</si>
  <si>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</si>
  <si>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</si>
  <si>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</si>
  <si>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</si>
  <si>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</si>
  <si>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</si>
  <si>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</si>
  <si>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</si>
  <si>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</si>
  <si>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</si>
  <si>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</si>
  <si>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</si>
  <si>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</si>
  <si>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</si>
  <si>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</si>
  <si>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</si>
  <si>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</si>
  <si>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</si>
  <si>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</si>
  <si>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</si>
  <si>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</si>
  <si>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</si>
  <si>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</si>
  <si>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</si>
  <si>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</si>
  <si>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</si>
  <si>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</si>
  <si>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</si>
  <si>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</si>
  <si>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</si>
  <si>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</si>
  <si>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</si>
  <si>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</si>
  <si>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</si>
  <si>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</si>
  <si>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</si>
  <si>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</si>
  <si>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</si>
  <si>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</si>
  <si>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</si>
  <si>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</si>
  <si>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</si>
  <si>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</si>
  <si>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</si>
  <si>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</si>
  <si>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</si>
  <si>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</si>
  <si>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</si>
  <si>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</si>
  <si>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</si>
  <si>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</si>
  <si>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</si>
  <si>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</si>
  <si>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</si>
  <si>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</si>
  <si>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</si>
  <si>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</si>
  <si>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</si>
  <si>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</si>
  <si>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</si>
  <si>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</si>
  <si>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</si>
  <si>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</si>
  <si>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</si>
  <si>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</si>
  <si>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</si>
  <si>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</si>
  <si>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</si>
  <si>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</si>
  <si>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</si>
  <si>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</si>
  <si>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</si>
  <si>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</si>
  <si>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</si>
  <si>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</si>
  <si>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</si>
  <si>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</si>
  <si>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</si>
  <si>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</si>
  <si>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</si>
  <si>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</si>
  <si>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</si>
  <si>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</si>
  <si>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</si>
  <si>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</si>
  <si>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</si>
  <si>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</si>
  <si>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</si>
  <si>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</si>
  <si>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</si>
  <si>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</si>
  <si>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</si>
  <si>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</si>
  <si>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</si>
  <si>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</si>
  <si>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</si>
  <si>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</si>
  <si>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</si>
  <si>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</si>
  <si>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</si>
  <si>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</si>
  <si>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</si>
  <si>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</si>
  <si>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</si>
  <si>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</si>
  <si>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</si>
  <si>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</si>
  <si>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</si>
  <si>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</si>
  <si>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</si>
  <si>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</si>
  <si>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</si>
  <si>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</si>
  <si>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</si>
  <si>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</si>
  <si>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</si>
  <si>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</si>
  <si>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</si>
  <si>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</si>
  <si>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</si>
  <si>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</si>
  <si>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</si>
  <si>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</si>
  <si>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</si>
  <si>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</si>
  <si>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</si>
  <si>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</si>
  <si>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</si>
  <si>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</si>
  <si>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</si>
  <si>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</si>
  <si>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</si>
  <si>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</si>
  <si>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</si>
  <si>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</si>
  <si>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</si>
  <si>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</si>
  <si>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</si>
  <si>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</si>
  <si>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</si>
  <si>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</si>
  <si>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</si>
  <si>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</si>
  <si>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</si>
  <si>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</si>
  <si>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</si>
  <si>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</si>
  <si>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</si>
  <si>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</si>
  <si>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</si>
  <si>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</si>
  <si>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</si>
  <si>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</si>
  <si>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</si>
  <si>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</si>
  <si>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</si>
  <si>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</si>
  <si>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</si>
  <si>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</si>
  <si>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</si>
  <si>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</si>
  <si>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</si>
  <si>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</si>
  <si>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</si>
  <si>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</si>
  <si>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</si>
  <si>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</si>
  <si>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</si>
  <si>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</si>
  <si>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</si>
  <si>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</si>
  <si>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</si>
  <si>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</si>
  <si>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</si>
  <si>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</si>
  <si>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</si>
  <si>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</si>
  <si>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</si>
  <si>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</si>
  <si>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</si>
  <si>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</si>
  <si>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</si>
  <si>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</si>
  <si>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</si>
  <si>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</si>
  <si>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</si>
  <si>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</si>
  <si>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</si>
  <si>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</si>
  <si>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</si>
  <si>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</si>
  <si>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</si>
  <si>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</si>
  <si>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</si>
  <si>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</si>
  <si>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</si>
  <si>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</si>
  <si>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</si>
  <si>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</si>
  <si>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</si>
  <si>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</si>
  <si>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</si>
  <si>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</si>
  <si>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</si>
  <si>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</si>
  <si>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</si>
  <si>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</si>
  <si>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</si>
  <si>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</si>
  <si>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</si>
  <si>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</si>
  <si>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</si>
  <si>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</si>
  <si>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</si>
  <si>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</si>
  <si>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</si>
  <si>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</si>
  <si>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</si>
  <si>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</si>
  <si>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</si>
  <si>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</si>
  <si>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</si>
  <si>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</si>
  <si>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</si>
  <si>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</si>
  <si>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</si>
  <si>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</si>
  <si>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</si>
  <si>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</si>
  <si>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</si>
  <si>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</si>
  <si>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</si>
  <si>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</si>
  <si>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</si>
  <si>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</si>
  <si>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</si>
  <si>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</si>
  <si>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</si>
  <si>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</si>
  <si>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</si>
  <si>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</si>
  <si>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</si>
  <si>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</si>
  <si>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</si>
  <si>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</si>
  <si>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</si>
  <si>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</si>
  <si>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</si>
  <si>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</si>
  <si>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</si>
  <si>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</si>
  <si>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</si>
  <si>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</si>
  <si>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</si>
  <si>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</si>
  <si>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</si>
  <si>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</si>
  <si>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</si>
  <si>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</si>
  <si>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</si>
  <si>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</si>
  <si>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</si>
  <si>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</si>
  <si>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</si>
  <si>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</si>
  <si>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</si>
  <si>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</si>
  <si>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</si>
  <si>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</si>
  <si>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</si>
  <si>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</si>
  <si>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</si>
  <si>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</si>
  <si>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</si>
  <si>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</si>
  <si>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</si>
  <si>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</si>
  <si>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</si>
  <si>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</si>
  <si>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</si>
  <si>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</si>
  <si>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</si>
  <si>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</si>
  <si>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</si>
  <si>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</si>
  <si>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</si>
  <si>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</si>
  <si>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</si>
  <si>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</si>
  <si>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</si>
  <si>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</si>
  <si>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</si>
  <si>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</si>
  <si>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</si>
  <si>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</si>
  <si>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</si>
  <si>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</si>
  <si>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</si>
  <si>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</si>
  <si>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</si>
  <si>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</si>
  <si>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</si>
  <si>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</si>
  <si>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</si>
  <si>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</si>
  <si>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</si>
  <si>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</si>
  <si>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</si>
  <si>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</si>
  <si>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</si>
  <si>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</si>
  <si>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</si>
  <si>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</si>
  <si>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</si>
  <si>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</si>
  <si>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</si>
  <si>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</si>
  <si>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</si>
  <si>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</si>
  <si>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</si>
  <si>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</si>
  <si>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</si>
  <si>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</si>
  <si>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</si>
  <si>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</si>
  <si>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</si>
  <si>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</si>
  <si>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</si>
  <si>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</si>
  <si>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</si>
  <si>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</si>
  <si>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</si>
  <si>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</si>
  <si>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</si>
  <si>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</si>
  <si>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</si>
  <si>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</si>
  <si>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</si>
  <si>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</si>
  <si>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</si>
  <si>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</si>
  <si>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</si>
  <si>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</si>
  <si>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</si>
  <si>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</si>
  <si>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</si>
  <si>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</si>
  <si>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</si>
  <si>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</si>
  <si>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</si>
  <si>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</si>
  <si>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</si>
  <si>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</si>
  <si>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</si>
  <si>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</si>
  <si>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</si>
  <si>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</si>
  <si>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</si>
  <si>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</si>
  <si>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</si>
  <si>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</si>
  <si>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</si>
  <si>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</si>
  <si>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</si>
  <si>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</si>
  <si>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</si>
  <si>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</si>
  <si>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</si>
  <si>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</si>
  <si>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</si>
  <si>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</si>
  <si>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</si>
  <si>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</si>
  <si>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</si>
  <si>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</si>
  <si>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</si>
  <si>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</si>
  <si>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</si>
  <si>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</si>
  <si>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</si>
  <si>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</si>
  <si>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</si>
  <si>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</si>
  <si>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</si>
  <si>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</si>
  <si>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</si>
  <si>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</si>
  <si>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</si>
  <si>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</si>
  <si>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</si>
  <si>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</si>
  <si>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</si>
  <si>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</si>
  <si>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</si>
  <si>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</si>
  <si>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</si>
  <si>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</si>
  <si>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</si>
  <si>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</si>
  <si>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</si>
  <si>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</si>
  <si>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</si>
  <si>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</si>
  <si>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</si>
  <si>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</si>
  <si>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</si>
  <si>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</si>
  <si>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</si>
  <si>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</si>
  <si>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</si>
  <si>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</si>
  <si>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</si>
  <si>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</si>
  <si>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</si>
  <si>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</si>
  <si>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</si>
  <si>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</si>
  <si>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</si>
  <si>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</si>
  <si>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</si>
  <si>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</si>
  <si>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</si>
  <si>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</si>
  <si>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</si>
  <si>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</si>
  <si>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</si>
  <si>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</si>
  <si>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</si>
  <si>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</si>
  <si>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</si>
  <si>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</si>
  <si>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</si>
  <si>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</si>
  <si>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</si>
  <si>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</si>
  <si>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</si>
  <si>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</si>
  <si>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</si>
  <si>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</si>
  <si>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</si>
  <si>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</si>
  <si>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</si>
  <si>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</si>
  <si>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</si>
  <si>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</si>
  <si>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</si>
  <si>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</si>
  <si>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</si>
  <si>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</si>
  <si>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</si>
  <si>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</si>
  <si>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</si>
  <si>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</si>
  <si>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</si>
  <si>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</si>
  <si>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</si>
  <si>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</si>
  <si>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</si>
  <si>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</si>
  <si>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</si>
  <si>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</si>
  <si>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</si>
  <si>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</si>
  <si>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</si>
  <si>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</si>
  <si>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</si>
  <si>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</si>
  <si>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</si>
  <si>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</si>
  <si>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</si>
  <si>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</si>
  <si>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</si>
  <si>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</si>
  <si>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</si>
  <si>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</si>
  <si>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</si>
  <si>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</si>
  <si>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</si>
  <si>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</si>
  <si>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</si>
  <si>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</si>
  <si>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</si>
  <si>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</si>
  <si>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</si>
  <si>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</si>
  <si>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</si>
  <si>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</si>
  <si>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</si>
  <si>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</si>
  <si>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</si>
  <si>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</si>
  <si>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</si>
  <si>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</si>
  <si>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</si>
  <si>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</si>
  <si>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</si>
  <si>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</si>
  <si>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</si>
  <si>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</si>
  <si>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</si>
  <si>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</si>
  <si>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</si>
  <si>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</si>
  <si>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</si>
  <si>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</si>
  <si>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</si>
  <si>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</si>
  <si>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</si>
  <si>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</si>
  <si>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</si>
  <si>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</si>
  <si>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</si>
  <si>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</si>
  <si>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</si>
  <si>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</si>
  <si>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</si>
  <si>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</si>
  <si>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</si>
  <si>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</si>
  <si>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</si>
  <si>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</si>
  <si>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</si>
  <si>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</si>
  <si>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</si>
  <si>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</si>
  <si>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</si>
  <si>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</si>
  <si>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</si>
  <si>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</si>
  <si>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</si>
  <si>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</si>
  <si>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</si>
  <si>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</si>
  <si>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</si>
  <si>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</si>
  <si>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</si>
  <si>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</si>
  <si>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</si>
  <si>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</si>
  <si>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</si>
  <si>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</si>
  <si>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</si>
  <si>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</si>
  <si>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</si>
  <si>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</si>
  <si>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</si>
  <si>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</si>
  <si>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</si>
  <si>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</si>
  <si>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</si>
  <si>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</si>
  <si>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</si>
  <si>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</si>
  <si>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</si>
  <si>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</si>
  <si>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</si>
  <si>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</si>
  <si>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</si>
  <si>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</si>
  <si>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</si>
  <si>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</si>
  <si>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</si>
  <si>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</si>
  <si>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</si>
  <si>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</si>
  <si>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</si>
  <si>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</si>
  <si>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</si>
  <si>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</si>
  <si>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</si>
  <si>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</si>
  <si>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</si>
  <si>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</si>
  <si>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</si>
  <si>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</si>
  <si>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</si>
  <si>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</si>
  <si>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</si>
  <si>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</si>
  <si>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</si>
  <si>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</si>
  <si>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</si>
  <si>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</si>
  <si>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</si>
  <si>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</si>
  <si>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</si>
  <si>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</si>
  <si>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</si>
  <si>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</si>
  <si>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</si>
  <si>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</si>
  <si>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</si>
  <si>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</si>
  <si>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</si>
  <si>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</si>
  <si>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</si>
  <si>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</si>
  <si>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</si>
  <si>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</si>
  <si>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</si>
  <si>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</si>
  <si>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</si>
  <si>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</si>
  <si>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</si>
  <si>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</si>
  <si>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</si>
  <si>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</si>
  <si>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</si>
  <si>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</si>
  <si>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</si>
  <si>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</si>
  <si>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</si>
  <si>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</si>
  <si>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</si>
  <si>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</si>
  <si>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</si>
  <si>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</si>
  <si>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</si>
  <si>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</si>
  <si>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</si>
  <si>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</si>
  <si>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</si>
  <si>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</si>
  <si>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</si>
  <si>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</si>
  <si>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</si>
  <si>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</si>
  <si>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</si>
  <si>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</si>
  <si>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</si>
  <si>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</si>
  <si>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</si>
  <si>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</si>
  <si>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</si>
  <si>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</si>
  <si>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</si>
  <si>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</si>
  <si>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</si>
  <si>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</si>
  <si>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</si>
  <si>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</si>
  <si>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</si>
  <si>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</si>
  <si>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</si>
  <si>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</si>
  <si>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</si>
  <si>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</si>
  <si>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</si>
  <si>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</si>
  <si>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</si>
  <si>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</si>
  <si>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</si>
  <si>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</si>
  <si>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</si>
  <si>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</si>
  <si>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</si>
  <si>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</si>
  <si>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</si>
  <si>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</si>
  <si>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</si>
  <si>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</si>
  <si>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</si>
  <si>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</si>
  <si>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</si>
  <si>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</si>
  <si>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</si>
  <si>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</si>
  <si>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</si>
  <si>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</si>
  <si>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</si>
  <si>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</si>
  <si>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</si>
  <si>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</si>
  <si>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</si>
  <si>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</si>
  <si>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</si>
  <si>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</si>
  <si>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</si>
  <si>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</si>
  <si>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</si>
  <si>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</si>
  <si>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</si>
  <si>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</si>
  <si>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</si>
  <si>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</si>
  <si>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</si>
  <si>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</si>
  <si>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</si>
  <si>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</si>
  <si>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</si>
  <si>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</si>
  <si>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</si>
  <si>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</si>
  <si>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</si>
  <si>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</si>
  <si>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</si>
  <si>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</si>
  <si>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</si>
  <si>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</si>
  <si>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</si>
  <si>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</si>
  <si>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</si>
  <si>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</si>
  <si>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</si>
  <si>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</si>
  <si>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</si>
  <si>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</si>
  <si>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</si>
  <si>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</si>
  <si>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</si>
  <si>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</si>
  <si>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</si>
  <si>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</si>
  <si>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</si>
  <si>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</si>
  <si>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</si>
  <si>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</si>
  <si>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</si>
  <si>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</si>
  <si>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</si>
  <si>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</si>
  <si>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</si>
  <si>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</si>
  <si>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</si>
  <si>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</si>
  <si>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</si>
  <si>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</si>
  <si>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</si>
  <si>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</si>
  <si>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</si>
  <si>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</si>
  <si>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</si>
  <si>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</si>
  <si>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</si>
  <si>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</si>
  <si>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</si>
  <si>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</si>
  <si>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</si>
  <si>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</si>
  <si>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</si>
  <si>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</si>
  <si>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</si>
  <si>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</si>
  <si>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</si>
  <si>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</si>
  <si>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</si>
  <si>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</si>
  <si>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</si>
  <si>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</si>
  <si>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</si>
  <si>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</si>
  <si>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</si>
  <si>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</si>
  <si>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</si>
  <si>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</si>
  <si>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</si>
  <si>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</si>
  <si>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</si>
  <si>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</si>
  <si>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</si>
  <si>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</si>
  <si>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</si>
  <si>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</si>
  <si>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</si>
  <si>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</si>
  <si>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</si>
  <si>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</si>
  <si>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</si>
  <si>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</si>
  <si>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</si>
  <si>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</si>
  <si>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</si>
  <si>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</si>
  <si>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</si>
  <si>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</si>
  <si>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</si>
  <si>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</si>
  <si>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</si>
  <si>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</si>
  <si>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</si>
  <si>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</si>
  <si>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</si>
  <si>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</si>
  <si>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</si>
  <si>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</si>
  <si>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</si>
  <si>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</si>
  <si>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</si>
  <si>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</si>
  <si>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</si>
  <si>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</si>
  <si>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</si>
  <si>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</si>
  <si>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</si>
  <si>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</si>
  <si>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</si>
  <si>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</si>
  <si>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</si>
  <si>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</si>
  <si>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</si>
  <si>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</si>
  <si>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</si>
  <si>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</si>
  <si>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</si>
  <si>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</si>
  <si>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</si>
  <si>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</si>
  <si>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</si>
  <si>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</si>
  <si>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</si>
  <si>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</si>
  <si>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</si>
  <si>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</si>
  <si>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</si>
  <si>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</si>
  <si>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</si>
  <si>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</si>
  <si>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</si>
  <si>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</si>
  <si>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</si>
  <si>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</si>
  <si>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</si>
  <si>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</si>
  <si>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</si>
  <si>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</si>
  <si>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</si>
  <si>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</si>
  <si>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</si>
  <si>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</si>
  <si>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</si>
  <si>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</si>
  <si>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</si>
  <si>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</si>
  <si>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</si>
  <si>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</si>
  <si>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</si>
  <si>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</si>
  <si>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</si>
  <si>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</si>
  <si>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</si>
  <si>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</si>
  <si>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</si>
  <si>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</si>
  <si>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</si>
  <si>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</si>
  <si>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</si>
  <si>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</si>
  <si>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</si>
  <si>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</si>
  <si>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</si>
  <si>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</si>
  <si>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</si>
  <si>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</si>
  <si>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</si>
  <si>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</si>
  <si>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</si>
  <si>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</si>
  <si>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</si>
  <si>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</si>
  <si>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</si>
  <si>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</si>
  <si>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</si>
  <si>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</si>
  <si>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</si>
  <si>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</si>
  <si>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</si>
  <si>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</si>
  <si>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</si>
  <si>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</si>
  <si>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</si>
  <si>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</si>
  <si>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</si>
  <si>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</si>
  <si>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</si>
  <si>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</si>
  <si>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</si>
  <si>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</si>
  <si>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</si>
  <si>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</si>
  <si>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</si>
  <si>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</si>
  <si>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</si>
  <si>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</si>
  <si>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</si>
  <si>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</si>
  <si>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</si>
  <si>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</si>
  <si>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</si>
  <si>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</si>
  <si>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</si>
  <si>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</si>
  <si>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</si>
  <si>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</si>
  <si>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</si>
  <si>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</si>
  <si>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</si>
  <si>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</si>
  <si>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</si>
  <si>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</si>
  <si>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</si>
  <si>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</si>
  <si>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</si>
  <si>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</si>
  <si>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</si>
  <si>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</si>
  <si>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</si>
  <si>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</si>
  <si>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</si>
  <si>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</si>
  <si>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</si>
  <si>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</si>
  <si>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</si>
  <si>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</si>
  <si>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</si>
  <si>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</si>
  <si>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</si>
  <si>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</si>
  <si>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</si>
  <si>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</si>
  <si>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</si>
  <si>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</si>
  <si>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</si>
  <si>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</si>
  <si>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</si>
  <si>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</si>
  <si>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</si>
  <si>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</si>
  <si>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</si>
  <si>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</si>
  <si>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</si>
  <si>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</si>
  <si>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</si>
  <si>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</si>
  <si>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</si>
  <si>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</si>
  <si>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</si>
  <si>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</si>
  <si>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</si>
  <si>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</si>
  <si>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</si>
  <si>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</si>
  <si>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</si>
  <si>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</si>
  <si>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</si>
  <si>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</si>
  <si>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</si>
  <si>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</si>
  <si>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</si>
  <si>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</si>
  <si>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</si>
  <si>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</si>
  <si>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</si>
  <si>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</si>
  <si>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</si>
  <si>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</si>
  <si>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</si>
  <si>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</si>
  <si>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</si>
  <si>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</si>
  <si>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</si>
  <si>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</si>
  <si>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</si>
  <si>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</si>
  <si>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</si>
  <si>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</si>
  <si>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</si>
  <si>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</si>
  <si>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</si>
  <si>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</si>
  <si>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</si>
  <si>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</si>
  <si>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</si>
  <si>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</si>
  <si>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</si>
  <si>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</si>
  <si>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</si>
  <si>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</si>
  <si>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</si>
  <si>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</si>
  <si>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</si>
  <si>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</si>
  <si>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</si>
  <si>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</si>
  <si>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</si>
  <si>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</si>
  <si>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</si>
  <si>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</si>
  <si>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</si>
  <si>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</si>
  <si>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</si>
  <si>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</si>
  <si>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</si>
  <si>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</si>
  <si>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</si>
  <si>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</si>
  <si>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</si>
  <si>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</si>
  <si>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</si>
  <si>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</si>
  <si>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</si>
  <si>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</si>
  <si>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</si>
  <si>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</si>
  <si>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</si>
  <si>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</si>
  <si>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</si>
  <si>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</si>
  <si>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</si>
  <si>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</si>
  <si>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</si>
  <si>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</si>
  <si>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</si>
  <si>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</si>
  <si>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</si>
  <si>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</si>
  <si>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</si>
  <si>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</si>
  <si>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</si>
  <si>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</si>
  <si>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</si>
  <si>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</si>
  <si>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</si>
  <si>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</si>
  <si>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</si>
  <si>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</si>
  <si>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</si>
  <si>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</si>
  <si>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</si>
  <si>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</si>
  <si>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</si>
  <si>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</si>
  <si>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</si>
  <si>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</si>
  <si>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</si>
  <si>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</si>
  <si>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</si>
  <si>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</si>
  <si>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</si>
  <si>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</si>
  <si>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</si>
  <si>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</si>
  <si>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</si>
  <si>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</si>
  <si>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</si>
  <si>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</si>
  <si>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</si>
  <si>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</si>
  <si>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</si>
  <si>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</si>
  <si>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</si>
  <si>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</si>
  <si>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</si>
  <si>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</si>
  <si>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</si>
  <si>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</si>
  <si>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</si>
  <si>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</si>
  <si>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</si>
  <si>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</si>
  <si>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</si>
  <si>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</si>
  <si>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</si>
  <si>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</si>
  <si>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</si>
  <si>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</si>
  <si>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</si>
  <si>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</si>
  <si>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</si>
  <si>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</si>
  <si>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</si>
  <si>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</si>
  <si>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</si>
  <si>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</si>
  <si>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</si>
  <si>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</si>
  <si>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</si>
  <si>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</si>
  <si>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</si>
  <si>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</si>
  <si>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</si>
  <si>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</si>
  <si>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</si>
  <si>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</si>
  <si>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</si>
  <si>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</si>
  <si>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</si>
  <si>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</si>
  <si>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</si>
  <si>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</si>
  <si>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</si>
  <si>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</si>
  <si>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</si>
  <si>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</si>
  <si>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</si>
  <si>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</si>
  <si>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</si>
  <si>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</si>
  <si>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</si>
  <si>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</si>
  <si>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</si>
  <si>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</si>
  <si>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</si>
  <si>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</si>
  <si>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</si>
  <si>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</si>
  <si>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</si>
  <si>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</si>
  <si>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</si>
  <si>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</si>
  <si>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</si>
  <si>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</si>
  <si>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</si>
  <si>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</si>
  <si>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</si>
  <si>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</si>
  <si>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</si>
  <si>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</si>
  <si>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</si>
  <si>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</si>
  <si>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</si>
  <si>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</si>
  <si>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</si>
  <si>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</si>
  <si>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</si>
  <si>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</si>
  <si>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</si>
  <si>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</si>
  <si>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</si>
  <si>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</si>
  <si>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</si>
  <si>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</si>
  <si>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</si>
  <si>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</si>
  <si>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</si>
  <si>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</si>
  <si>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</si>
  <si>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</si>
  <si>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</si>
  <si>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</si>
  <si>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</si>
  <si>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</si>
  <si>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</si>
  <si>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</si>
  <si>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</si>
  <si>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</si>
  <si>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</si>
  <si>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</si>
  <si>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</si>
  <si>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</si>
  <si>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</si>
  <si>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</si>
  <si>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</si>
  <si>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</si>
  <si>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</si>
  <si>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</si>
  <si>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</si>
  <si>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</si>
  <si>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</si>
  <si>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</si>
  <si>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</si>
  <si>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</si>
  <si>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</si>
  <si>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</si>
  <si>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</si>
  <si>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</si>
  <si>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</si>
  <si>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</si>
  <si>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</si>
  <si>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</si>
  <si>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</si>
  <si>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</si>
  <si>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</si>
  <si>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</si>
  <si>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</si>
  <si>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</si>
  <si>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</si>
  <si>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</si>
  <si>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</si>
  <si>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</si>
  <si>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</si>
  <si>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</si>
  <si>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</si>
  <si>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</si>
  <si>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</si>
  <si>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</si>
  <si>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</si>
  <si>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</si>
  <si>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</si>
  <si>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</si>
  <si>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</si>
  <si>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</si>
  <si>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</si>
  <si>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</si>
  <si>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</si>
  <si>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</si>
  <si>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</si>
  <si>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</si>
  <si>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</si>
  <si>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</si>
  <si>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</si>
  <si>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</si>
  <si>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</si>
  <si>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</si>
  <si>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</si>
  <si>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</si>
  <si>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</si>
  <si>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</si>
  <si>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</si>
  <si>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</si>
  <si>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</si>
  <si>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</si>
  <si>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</si>
  <si>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</si>
  <si>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</si>
  <si>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</si>
  <si>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</si>
  <si>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</si>
  <si>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</si>
  <si>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</si>
  <si>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</si>
  <si>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</si>
  <si>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</si>
  <si>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</si>
  <si>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</si>
  <si>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</si>
  <si>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</si>
  <si>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</si>
  <si>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</si>
  <si>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</si>
  <si>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</si>
  <si>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</si>
  <si>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</si>
  <si>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</si>
  <si>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</si>
  <si>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</si>
  <si>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</si>
  <si>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</si>
  <si>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</si>
  <si>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</si>
  <si>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</si>
  <si>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</si>
  <si>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</si>
  <si>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</si>
  <si>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</si>
  <si>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</si>
  <si>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</si>
  <si>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</si>
  <si>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</si>
  <si>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</si>
  <si>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</si>
  <si>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</si>
  <si>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</si>
  <si>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</si>
  <si>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</si>
  <si>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</si>
  <si>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</si>
  <si>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</si>
  <si>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</si>
  <si>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</si>
  <si>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</si>
  <si>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</si>
  <si>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</si>
  <si>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</si>
  <si>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</si>
  <si>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</si>
  <si>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</si>
  <si>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</si>
  <si>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</si>
  <si>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</si>
  <si>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</si>
  <si>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</si>
  <si>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</si>
  <si>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</si>
  <si>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</si>
  <si>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</si>
  <si>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</si>
  <si>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</si>
  <si>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</si>
  <si>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</si>
  <si>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</si>
  <si>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</si>
  <si>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</si>
  <si>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</si>
  <si>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</si>
  <si>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</si>
  <si>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</si>
  <si>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</si>
  <si>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</si>
  <si>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</si>
  <si>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</si>
  <si>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</si>
  <si>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</si>
  <si>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</si>
  <si>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</si>
  <si>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</si>
  <si>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</si>
  <si>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</si>
  <si>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</si>
  <si>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</si>
  <si>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</si>
  <si>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</si>
  <si>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</si>
  <si>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</si>
  <si>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</si>
  <si>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</si>
  <si>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</si>
  <si>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</si>
  <si>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</si>
  <si>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</si>
  <si>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</si>
  <si>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</si>
  <si>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</si>
  <si>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</si>
  <si>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</si>
  <si>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</si>
  <si>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</si>
  <si>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</si>
  <si>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</si>
  <si>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</si>
  <si>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</si>
  <si>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</si>
  <si>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</si>
  <si>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</si>
  <si>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</si>
  <si>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</si>
  <si>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</si>
  <si>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</si>
  <si>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</si>
  <si>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</si>
  <si>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</si>
  <si>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</si>
  <si>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</si>
  <si>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</si>
  <si>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</si>
  <si>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</si>
  <si>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</si>
  <si>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</si>
  <si>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</si>
  <si>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</si>
  <si>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</si>
  <si>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</si>
  <si>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</si>
  <si>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</si>
  <si>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</si>
  <si>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</si>
  <si>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</si>
  <si>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</si>
  <si>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</si>
  <si>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</si>
  <si>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</si>
  <si>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</si>
  <si>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</si>
  <si>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</si>
  <si>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</si>
  <si>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</si>
  <si>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</si>
  <si>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</si>
  <si>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</si>
  <si>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</si>
  <si>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</si>
  <si>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</si>
  <si>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</si>
  <si>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</si>
  <si>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</si>
  <si>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</si>
  <si>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</si>
  <si>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</si>
  <si>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</si>
  <si>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</si>
  <si>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</si>
  <si>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</si>
  <si>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</si>
  <si>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</si>
  <si>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</si>
  <si>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</si>
  <si>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</si>
  <si>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</si>
  <si>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</si>
  <si>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</si>
  <si>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</si>
  <si>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</si>
  <si>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</si>
  <si>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</si>
  <si>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</si>
  <si>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</si>
  <si>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</si>
  <si>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</si>
  <si>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</si>
  <si>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</si>
  <si>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</si>
  <si>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</si>
  <si>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</si>
  <si>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</si>
  <si>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</si>
  <si>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</si>
  <si>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</si>
  <si>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</si>
  <si>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</si>
  <si>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</si>
  <si>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</si>
  <si>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</si>
  <si>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</si>
  <si>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</si>
  <si>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</si>
  <si>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</si>
  <si>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</si>
  <si>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</si>
  <si>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</si>
  <si>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</si>
  <si>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</si>
  <si>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</si>
  <si>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</si>
  <si>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</si>
  <si>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</si>
  <si>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</si>
  <si>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</si>
  <si>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</si>
  <si>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</si>
  <si>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</si>
  <si>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</si>
  <si>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</si>
  <si>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Chiller Area</t>
  </si>
  <si>
    <t>Various Areas</t>
  </si>
  <si>
    <t>RENAN JET NOELITO B. BORNAS</t>
  </si>
  <si>
    <t xml:space="preserve">2 units of MPV </t>
  </si>
  <si>
    <t>1 unit Van</t>
  </si>
  <si>
    <t>3 units Armored Vehicles</t>
  </si>
  <si>
    <t>Renan Jet Noelito B. Bornas</t>
  </si>
  <si>
    <t>$A$27:$G$39</t>
  </si>
  <si>
    <t>$L$20</t>
  </si>
  <si>
    <t>Stockpile in the MRF subject for haz waste disposal through 3rd party</t>
  </si>
  <si>
    <t>$O$9</t>
  </si>
  <si>
    <t>Stockpile in the MRF subject for haz waste disposal through 3rd party contraactors</t>
  </si>
  <si>
    <t>Stockpiled in the MRF subject for haz waste disposal through 3rd party contraactors</t>
  </si>
  <si>
    <t>Estimated accumulated volume</t>
  </si>
  <si>
    <t>$J$13</t>
  </si>
  <si>
    <t>$J$14</t>
  </si>
  <si>
    <t>$J$15</t>
  </si>
  <si>
    <t>$L$15</t>
  </si>
  <si>
    <t>$N$11</t>
  </si>
  <si>
    <t>$N$13</t>
  </si>
  <si>
    <t>$O$10:$O$11</t>
  </si>
  <si>
    <t>$O$12:$O$15</t>
  </si>
  <si>
    <t>$L$16</t>
  </si>
  <si>
    <t>$L$17</t>
  </si>
  <si>
    <t>$M$17</t>
  </si>
  <si>
    <t>$M$18</t>
  </si>
  <si>
    <t>$L$18</t>
  </si>
  <si>
    <t>$L$19</t>
  </si>
  <si>
    <t>$L$21</t>
  </si>
  <si>
    <t>$M$20</t>
  </si>
  <si>
    <t>$M$21</t>
  </si>
  <si>
    <t>$O$16:$O$23</t>
  </si>
  <si>
    <t>$N$14</t>
  </si>
  <si>
    <t>$N$15</t>
  </si>
  <si>
    <t>$N$17</t>
  </si>
  <si>
    <t>$M$15</t>
  </si>
  <si>
    <t>$M$19</t>
  </si>
  <si>
    <t>$N$19</t>
  </si>
  <si>
    <t>$N$20</t>
  </si>
  <si>
    <t>$N$21</t>
  </si>
  <si>
    <t>$O$20:$O$31</t>
  </si>
  <si>
    <t>$N$22</t>
  </si>
  <si>
    <t>$N$23</t>
  </si>
  <si>
    <t>$N$24</t>
  </si>
  <si>
    <t>$N$25</t>
  </si>
  <si>
    <t>$N$26</t>
  </si>
  <si>
    <t>$N$27</t>
  </si>
  <si>
    <t>$N$28</t>
  </si>
  <si>
    <t>$N$29</t>
  </si>
  <si>
    <t>$N$30</t>
  </si>
  <si>
    <t>$N$31</t>
  </si>
  <si>
    <t>$L$22</t>
  </si>
  <si>
    <t>$L$23</t>
  </si>
  <si>
    <t>$L$24</t>
  </si>
  <si>
    <t>$L$25</t>
  </si>
  <si>
    <t>$L$26</t>
  </si>
  <si>
    <t>$L$27</t>
  </si>
  <si>
    <t>$L$28</t>
  </si>
  <si>
    <t>$L$29</t>
  </si>
  <si>
    <t>$L$30</t>
  </si>
  <si>
    <t>$L$31</t>
  </si>
  <si>
    <t>$J$22</t>
  </si>
  <si>
    <t>$J$23</t>
  </si>
  <si>
    <t>$J$24</t>
  </si>
  <si>
    <t>$J$25</t>
  </si>
  <si>
    <t>$J$26</t>
  </si>
  <si>
    <t>$J$27</t>
  </si>
  <si>
    <t>$J$28</t>
  </si>
  <si>
    <t>$J$29</t>
  </si>
  <si>
    <t>$J$30</t>
  </si>
  <si>
    <t>$J$31</t>
  </si>
  <si>
    <t>$M$22</t>
  </si>
  <si>
    <t>$M$23</t>
  </si>
  <si>
    <t>$M$24</t>
  </si>
  <si>
    <t>$M$25</t>
  </si>
  <si>
    <t>$M$26</t>
  </si>
  <si>
    <t>$M$27</t>
  </si>
  <si>
    <t>$M$28</t>
  </si>
  <si>
    <t>$M$29</t>
  </si>
  <si>
    <t>$M$30</t>
  </si>
  <si>
    <t>$M$31</t>
  </si>
  <si>
    <t>$M$11,$M$13,$M$15,$M$17,$M$19,$M$21,$M$23,$M$25,$M$27,$M$29</t>
  </si>
  <si>
    <t>Destination (domestic usage and landscaping)</t>
  </si>
  <si>
    <t>$U$8</t>
  </si>
  <si>
    <t>$U$9:$U$19</t>
  </si>
  <si>
    <t>$T$8:$T$19</t>
  </si>
  <si>
    <t>$Q$9</t>
  </si>
  <si>
    <t>$Q$10</t>
  </si>
  <si>
    <t>$Q$11</t>
  </si>
  <si>
    <t>$Q$12</t>
  </si>
  <si>
    <t>$Q$13</t>
  </si>
  <si>
    <t>$Q$14</t>
  </si>
  <si>
    <t>$Q$15</t>
  </si>
  <si>
    <t>$Q$16</t>
  </si>
  <si>
    <t>$Q$17</t>
  </si>
  <si>
    <t>$Q$18</t>
  </si>
  <si>
    <t>$Q$19</t>
  </si>
  <si>
    <t>$S$9</t>
  </si>
  <si>
    <t>$S$10</t>
  </si>
  <si>
    <t>$S$11</t>
  </si>
  <si>
    <t>$S$12</t>
  </si>
  <si>
    <t>$S$13</t>
  </si>
  <si>
    <t>$S$14</t>
  </si>
  <si>
    <t>$S$15</t>
  </si>
  <si>
    <t>$S$17</t>
  </si>
  <si>
    <t>$S$18</t>
  </si>
  <si>
    <t>$S$19</t>
  </si>
  <si>
    <t>Marra Kristine A. Abocado</t>
  </si>
  <si>
    <t>$N$7:$N$10</t>
  </si>
  <si>
    <t>$I$19:$O$106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</si>
</sst>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4">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901152199076"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6"/>
    </cacheField>
    <cacheField name="Vehicle Type" numFmtId="0">
      <sharedItems containsBlank="1" count="11">
        <s v="Multi-Purpose Vehicle"/>
        <s v="Van  "/>
        <s v="Armored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0" maxValue="159.94999999999999"/>
    </cacheField>
    <cacheField name="Unit" numFmtId="0">
      <sharedItems containsBlank="1"/>
    </cacheField>
    <cacheField name="Total kilometers travelled (all vehicles)" numFmtId="4">
      <sharedItems containsString="0" containsBlank="1" containsNumber="1" minValue="0" maxValue="1745"/>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46.21"/>
    <s v="Liters"/>
    <n v="452"/>
    <s v="Kilometers"/>
    <s v="2 units of MPV "/>
  </r>
  <r>
    <n v="2"/>
    <x v="1"/>
    <x v="0"/>
    <x v="0"/>
    <x v="0"/>
    <n v="97.81"/>
    <m/>
    <n v="159"/>
    <s v="Kilometers"/>
    <s v="1 unit Van"/>
  </r>
  <r>
    <n v="3"/>
    <x v="2"/>
    <x v="0"/>
    <x v="0"/>
    <x v="0"/>
    <n v="159.94999999999999"/>
    <s v="Liters"/>
    <n v="297"/>
    <s v="Kilometers"/>
    <s v="3 units Armored Vehicles"/>
  </r>
  <r>
    <n v="4"/>
    <x v="0"/>
    <x v="0"/>
    <x v="1"/>
    <x v="0"/>
    <n v="108.38"/>
    <s v="Liters"/>
    <n v="1392"/>
    <s v="Kilometers"/>
    <s v="2 units of MPV "/>
  </r>
  <r>
    <n v="5"/>
    <x v="1"/>
    <x v="0"/>
    <x v="1"/>
    <x v="0"/>
    <n v="97.81"/>
    <s v="Liters"/>
    <n v="761"/>
    <s v="Kilometers"/>
    <s v="1 unit Van"/>
  </r>
  <r>
    <n v="6"/>
    <x v="2"/>
    <x v="0"/>
    <x v="1"/>
    <x v="0"/>
    <n v="142.63999999999999"/>
    <s v="Liters"/>
    <n v="298.8"/>
    <s v="Kilometers"/>
    <s v="3 units Armored Vehicles"/>
  </r>
  <r>
    <n v="7"/>
    <x v="0"/>
    <x v="0"/>
    <x v="2"/>
    <x v="0"/>
    <n v="120.31"/>
    <s v="Liters"/>
    <n v="1533"/>
    <s v="Kilometers"/>
    <s v="2 units of MPV "/>
  </r>
  <r>
    <n v="8"/>
    <x v="1"/>
    <x v="0"/>
    <x v="2"/>
    <x v="0"/>
    <n v="34.28"/>
    <s v="Liters"/>
    <n v="175"/>
    <s v="Kilometers"/>
    <s v="1 unit Van"/>
  </r>
  <r>
    <n v="9"/>
    <x v="2"/>
    <x v="0"/>
    <x v="2"/>
    <x v="0"/>
    <n v="81.95"/>
    <s v="Liters"/>
    <n v="152.9"/>
    <s v="Kilometers"/>
    <s v="3 units Armored Vehicles"/>
  </r>
  <r>
    <n v="10"/>
    <x v="0"/>
    <x v="0"/>
    <x v="3"/>
    <x v="1"/>
    <n v="86.45"/>
    <s v="Liters"/>
    <n v="877"/>
    <s v="Kilometers"/>
    <s v="2 units of MPV "/>
  </r>
  <r>
    <n v="11"/>
    <x v="1"/>
    <x v="0"/>
    <x v="3"/>
    <x v="1"/>
    <n v="61.9"/>
    <s v="Liters"/>
    <n v="416"/>
    <s v="Kilometers"/>
    <s v="1 unit Van"/>
  </r>
  <r>
    <n v="12"/>
    <x v="2"/>
    <x v="0"/>
    <x v="3"/>
    <x v="1"/>
    <n v="108.81"/>
    <s v="Liters"/>
    <n v="266.3"/>
    <s v="Kilometers"/>
    <s v="3 units Armored Vehicles"/>
  </r>
  <r>
    <n v="13"/>
    <x v="0"/>
    <x v="0"/>
    <x v="4"/>
    <x v="1"/>
    <n v="159.41"/>
    <s v="Liters"/>
    <n v="1520"/>
    <s v="Kilometers"/>
    <s v="2 units of MPV "/>
  </r>
  <r>
    <n v="14"/>
    <x v="1"/>
    <x v="0"/>
    <x v="4"/>
    <x v="1"/>
    <n v="119.63"/>
    <s v="Liters"/>
    <n v="883"/>
    <s v="Kilometers"/>
    <s v="1 unit Van"/>
  </r>
  <r>
    <n v="15"/>
    <x v="2"/>
    <x v="0"/>
    <x v="4"/>
    <x v="1"/>
    <n v="81.569999999999993"/>
    <s v="Liters"/>
    <n v="149.9"/>
    <s v="Kilometers"/>
    <s v="3 units Armored Vehicles"/>
  </r>
  <r>
    <n v="16"/>
    <x v="0"/>
    <x v="0"/>
    <x v="5"/>
    <x v="1"/>
    <n v="108.21"/>
    <s v="Liters"/>
    <n v="953"/>
    <s v="Kilometers"/>
    <s v="2 units of MPV "/>
  </r>
  <r>
    <n v="17"/>
    <x v="1"/>
    <x v="0"/>
    <x v="5"/>
    <x v="1"/>
    <n v="74.319999999999993"/>
    <s v="Liters"/>
    <n v="489"/>
    <s v="Kilometers"/>
    <s v="1 unit Van"/>
  </r>
  <r>
    <n v="18"/>
    <x v="2"/>
    <x v="0"/>
    <x v="5"/>
    <x v="1"/>
    <n v="17.14"/>
    <s v="Liters"/>
    <n v="11"/>
    <s v="Kilometers"/>
    <s v="3 units Armored Vehicles"/>
  </r>
  <r>
    <n v="19"/>
    <x v="0"/>
    <x v="0"/>
    <x v="6"/>
    <x v="2"/>
    <n v="96.29"/>
    <s v="Liters"/>
    <n v="955"/>
    <s v="Kilometers"/>
    <s v="2 units of MPV "/>
  </r>
  <r>
    <n v="20"/>
    <x v="1"/>
    <x v="0"/>
    <x v="6"/>
    <x v="2"/>
    <n v="99"/>
    <s v="Liters"/>
    <n v="587"/>
    <s v="Kilometers"/>
    <s v="1 unit Van"/>
  </r>
  <r>
    <n v="21"/>
    <x v="2"/>
    <x v="0"/>
    <x v="6"/>
    <x v="2"/>
    <n v="0"/>
    <s v="Liters"/>
    <n v="0"/>
    <s v="Kilometers"/>
    <s v="3 units Armored Vehicles"/>
  </r>
  <r>
    <n v="22"/>
    <x v="0"/>
    <x v="0"/>
    <x v="7"/>
    <x v="2"/>
    <n v="33.880000000000003"/>
    <s v="Liters"/>
    <n v="269"/>
    <s v="Kilometers"/>
    <s v="2 units of MPV "/>
  </r>
  <r>
    <n v="23"/>
    <x v="1"/>
    <x v="0"/>
    <x v="7"/>
    <x v="2"/>
    <n v="140.58000000000001"/>
    <s v="Liters"/>
    <n v="1274"/>
    <s v="Kilometers"/>
    <s v="1 unit Van"/>
  </r>
  <r>
    <n v="24"/>
    <x v="2"/>
    <x v="0"/>
    <x v="7"/>
    <x v="2"/>
    <n v="0"/>
    <s v="Liters"/>
    <n v="0"/>
    <s v="Kilometers"/>
    <s v="3 units Armored Vehicles"/>
  </r>
  <r>
    <n v="25"/>
    <x v="0"/>
    <x v="0"/>
    <x v="8"/>
    <x v="2"/>
    <n v="157.84"/>
    <s v="Liters"/>
    <n v="1745"/>
    <s v="Kilometers"/>
    <s v="2 units of MPV "/>
  </r>
  <r>
    <n v="26"/>
    <x v="1"/>
    <x v="0"/>
    <x v="8"/>
    <x v="2"/>
    <n v="88.76"/>
    <s v="Liters"/>
    <n v="630"/>
    <s v="Kilometers"/>
    <s v="1 unit Van"/>
  </r>
  <r>
    <n v="27"/>
    <x v="2"/>
    <x v="0"/>
    <x v="8"/>
    <x v="2"/>
    <n v="51.85"/>
    <s v="Liters"/>
    <n v="114.1"/>
    <s v="Kilometers"/>
    <s v="3 units Armored Vehicles"/>
  </r>
  <r>
    <n v="28"/>
    <x v="0"/>
    <x v="0"/>
    <x v="9"/>
    <x v="3"/>
    <n v="72"/>
    <s v="Liters"/>
    <n v="708"/>
    <s v="Kilometers"/>
    <s v="2 units of MPV "/>
  </r>
  <r>
    <n v="29"/>
    <x v="1"/>
    <x v="0"/>
    <x v="9"/>
    <x v="3"/>
    <n v="122.64"/>
    <s v="Liters"/>
    <n v="1064"/>
    <s v="Kilometers"/>
    <s v="1 unit Van"/>
  </r>
  <r>
    <n v="30"/>
    <x v="2"/>
    <x v="0"/>
    <x v="9"/>
    <x v="3"/>
    <n v="17.809999999999999"/>
    <s v="Liters"/>
    <n v="60.6"/>
    <s v="Kilometers"/>
    <s v="3 units Armored Vehicles"/>
  </r>
  <r>
    <n v="31"/>
    <x v="0"/>
    <x v="0"/>
    <x v="10"/>
    <x v="3"/>
    <n v="40.81"/>
    <s v="Liters"/>
    <n v="404"/>
    <s v="Kilometers"/>
    <s v="2 units of MPV "/>
  </r>
  <r>
    <n v="32"/>
    <x v="1"/>
    <x v="0"/>
    <x v="10"/>
    <x v="3"/>
    <n v="58.43"/>
    <s v="Liters"/>
    <n v="385"/>
    <s v="Kilometers"/>
    <s v="1 unit Van"/>
  </r>
  <r>
    <n v="33"/>
    <x v="2"/>
    <x v="0"/>
    <x v="10"/>
    <x v="3"/>
    <n v="61.63"/>
    <s v="Liters"/>
    <n v="92.02"/>
    <s v="Kilometers"/>
    <s v="3 units Armored Vehicles"/>
  </r>
  <r>
    <n v="34"/>
    <x v="0"/>
    <x v="0"/>
    <x v="11"/>
    <x v="3"/>
    <n v="86.55"/>
    <s v="Liters"/>
    <n v="820"/>
    <s v="Kilometers"/>
    <s v="2 units of MPV "/>
  </r>
  <r>
    <n v="35"/>
    <x v="1"/>
    <x v="0"/>
    <x v="11"/>
    <x v="3"/>
    <n v="69.069999999999993"/>
    <s v="Liters"/>
    <n v="441"/>
    <s v="Kilometers"/>
    <s v="1 unit Van"/>
  </r>
  <r>
    <n v="36"/>
    <x v="2"/>
    <x v="0"/>
    <x v="11"/>
    <x v="3"/>
    <n v="1.42"/>
    <s v="Liters"/>
    <n v="4"/>
    <s v="Kilometers"/>
    <s v="3 units Armored Vehicles"/>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7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2">
        <item m="1" x="10"/>
        <item m="1" x="9"/>
        <item x="3"/>
        <item m="1" x="4"/>
        <item m="1" x="8"/>
        <item m="1" x="5"/>
        <item m="1" x="6"/>
        <item m="1" x="7"/>
        <item x="2"/>
        <item x="0"/>
        <item x="1"/>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7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7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7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7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70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70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0"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09" dataDxfId="107" headerRowBorderDxfId="108" tableBorderDxfId="106">
  <autoFilter ref="I6:O18"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072" totalsRowShown="0" headerRowDxfId="8">
  <autoFilter ref="A1:E1072"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60"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D3" sqref="D3:G3"/>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3" t="s">
        <v>409</v>
      </c>
      <c r="E2" s="444"/>
      <c r="F2" s="444"/>
      <c r="G2" s="445"/>
    </row>
    <row r="3" spans="3:7" x14ac:dyDescent="0.2">
      <c r="C3" s="117" t="s">
        <v>12</v>
      </c>
      <c r="D3" s="443">
        <v>2024</v>
      </c>
      <c r="E3" s="444"/>
      <c r="F3" s="444"/>
      <c r="G3" s="445"/>
    </row>
    <row r="5" spans="3:7" ht="19" customHeight="1" x14ac:dyDescent="0.2">
      <c r="C5" s="442" t="s">
        <v>148</v>
      </c>
      <c r="D5" s="442"/>
      <c r="E5" s="442"/>
      <c r="F5" s="442"/>
      <c r="G5" s="442"/>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x</v>
      </c>
      <c r="F10" s="183" t="str" cm="1">
        <f t="array" ref="F10">IF(SUMPRODUCT(--('2.2 Refrigerants'!F11:F13&gt;0))&gt;0, "x", "")</f>
        <v>x</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3378</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2905.3399999999997</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444323</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2127</v>
      </c>
    </row>
    <row r="40" spans="3:5" x14ac:dyDescent="0.2">
      <c r="C40" s="189" t="str">
        <f>'2.4 Water'!B12</f>
        <v>Water Discharge</v>
      </c>
      <c r="D40" s="189" t="str">
        <f>'2.4 Water'!C12</f>
        <v>Cubic meters</v>
      </c>
      <c r="E40" s="190">
        <f>SUM('2.4 Water'!$D$12:$G$12)</f>
        <v>2127</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I19" sqref="I19:O106"/>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Legazpi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6" t="s">
        <v>1433</v>
      </c>
      <c r="D6" s="447"/>
      <c r="E6" s="447"/>
      <c r="F6" s="447"/>
      <c r="G6" s="448"/>
      <c r="I6" s="209" t="s">
        <v>173</v>
      </c>
      <c r="J6" s="209" t="s">
        <v>35</v>
      </c>
      <c r="K6" s="209" t="s">
        <v>39</v>
      </c>
      <c r="L6" s="209" t="s">
        <v>43</v>
      </c>
      <c r="M6" s="209" t="s">
        <v>47</v>
      </c>
      <c r="N6" s="209" t="s">
        <v>51</v>
      </c>
      <c r="O6" s="209" t="s">
        <v>54</v>
      </c>
      <c r="P6" s="20"/>
    </row>
    <row r="7" spans="2:16" x14ac:dyDescent="0.2">
      <c r="B7" s="278" t="s">
        <v>174</v>
      </c>
      <c r="C7" s="449">
        <v>45910</v>
      </c>
      <c r="D7" s="447"/>
      <c r="E7" s="447"/>
      <c r="F7" s="447"/>
      <c r="G7" s="448"/>
      <c r="I7" s="194">
        <f>IF($M7="","",1)</f>
        <v>1</v>
      </c>
      <c r="J7" s="57" t="s">
        <v>37</v>
      </c>
      <c r="K7" s="58" t="s">
        <v>338</v>
      </c>
      <c r="L7" s="18" t="str">
        <f>IF(Fuel_Blg[[#This Row],[Month]]&lt;&gt;"",VLOOKUP(Fuel_Blg[[#This Row],[Month]], dropdown!$S$4:$T$15, 2, FALSE),"")</f>
        <v>Q1</v>
      </c>
      <c r="M7" s="29">
        <v>59</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825</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439</v>
      </c>
      <c r="N9" s="17" t="str">
        <f>IF($J9="","",VLOOKUP($J9,dropdown!$P$3:$Q$8,2,FALSE))</f>
        <v>Liters</v>
      </c>
      <c r="O9" s="195"/>
      <c r="P9" s="20"/>
    </row>
    <row r="10" spans="2:16" x14ac:dyDescent="0.2">
      <c r="B10" s="13" t="s">
        <v>35</v>
      </c>
      <c r="C10" s="13" t="s">
        <v>51</v>
      </c>
      <c r="D10" s="40" t="s">
        <v>45</v>
      </c>
      <c r="E10" s="40" t="s">
        <v>149</v>
      </c>
      <c r="F10" s="40" t="s">
        <v>150</v>
      </c>
      <c r="G10" s="40" t="s">
        <v>151</v>
      </c>
      <c r="I10" s="194">
        <f t="shared" ref="I10:I18" si="0">IF($M10="","",$I9+1)</f>
        <v>1</v>
      </c>
      <c r="J10" s="57" t="s">
        <v>37</v>
      </c>
      <c r="K10" s="58" t="s">
        <v>371</v>
      </c>
      <c r="L10" s="18" t="str">
        <f>IF(Fuel_Blg[[#This Row],[Month]]&lt;&gt;"",VLOOKUP(Fuel_Blg[[#This Row],[Month]], dropdown!$S$4:$T$15, 2, FALSE),"")</f>
        <v>Q2</v>
      </c>
      <c r="M10" s="29">
        <v>314</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1323</v>
      </c>
      <c r="E11" s="41">
        <f>SUMIFS(Fuel_Blg[Consumption],Fuel_Blg[Quarter],E$10,Fuel_Blg[Fuel Type],$B$11)</f>
        <v>316</v>
      </c>
      <c r="F11" s="41">
        <f>SUMIFS(Fuel_Blg[Consumption],Fuel_Blg[Quarter],F$10,Fuel_Blg[Fuel Type],$B$11)</f>
        <v>883</v>
      </c>
      <c r="G11" s="41">
        <f>SUMIFS(Fuel_Blg[Consumption],Fuel_Blg[Quarter],G$10,Fuel_Blg[Fuel Type],$B$11)</f>
        <v>856</v>
      </c>
      <c r="I11" s="194">
        <f t="shared" si="0"/>
        <v>2</v>
      </c>
      <c r="J11" s="57" t="s">
        <v>37</v>
      </c>
      <c r="K11" s="58" t="s">
        <v>379</v>
      </c>
      <c r="L11" s="18" t="str">
        <f>IF(Fuel_Blg[[#This Row],[Month]]&lt;&gt;"",VLOOKUP(Fuel_Blg[[#This Row],[Month]], dropdown!$S$4:$T$15, 2, FALSE),"")</f>
        <v>Q2</v>
      </c>
      <c r="M11" s="29">
        <v>1</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1</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227</v>
      </c>
      <c r="N13" s="17" t="str">
        <f>IF($J13="","",VLOOKUP($J13,dropdown!$P$3:$Q$8,2,FALSE))</f>
        <v>Liters</v>
      </c>
      <c r="O13" s="195"/>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41</v>
      </c>
      <c r="L14" s="18" t="str">
        <f>IF(Fuel_Blg[[#This Row],[Month]]&lt;&gt;"",VLOOKUP(Fuel_Blg[[#This Row],[Month]], dropdown!$S$4:$T$15, 2, FALSE),"")</f>
        <v>Q3</v>
      </c>
      <c r="M14" s="29">
        <v>220</v>
      </c>
      <c r="N14" s="17" t="str">
        <f>IF($J14="","",VLOOKUP($J14,dropdown!$P$3:$Q$8,2,FALSE))</f>
        <v>Liters</v>
      </c>
      <c r="O14" s="195"/>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397</v>
      </c>
      <c r="L15" s="18" t="str">
        <f>IF(Fuel_Blg[[#This Row],[Month]]&lt;&gt;"",VLOOKUP(Fuel_Blg[[#This Row],[Month]], dropdown!$S$4:$T$15, 2, FALSE),"")</f>
        <v>Q3</v>
      </c>
      <c r="M15" s="29">
        <v>436</v>
      </c>
      <c r="N15" s="17" t="str">
        <f>IF($J15="","",VLOOKUP($J15,dropdown!$P$3:$Q$8,2,FALSE))</f>
        <v>Liters</v>
      </c>
      <c r="O15" s="195"/>
      <c r="P15" s="20"/>
    </row>
    <row r="16" spans="2:16" x14ac:dyDescent="0.2">
      <c r="I16" s="194">
        <f t="shared" si="0"/>
        <v>7</v>
      </c>
      <c r="J16" s="57" t="s">
        <v>37</v>
      </c>
      <c r="K16" s="58" t="s">
        <v>400</v>
      </c>
      <c r="L16" s="18" t="str">
        <f>IF(Fuel_Blg[[#This Row],[Month]]&lt;&gt;"",VLOOKUP(Fuel_Blg[[#This Row],[Month]], dropdown!$S$4:$T$15, 2, FALSE),"")</f>
        <v>Q4</v>
      </c>
      <c r="M16" s="29">
        <v>513</v>
      </c>
      <c r="N16" s="17" t="str">
        <f>IF($J16="","",VLOOKUP($J16,dropdown!$P$3:$Q$8,2,FALSE))</f>
        <v>Liters</v>
      </c>
      <c r="O16" s="195"/>
      <c r="P16" s="20"/>
    </row>
    <row r="17" spans="2:16" x14ac:dyDescent="0.2">
      <c r="B17" s="267" t="s">
        <v>38</v>
      </c>
      <c r="I17" s="194">
        <f t="shared" si="0"/>
        <v>8</v>
      </c>
      <c r="J17" s="57" t="s">
        <v>37</v>
      </c>
      <c r="K17" s="58" t="s">
        <v>404</v>
      </c>
      <c r="L17" s="18" t="str">
        <f>IF(Fuel_Blg[[#This Row],[Month]]&lt;&gt;"",VLOOKUP(Fuel_Blg[[#This Row],[Month]], dropdown!$S$4:$T$15, 2, FALSE),"")</f>
        <v>Q4</v>
      </c>
      <c r="M17" s="29">
        <v>198</v>
      </c>
      <c r="N17" s="17" t="str">
        <f>IF($J17="","",VLOOKUP($J17,dropdown!$P$3:$Q$8,2,FALSE))</f>
        <v>Liters</v>
      </c>
      <c r="O17" s="195"/>
      <c r="P17" s="20"/>
    </row>
    <row r="18" spans="2:16" x14ac:dyDescent="0.2">
      <c r="B18" s="268" t="s">
        <v>175</v>
      </c>
      <c r="I18" s="194">
        <f t="shared" si="0"/>
        <v>9</v>
      </c>
      <c r="J18" s="57" t="s">
        <v>37</v>
      </c>
      <c r="K18" s="58" t="s">
        <v>407</v>
      </c>
      <c r="L18" s="18" t="str">
        <f>IF(Fuel_Blg[[#This Row],[Month]]&lt;&gt;"",VLOOKUP(Fuel_Blg[[#This Row],[Month]], dropdown!$S$4:$T$15, 2, FALSE),"")</f>
        <v>Q4</v>
      </c>
      <c r="M18" s="29">
        <v>145</v>
      </c>
      <c r="N18" s="17" t="str">
        <f>IF($J18="","",VLOOKUP($J18,dropdown!$P$3:$Q$8,2,FALSE))</f>
        <v>Liters</v>
      </c>
      <c r="O18" s="195"/>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A22" zoomScaleNormal="100" workbookViewId="0">
      <selection activeCell="R45" sqref="R45"/>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Legazpi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t="s">
        <v>1433</v>
      </c>
      <c r="D6" s="447"/>
      <c r="E6" s="447"/>
      <c r="F6" s="447"/>
      <c r="G6" s="448"/>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9">
        <v>45910</v>
      </c>
      <c r="D7" s="447"/>
      <c r="E7" s="447"/>
      <c r="F7" s="447"/>
      <c r="G7" s="448"/>
      <c r="I7" s="194">
        <f>IF($J7="","",1)</f>
        <v>1</v>
      </c>
      <c r="J7" s="57" t="s">
        <v>365</v>
      </c>
      <c r="K7" s="57" t="s">
        <v>63</v>
      </c>
      <c r="L7" s="58" t="s">
        <v>338</v>
      </c>
      <c r="M7" s="18" t="str">
        <f>IF(Fuel_Veh[[#This Row],[Month]]&lt;&gt;"",VLOOKUP(Fuel_Veh[[#This Row],[Month]], dropdown!$S$4:$T$15, 2, FALSE),"")</f>
        <v>Q1</v>
      </c>
      <c r="N7" s="29">
        <v>46.21</v>
      </c>
      <c r="O7" s="17" t="str">
        <f>IF($K7="","",VLOOKUP($K7,dropdown!$P$14:$Q$18,2,FALSE))</f>
        <v>Liters</v>
      </c>
      <c r="P7" s="29">
        <v>452</v>
      </c>
      <c r="Q7" s="17" t="str">
        <f t="shared" ref="Q7:Q70" si="0">IF($P7="","","Kilometers")</f>
        <v>Kilometers</v>
      </c>
      <c r="R7" s="195" t="s">
        <v>1434</v>
      </c>
    </row>
    <row r="8" spans="2:18" x14ac:dyDescent="0.2">
      <c r="I8" s="194">
        <f>IF($J8="","",$I7+1)</f>
        <v>2</v>
      </c>
      <c r="J8" s="57" t="s">
        <v>381</v>
      </c>
      <c r="K8" s="57" t="s">
        <v>63</v>
      </c>
      <c r="L8" s="58" t="s">
        <v>338</v>
      </c>
      <c r="M8" s="18" t="str">
        <f>IF(Fuel_Veh[[#This Row],[Month]]&lt;&gt;"",VLOOKUP(Fuel_Veh[[#This Row],[Month]], dropdown!$S$4:$T$15, 2, FALSE),"")</f>
        <v>Q1</v>
      </c>
      <c r="N8" s="29">
        <v>97.81</v>
      </c>
      <c r="O8" s="17"/>
      <c r="P8" s="29">
        <v>159</v>
      </c>
      <c r="Q8" s="17" t="str">
        <f t="shared" si="0"/>
        <v>Kilometers</v>
      </c>
      <c r="R8" s="195" t="s">
        <v>1435</v>
      </c>
    </row>
    <row r="9" spans="2:18" x14ac:dyDescent="0.2">
      <c r="B9" s="14" t="s">
        <v>33</v>
      </c>
      <c r="C9" s="14"/>
      <c r="D9" s="14"/>
      <c r="E9" s="14"/>
      <c r="F9" s="14"/>
      <c r="G9" s="14"/>
      <c r="I9" s="194">
        <f>IF($J9="","",$I8+1)</f>
        <v>3</v>
      </c>
      <c r="J9" s="57" t="s">
        <v>343</v>
      </c>
      <c r="K9" s="57" t="s">
        <v>63</v>
      </c>
      <c r="L9" s="58" t="s">
        <v>338</v>
      </c>
      <c r="M9" s="18" t="str">
        <f>IF(Fuel_Veh[[#This Row],[Month]]&lt;&gt;"",VLOOKUP(Fuel_Veh[[#This Row],[Month]], dropdown!$S$4:$T$15, 2, FALSE),"")</f>
        <v>Q1</v>
      </c>
      <c r="N9" s="29">
        <v>159.94999999999999</v>
      </c>
      <c r="O9" s="17" t="str">
        <f>IF($K9="","",VLOOKUP($K9,dropdown!$P$14:$Q$18,2,FALSE))</f>
        <v>Liters</v>
      </c>
      <c r="P9" s="29">
        <v>297</v>
      </c>
      <c r="Q9" s="17" t="str">
        <f t="shared" si="0"/>
        <v>Kilometers</v>
      </c>
      <c r="R9" s="195" t="s">
        <v>1436</v>
      </c>
    </row>
    <row r="10" spans="2:18" x14ac:dyDescent="0.2">
      <c r="B10" s="13" t="s">
        <v>35</v>
      </c>
      <c r="C10" s="13" t="s">
        <v>51</v>
      </c>
      <c r="D10" s="40" t="s">
        <v>45</v>
      </c>
      <c r="E10" s="40" t="s">
        <v>149</v>
      </c>
      <c r="F10" s="40" t="s">
        <v>150</v>
      </c>
      <c r="G10" s="40" t="s">
        <v>151</v>
      </c>
      <c r="I10" s="194">
        <f>IF($J10="","",$I9+1)</f>
        <v>4</v>
      </c>
      <c r="J10" s="57" t="s">
        <v>365</v>
      </c>
      <c r="K10" s="57" t="s">
        <v>63</v>
      </c>
      <c r="L10" s="58" t="s">
        <v>89</v>
      </c>
      <c r="M10" s="18" t="str">
        <f>IF(Fuel_Veh[[#This Row],[Month]]&lt;&gt;"",VLOOKUP(Fuel_Veh[[#This Row],[Month]], dropdown!$S$4:$T$15, 2, FALSE),"")</f>
        <v>Q1</v>
      </c>
      <c r="N10" s="29">
        <v>108.38</v>
      </c>
      <c r="O10" s="17" t="str">
        <f>IF($K10="","",VLOOKUP($K10,dropdown!$P$14:$Q$18,2,FALSE))</f>
        <v>Liters</v>
      </c>
      <c r="P10" s="29">
        <v>1392</v>
      </c>
      <c r="Q10" s="17" t="str">
        <f t="shared" si="0"/>
        <v>Kilometers</v>
      </c>
      <c r="R10" s="195" t="s">
        <v>1434</v>
      </c>
    </row>
    <row r="11" spans="2:18" x14ac:dyDescent="0.2">
      <c r="B11" s="17" t="str">
        <f>dropdown!$P15</f>
        <v>Diesel - Transport vehicles</v>
      </c>
      <c r="C11" s="17" t="str">
        <f>dropdown!$Q15</f>
        <v>Liters</v>
      </c>
      <c r="D11" s="41">
        <f>SUMIFS(Fuel_Veh[Consumption],Fuel_Veh[Quarter],D$10,Fuel_Veh[Fuel Type],$B$11)</f>
        <v>889.33999999999992</v>
      </c>
      <c r="E11" s="41">
        <f>SUMIFS(Fuel_Veh[Consumption],Fuel_Veh[Quarter],E$10,Fuel_Veh[Fuel Type],$B$11)</f>
        <v>817.43999999999994</v>
      </c>
      <c r="F11" s="41">
        <f>SUMIFS(Fuel_Veh[Consumption],Fuel_Veh[Quarter],F$10,Fuel_Veh[Fuel Type],$B$11)</f>
        <v>668.2</v>
      </c>
      <c r="G11" s="41">
        <f>SUMIFS(Fuel_Veh[Consumption],Fuel_Veh[Quarter],G$10,Fuel_Veh[Fuel Type],$B$11)</f>
        <v>530.36</v>
      </c>
      <c r="I11" s="194">
        <f>IF($J11="","",$I10+1)</f>
        <v>5</v>
      </c>
      <c r="J11" s="57" t="s">
        <v>381</v>
      </c>
      <c r="K11" s="57" t="s">
        <v>63</v>
      </c>
      <c r="L11" s="58" t="s">
        <v>89</v>
      </c>
      <c r="M11" s="18" t="str">
        <f>IF(Fuel_Veh[[#This Row],[Month]]&lt;&gt;"",VLOOKUP(Fuel_Veh[[#This Row],[Month]], dropdown!$S$4:$T$15, 2, FALSE),"")</f>
        <v>Q1</v>
      </c>
      <c r="N11" s="29">
        <v>97.81</v>
      </c>
      <c r="O11" s="17" t="str">
        <f>IF($K11="","",VLOOKUP($K11,dropdown!$P$14:$Q$18,2,FALSE))</f>
        <v>Liters</v>
      </c>
      <c r="P11" s="29">
        <v>761</v>
      </c>
      <c r="Q11" s="17" t="str">
        <f t="shared" si="0"/>
        <v>Kilometers</v>
      </c>
      <c r="R11" s="195" t="s">
        <v>1435</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343</v>
      </c>
      <c r="K12" s="57" t="s">
        <v>63</v>
      </c>
      <c r="L12" s="58" t="s">
        <v>89</v>
      </c>
      <c r="M12" s="18" t="str">
        <f>IF(Fuel_Veh[[#This Row],[Month]]&lt;&gt;"",VLOOKUP(Fuel_Veh[[#This Row],[Month]], dropdown!$S$4:$T$15, 2, FALSE),"")</f>
        <v>Q1</v>
      </c>
      <c r="N12" s="29">
        <v>142.63999999999999</v>
      </c>
      <c r="O12" s="17" t="str">
        <f>IF($K12="","",VLOOKUP($K12,dropdown!$P$14:$Q$18,2,FALSE))</f>
        <v>Liters</v>
      </c>
      <c r="P12" s="29">
        <v>298.8</v>
      </c>
      <c r="Q12" s="17" t="str">
        <f t="shared" si="0"/>
        <v>Kilometers</v>
      </c>
      <c r="R12" s="195" t="s">
        <v>1436</v>
      </c>
    </row>
    <row r="13" spans="2:18" ht="14" customHeight="1" x14ac:dyDescent="0.2">
      <c r="I13" s="194">
        <f t="shared" si="1"/>
        <v>7</v>
      </c>
      <c r="J13" s="57" t="s">
        <v>365</v>
      </c>
      <c r="K13" s="57" t="s">
        <v>63</v>
      </c>
      <c r="L13" s="58" t="s">
        <v>362</v>
      </c>
      <c r="M13" s="18" t="str">
        <f>IF(Fuel_Veh[[#This Row],[Month]]&lt;&gt;"",VLOOKUP(Fuel_Veh[[#This Row],[Month]], dropdown!$S$4:$T$15, 2, FALSE),"")</f>
        <v>Q1</v>
      </c>
      <c r="N13" s="29">
        <v>120.31</v>
      </c>
      <c r="O13" s="17" t="str">
        <f>IF($K13="","",VLOOKUP($K13,dropdown!$P$14:$Q$18,2,FALSE))</f>
        <v>Liters</v>
      </c>
      <c r="P13" s="29">
        <v>1533</v>
      </c>
      <c r="Q13" s="17" t="str">
        <f t="shared" si="0"/>
        <v>Kilometers</v>
      </c>
      <c r="R13" s="195" t="s">
        <v>1434</v>
      </c>
    </row>
    <row r="14" spans="2:18" x14ac:dyDescent="0.2">
      <c r="B14" s="267" t="s">
        <v>38</v>
      </c>
      <c r="I14" s="194">
        <f t="shared" si="1"/>
        <v>8</v>
      </c>
      <c r="J14" s="57" t="s">
        <v>381</v>
      </c>
      <c r="K14" s="57" t="s">
        <v>63</v>
      </c>
      <c r="L14" s="58" t="s">
        <v>362</v>
      </c>
      <c r="M14" s="18" t="str">
        <f>IF(Fuel_Veh[[#This Row],[Month]]&lt;&gt;"",VLOOKUP(Fuel_Veh[[#This Row],[Month]], dropdown!$S$4:$T$15, 2, FALSE),"")</f>
        <v>Q1</v>
      </c>
      <c r="N14" s="29">
        <v>34.28</v>
      </c>
      <c r="O14" s="17" t="str">
        <f>IF($K14="","",VLOOKUP($K14,dropdown!$P$14:$Q$18,2,FALSE))</f>
        <v>Liters</v>
      </c>
      <c r="P14" s="29">
        <v>175</v>
      </c>
      <c r="Q14" s="17" t="str">
        <f t="shared" si="0"/>
        <v>Kilometers</v>
      </c>
      <c r="R14" s="195" t="s">
        <v>1435</v>
      </c>
    </row>
    <row r="15" spans="2:18" x14ac:dyDescent="0.2">
      <c r="B15" s="268" t="s">
        <v>175</v>
      </c>
      <c r="I15" s="194">
        <f t="shared" si="1"/>
        <v>9</v>
      </c>
      <c r="J15" s="57" t="s">
        <v>343</v>
      </c>
      <c r="K15" s="57" t="s">
        <v>63</v>
      </c>
      <c r="L15" s="58" t="s">
        <v>362</v>
      </c>
      <c r="M15" s="18" t="str">
        <f>IF(Fuel_Veh[[#This Row],[Month]]&lt;&gt;"",VLOOKUP(Fuel_Veh[[#This Row],[Month]], dropdown!$S$4:$T$15, 2, FALSE),"")</f>
        <v>Q1</v>
      </c>
      <c r="N15" s="29">
        <v>81.95</v>
      </c>
      <c r="O15" s="17" t="str">
        <f>IF($K15="","",VLOOKUP($K15,dropdown!$P$14:$Q$18,2,FALSE))</f>
        <v>Liters</v>
      </c>
      <c r="P15" s="29">
        <v>152.9</v>
      </c>
      <c r="Q15" s="17" t="str">
        <f t="shared" si="0"/>
        <v>Kilometers</v>
      </c>
      <c r="R15" s="195" t="s">
        <v>1436</v>
      </c>
    </row>
    <row r="16" spans="2:18" x14ac:dyDescent="0.2">
      <c r="B16" s="266" t="s">
        <v>176</v>
      </c>
      <c r="I16" s="194">
        <f t="shared" si="1"/>
        <v>10</v>
      </c>
      <c r="J16" s="57" t="s">
        <v>365</v>
      </c>
      <c r="K16" s="57" t="s">
        <v>63</v>
      </c>
      <c r="L16" s="58" t="s">
        <v>371</v>
      </c>
      <c r="M16" s="18" t="str">
        <f>IF(Fuel_Veh[[#This Row],[Month]]&lt;&gt;"",VLOOKUP(Fuel_Veh[[#This Row],[Month]], dropdown!$S$4:$T$15, 2, FALSE),"")</f>
        <v>Q2</v>
      </c>
      <c r="N16" s="29">
        <v>86.45</v>
      </c>
      <c r="O16" s="17" t="str">
        <f>IF($K16="","",VLOOKUP($K16,dropdown!$P$14:$Q$18,2,FALSE))</f>
        <v>Liters</v>
      </c>
      <c r="P16" s="29">
        <v>877</v>
      </c>
      <c r="Q16" s="17" t="str">
        <f t="shared" si="0"/>
        <v>Kilometers</v>
      </c>
      <c r="R16" s="195" t="s">
        <v>1434</v>
      </c>
    </row>
    <row r="17" spans="2:18" x14ac:dyDescent="0.2">
      <c r="B17" s="17" t="s">
        <v>177</v>
      </c>
      <c r="I17" s="194">
        <f t="shared" si="1"/>
        <v>11</v>
      </c>
      <c r="J17" s="57" t="s">
        <v>381</v>
      </c>
      <c r="K17" s="57" t="s">
        <v>63</v>
      </c>
      <c r="L17" s="58" t="s">
        <v>371</v>
      </c>
      <c r="M17" s="18" t="str">
        <f>IF(Fuel_Veh[[#This Row],[Month]]&lt;&gt;"",VLOOKUP(Fuel_Veh[[#This Row],[Month]], dropdown!$S$4:$T$15, 2, FALSE),"")</f>
        <v>Q2</v>
      </c>
      <c r="N17" s="29">
        <v>61.9</v>
      </c>
      <c r="O17" s="17" t="str">
        <f>IF($K17="","",VLOOKUP($K17,dropdown!$P$14:$Q$18,2,FALSE))</f>
        <v>Liters</v>
      </c>
      <c r="P17" s="29">
        <v>416</v>
      </c>
      <c r="Q17" s="17" t="str">
        <f t="shared" si="0"/>
        <v>Kilometers</v>
      </c>
      <c r="R17" s="195" t="s">
        <v>1435</v>
      </c>
    </row>
    <row r="18" spans="2:18" x14ac:dyDescent="0.2">
      <c r="I18" s="194">
        <f t="shared" si="1"/>
        <v>12</v>
      </c>
      <c r="J18" s="57" t="s">
        <v>343</v>
      </c>
      <c r="K18" s="57" t="s">
        <v>63</v>
      </c>
      <c r="L18" s="58" t="s">
        <v>371</v>
      </c>
      <c r="M18" s="18" t="str">
        <f>IF(Fuel_Veh[[#This Row],[Month]]&lt;&gt;"",VLOOKUP(Fuel_Veh[[#This Row],[Month]], dropdown!$S$4:$T$15, 2, FALSE),"")</f>
        <v>Q2</v>
      </c>
      <c r="N18" s="29">
        <v>108.81</v>
      </c>
      <c r="O18" s="17" t="str">
        <f>IF($K18="","",VLOOKUP($K18,dropdown!$P$14:$Q$18,2,FALSE))</f>
        <v>Liters</v>
      </c>
      <c r="P18" s="29">
        <v>266.3</v>
      </c>
      <c r="Q18" s="17" t="str">
        <f t="shared" si="0"/>
        <v>Kilometers</v>
      </c>
      <c r="R18" s="195" t="s">
        <v>1436</v>
      </c>
    </row>
    <row r="19" spans="2:18" x14ac:dyDescent="0.2">
      <c r="I19" s="194">
        <f t="shared" si="1"/>
        <v>13</v>
      </c>
      <c r="J19" s="57" t="s">
        <v>365</v>
      </c>
      <c r="K19" s="57" t="s">
        <v>63</v>
      </c>
      <c r="L19" s="58" t="s">
        <v>379</v>
      </c>
      <c r="M19" s="18" t="str">
        <f>IF(Fuel_Veh[[#This Row],[Month]]&lt;&gt;"",VLOOKUP(Fuel_Veh[[#This Row],[Month]], dropdown!$S$4:$T$15, 2, FALSE),"")</f>
        <v>Q2</v>
      </c>
      <c r="N19" s="29">
        <v>159.41</v>
      </c>
      <c r="O19" s="17" t="str">
        <f>IF($K19="","",VLOOKUP($K19,dropdown!$P$14:$Q$18,2,FALSE))</f>
        <v>Liters</v>
      </c>
      <c r="P19" s="29">
        <v>1520</v>
      </c>
      <c r="Q19" s="17" t="str">
        <f t="shared" si="0"/>
        <v>Kilometers</v>
      </c>
      <c r="R19" s="195" t="s">
        <v>1434</v>
      </c>
    </row>
    <row r="20" spans="2:18" x14ac:dyDescent="0.2">
      <c r="I20" s="194">
        <f t="shared" si="1"/>
        <v>14</v>
      </c>
      <c r="J20" s="57" t="s">
        <v>381</v>
      </c>
      <c r="K20" s="57" t="s">
        <v>63</v>
      </c>
      <c r="L20" s="58" t="s">
        <v>379</v>
      </c>
      <c r="M20" s="18" t="str">
        <f>IF(Fuel_Veh[[#This Row],[Month]]&lt;&gt;"",VLOOKUP(Fuel_Veh[[#This Row],[Month]], dropdown!$S$4:$T$15, 2, FALSE),"")</f>
        <v>Q2</v>
      </c>
      <c r="N20" s="29">
        <v>119.63</v>
      </c>
      <c r="O20" s="17" t="str">
        <f>IF($K20="","",VLOOKUP($K20,dropdown!$P$14:$Q$18,2,FALSE))</f>
        <v>Liters</v>
      </c>
      <c r="P20" s="29">
        <v>883</v>
      </c>
      <c r="Q20" s="17" t="str">
        <f t="shared" si="0"/>
        <v>Kilometers</v>
      </c>
      <c r="R20" s="195" t="s">
        <v>1435</v>
      </c>
    </row>
    <row r="21" spans="2:18" x14ac:dyDescent="0.2">
      <c r="I21" s="194">
        <f t="shared" si="1"/>
        <v>15</v>
      </c>
      <c r="J21" s="57" t="s">
        <v>343</v>
      </c>
      <c r="K21" s="57" t="s">
        <v>63</v>
      </c>
      <c r="L21" s="58" t="s">
        <v>379</v>
      </c>
      <c r="M21" s="18" t="str">
        <f>IF(Fuel_Veh[[#This Row],[Month]]&lt;&gt;"",VLOOKUP(Fuel_Veh[[#This Row],[Month]], dropdown!$S$4:$T$15, 2, FALSE),"")</f>
        <v>Q2</v>
      </c>
      <c r="N21" s="29">
        <v>81.569999999999993</v>
      </c>
      <c r="O21" s="17" t="str">
        <f>IF($K21="","",VLOOKUP($K21,dropdown!$P$14:$Q$18,2,FALSE))</f>
        <v>Liters</v>
      </c>
      <c r="P21" s="29">
        <v>149.9</v>
      </c>
      <c r="Q21" s="17" t="str">
        <f t="shared" si="0"/>
        <v>Kilometers</v>
      </c>
      <c r="R21" s="195" t="s">
        <v>1436</v>
      </c>
    </row>
    <row r="22" spans="2:18" x14ac:dyDescent="0.2">
      <c r="I22" s="194">
        <f t="shared" si="1"/>
        <v>16</v>
      </c>
      <c r="J22" s="57" t="s">
        <v>365</v>
      </c>
      <c r="K22" s="57" t="s">
        <v>63</v>
      </c>
      <c r="L22" s="58" t="s">
        <v>386</v>
      </c>
      <c r="M22" s="18" t="str">
        <f>IF(Fuel_Veh[[#This Row],[Month]]&lt;&gt;"",VLOOKUP(Fuel_Veh[[#This Row],[Month]], dropdown!$S$4:$T$15, 2, FALSE),"")</f>
        <v>Q2</v>
      </c>
      <c r="N22" s="29">
        <v>108.21</v>
      </c>
      <c r="O22" s="17" t="str">
        <f>IF($K22="","",VLOOKUP($K22,dropdown!$P$14:$Q$18,2,FALSE))</f>
        <v>Liters</v>
      </c>
      <c r="P22" s="29">
        <v>953</v>
      </c>
      <c r="Q22" s="17" t="str">
        <f t="shared" si="0"/>
        <v>Kilometers</v>
      </c>
      <c r="R22" s="195" t="s">
        <v>1434</v>
      </c>
    </row>
    <row r="23" spans="2:18" x14ac:dyDescent="0.2">
      <c r="I23" s="194">
        <f t="shared" si="1"/>
        <v>17</v>
      </c>
      <c r="J23" s="57" t="s">
        <v>381</v>
      </c>
      <c r="K23" s="57" t="s">
        <v>63</v>
      </c>
      <c r="L23" s="58" t="s">
        <v>386</v>
      </c>
      <c r="M23" s="18" t="str">
        <f>IF(Fuel_Veh[[#This Row],[Month]]&lt;&gt;"",VLOOKUP(Fuel_Veh[[#This Row],[Month]], dropdown!$S$4:$T$15, 2, FALSE),"")</f>
        <v>Q2</v>
      </c>
      <c r="N23" s="29">
        <v>74.319999999999993</v>
      </c>
      <c r="O23" s="17" t="str">
        <f>IF($K23="","",VLOOKUP($K23,dropdown!$P$14:$Q$18,2,FALSE))</f>
        <v>Liters</v>
      </c>
      <c r="P23" s="29">
        <v>489</v>
      </c>
      <c r="Q23" s="17" t="str">
        <f t="shared" si="0"/>
        <v>Kilometers</v>
      </c>
      <c r="R23" s="195" t="s">
        <v>1435</v>
      </c>
    </row>
    <row r="24" spans="2:18" x14ac:dyDescent="0.2">
      <c r="I24" s="194">
        <f t="shared" si="1"/>
        <v>18</v>
      </c>
      <c r="J24" s="57" t="s">
        <v>343</v>
      </c>
      <c r="K24" s="57" t="s">
        <v>63</v>
      </c>
      <c r="L24" s="58" t="s">
        <v>386</v>
      </c>
      <c r="M24" s="18" t="str">
        <f>IF(Fuel_Veh[[#This Row],[Month]]&lt;&gt;"",VLOOKUP(Fuel_Veh[[#This Row],[Month]], dropdown!$S$4:$T$15, 2, FALSE),"")</f>
        <v>Q2</v>
      </c>
      <c r="N24" s="29">
        <v>17.14</v>
      </c>
      <c r="O24" s="17" t="str">
        <f>IF($K24="","",VLOOKUP($K24,dropdown!$P$14:$Q$18,2,FALSE))</f>
        <v>Liters</v>
      </c>
      <c r="P24" s="29">
        <v>11</v>
      </c>
      <c r="Q24" s="17" t="str">
        <f t="shared" si="0"/>
        <v>Kilometers</v>
      </c>
      <c r="R24" s="195" t="s">
        <v>1436</v>
      </c>
    </row>
    <row r="25" spans="2:18" x14ac:dyDescent="0.2">
      <c r="I25" s="194">
        <f t="shared" si="1"/>
        <v>19</v>
      </c>
      <c r="J25" s="57" t="s">
        <v>365</v>
      </c>
      <c r="K25" s="57" t="s">
        <v>63</v>
      </c>
      <c r="L25" s="58" t="s">
        <v>390</v>
      </c>
      <c r="M25" s="18" t="str">
        <f>IF(Fuel_Veh[[#This Row],[Month]]&lt;&gt;"",VLOOKUP(Fuel_Veh[[#This Row],[Month]], dropdown!$S$4:$T$15, 2, FALSE),"")</f>
        <v>Q3</v>
      </c>
      <c r="N25" s="29">
        <v>96.29</v>
      </c>
      <c r="O25" s="17" t="str">
        <f>IF($K25="","",VLOOKUP($K25,dropdown!$P$14:$Q$18,2,FALSE))</f>
        <v>Liters</v>
      </c>
      <c r="P25" s="29">
        <v>955</v>
      </c>
      <c r="Q25" s="17" t="str">
        <f t="shared" si="0"/>
        <v>Kilometers</v>
      </c>
      <c r="R25" s="195" t="s">
        <v>1434</v>
      </c>
    </row>
    <row r="26" spans="2:18" x14ac:dyDescent="0.2">
      <c r="I26" s="194">
        <f t="shared" si="1"/>
        <v>20</v>
      </c>
      <c r="J26" s="57" t="s">
        <v>381</v>
      </c>
      <c r="K26" s="57" t="s">
        <v>63</v>
      </c>
      <c r="L26" s="196" t="s">
        <v>390</v>
      </c>
      <c r="M26" s="18" t="str">
        <f>IF(Fuel_Veh[[#This Row],[Month]]&lt;&gt;"",VLOOKUP(Fuel_Veh[[#This Row],[Month]], dropdown!$S$4:$T$15, 2, FALSE),"")</f>
        <v>Q3</v>
      </c>
      <c r="N26" s="197">
        <v>99</v>
      </c>
      <c r="O26" s="198" t="str">
        <f>IF($K26="","",VLOOKUP($K26,dropdown!$P$14:$Q$18,2,FALSE))</f>
        <v>Liters</v>
      </c>
      <c r="P26" s="197">
        <v>587</v>
      </c>
      <c r="Q26" s="17" t="str">
        <f t="shared" si="0"/>
        <v>Kilometers</v>
      </c>
      <c r="R26" s="199" t="s">
        <v>1435</v>
      </c>
    </row>
    <row r="27" spans="2:18" x14ac:dyDescent="0.2">
      <c r="I27" s="194">
        <f t="shared" si="1"/>
        <v>21</v>
      </c>
      <c r="J27" s="57" t="s">
        <v>343</v>
      </c>
      <c r="K27" s="57" t="s">
        <v>63</v>
      </c>
      <c r="L27" s="58" t="s">
        <v>390</v>
      </c>
      <c r="M27" s="18" t="str">
        <f>IF(Fuel_Veh[[#This Row],[Month]]&lt;&gt;"",VLOOKUP(Fuel_Veh[[#This Row],[Month]], dropdown!$S$4:$T$15, 2, FALSE),"")</f>
        <v>Q3</v>
      </c>
      <c r="N27" s="29">
        <v>0</v>
      </c>
      <c r="O27" s="17" t="str">
        <f>IF($K27="","",VLOOKUP($K27,dropdown!$P$14:$Q$18,2,FALSE))</f>
        <v>Liters</v>
      </c>
      <c r="P27" s="29">
        <v>0</v>
      </c>
      <c r="Q27" s="17" t="str">
        <f t="shared" si="0"/>
        <v>Kilometers</v>
      </c>
      <c r="R27" s="195" t="s">
        <v>1436</v>
      </c>
    </row>
    <row r="28" spans="2:18" x14ac:dyDescent="0.2">
      <c r="I28" s="194">
        <f t="shared" si="1"/>
        <v>22</v>
      </c>
      <c r="J28" s="57" t="s">
        <v>365</v>
      </c>
      <c r="K28" s="57" t="s">
        <v>63</v>
      </c>
      <c r="L28" s="58" t="s">
        <v>41</v>
      </c>
      <c r="M28" s="18" t="str">
        <f>IF(Fuel_Veh[[#This Row],[Month]]&lt;&gt;"",VLOOKUP(Fuel_Veh[[#This Row],[Month]], dropdown!$S$4:$T$15, 2, FALSE),"")</f>
        <v>Q3</v>
      </c>
      <c r="N28" s="29">
        <v>33.880000000000003</v>
      </c>
      <c r="O28" s="17" t="str">
        <f>IF($K28="","",VLOOKUP($K28,dropdown!$P$14:$Q$18,2,FALSE))</f>
        <v>Liters</v>
      </c>
      <c r="P28" s="29">
        <v>269</v>
      </c>
      <c r="Q28" s="17" t="str">
        <f t="shared" si="0"/>
        <v>Kilometers</v>
      </c>
      <c r="R28" s="195" t="s">
        <v>1434</v>
      </c>
    </row>
    <row r="29" spans="2:18" x14ac:dyDescent="0.2">
      <c r="I29" s="194">
        <f t="shared" si="1"/>
        <v>23</v>
      </c>
      <c r="J29" s="57" t="s">
        <v>381</v>
      </c>
      <c r="K29" s="57" t="s">
        <v>63</v>
      </c>
      <c r="L29" s="58" t="s">
        <v>41</v>
      </c>
      <c r="M29" s="18" t="str">
        <f>IF(Fuel_Veh[[#This Row],[Month]]&lt;&gt;"",VLOOKUP(Fuel_Veh[[#This Row],[Month]], dropdown!$S$4:$T$15, 2, FALSE),"")</f>
        <v>Q3</v>
      </c>
      <c r="N29" s="29">
        <v>140.58000000000001</v>
      </c>
      <c r="O29" s="17" t="str">
        <f>IF($K29="","",VLOOKUP($K29,dropdown!$P$14:$Q$18,2,FALSE))</f>
        <v>Liters</v>
      </c>
      <c r="P29" s="29">
        <v>1274</v>
      </c>
      <c r="Q29" s="17" t="str">
        <f t="shared" si="0"/>
        <v>Kilometers</v>
      </c>
      <c r="R29" s="195" t="s">
        <v>1435</v>
      </c>
    </row>
    <row r="30" spans="2:18" x14ac:dyDescent="0.2">
      <c r="I30" s="194">
        <f t="shared" si="1"/>
        <v>24</v>
      </c>
      <c r="J30" s="57" t="s">
        <v>343</v>
      </c>
      <c r="K30" s="345" t="s">
        <v>63</v>
      </c>
      <c r="L30" s="196" t="s">
        <v>41</v>
      </c>
      <c r="M30" s="18" t="str">
        <f>IF(Fuel_Veh[[#This Row],[Month]]&lt;&gt;"",VLOOKUP(Fuel_Veh[[#This Row],[Month]], dropdown!$S$4:$T$15, 2, FALSE),"")</f>
        <v>Q3</v>
      </c>
      <c r="N30" s="197">
        <v>0</v>
      </c>
      <c r="O30" s="198" t="str">
        <f>IF($K30="","",VLOOKUP($K30,dropdown!$P$14:$Q$18,2,FALSE))</f>
        <v>Liters</v>
      </c>
      <c r="P30" s="197">
        <v>0</v>
      </c>
      <c r="Q30" s="17" t="str">
        <f t="shared" si="0"/>
        <v>Kilometers</v>
      </c>
      <c r="R30" s="199" t="s">
        <v>1436</v>
      </c>
    </row>
    <row r="31" spans="2:18" x14ac:dyDescent="0.2">
      <c r="I31" s="194">
        <f t="shared" si="1"/>
        <v>25</v>
      </c>
      <c r="J31" s="57" t="s">
        <v>365</v>
      </c>
      <c r="K31" s="57" t="s">
        <v>63</v>
      </c>
      <c r="L31" s="58" t="s">
        <v>397</v>
      </c>
      <c r="M31" s="18" t="str">
        <f>IF(Fuel_Veh[[#This Row],[Month]]&lt;&gt;"",VLOOKUP(Fuel_Veh[[#This Row],[Month]], dropdown!$S$4:$T$15, 2, FALSE),"")</f>
        <v>Q3</v>
      </c>
      <c r="N31" s="29">
        <v>157.84</v>
      </c>
      <c r="O31" s="17" t="str">
        <f>IF($K31="","",VLOOKUP($K31,dropdown!$P$14:$Q$18,2,FALSE))</f>
        <v>Liters</v>
      </c>
      <c r="P31" s="29">
        <v>1745</v>
      </c>
      <c r="Q31" s="17" t="str">
        <f t="shared" si="0"/>
        <v>Kilometers</v>
      </c>
      <c r="R31" s="199" t="s">
        <v>1434</v>
      </c>
    </row>
    <row r="32" spans="2:18" x14ac:dyDescent="0.2">
      <c r="I32" s="194">
        <f t="shared" si="1"/>
        <v>26</v>
      </c>
      <c r="J32" s="57" t="s">
        <v>381</v>
      </c>
      <c r="K32" s="57" t="s">
        <v>63</v>
      </c>
      <c r="L32" s="58" t="s">
        <v>397</v>
      </c>
      <c r="M32" s="18" t="str">
        <f>IF(Fuel_Veh[[#This Row],[Month]]&lt;&gt;"",VLOOKUP(Fuel_Veh[[#This Row],[Month]], dropdown!$S$4:$T$15, 2, FALSE),"")</f>
        <v>Q3</v>
      </c>
      <c r="N32" s="29">
        <v>88.76</v>
      </c>
      <c r="O32" s="17" t="str">
        <f>IF($K32="","",VLOOKUP($K32,dropdown!$P$14:$Q$18,2,FALSE))</f>
        <v>Liters</v>
      </c>
      <c r="P32" s="29">
        <v>630</v>
      </c>
      <c r="Q32" s="17" t="str">
        <f t="shared" si="0"/>
        <v>Kilometers</v>
      </c>
      <c r="R32" s="199" t="s">
        <v>1435</v>
      </c>
    </row>
    <row r="33" spans="9:18" x14ac:dyDescent="0.2">
      <c r="I33" s="194">
        <f t="shared" si="1"/>
        <v>27</v>
      </c>
      <c r="J33" s="57" t="s">
        <v>343</v>
      </c>
      <c r="K33" s="57" t="s">
        <v>63</v>
      </c>
      <c r="L33" s="58" t="s">
        <v>397</v>
      </c>
      <c r="M33" s="18" t="str">
        <f>IF(Fuel_Veh[[#This Row],[Month]]&lt;&gt;"",VLOOKUP(Fuel_Veh[[#This Row],[Month]], dropdown!$S$4:$T$15, 2, FALSE),"")</f>
        <v>Q3</v>
      </c>
      <c r="N33" s="29">
        <v>51.85</v>
      </c>
      <c r="O33" s="17" t="str">
        <f>IF($K33="","",VLOOKUP($K33,dropdown!$P$14:$Q$18,2,FALSE))</f>
        <v>Liters</v>
      </c>
      <c r="P33" s="29">
        <v>114.1</v>
      </c>
      <c r="Q33" s="17" t="str">
        <f t="shared" si="0"/>
        <v>Kilometers</v>
      </c>
      <c r="R33" s="199" t="s">
        <v>1436</v>
      </c>
    </row>
    <row r="34" spans="9:18" x14ac:dyDescent="0.2">
      <c r="I34" s="194">
        <f t="shared" si="1"/>
        <v>28</v>
      </c>
      <c r="J34" s="57" t="s">
        <v>365</v>
      </c>
      <c r="K34" s="57" t="s">
        <v>63</v>
      </c>
      <c r="L34" s="58" t="s">
        <v>400</v>
      </c>
      <c r="M34" s="18" t="str">
        <f>IF(Fuel_Veh[[#This Row],[Month]]&lt;&gt;"",VLOOKUP(Fuel_Veh[[#This Row],[Month]], dropdown!$S$4:$T$15, 2, FALSE),"")</f>
        <v>Q4</v>
      </c>
      <c r="N34" s="29">
        <v>72</v>
      </c>
      <c r="O34" s="17" t="str">
        <f>IF($K34="","",VLOOKUP($K34,dropdown!$P$14:$Q$18,2,FALSE))</f>
        <v>Liters</v>
      </c>
      <c r="P34" s="29">
        <v>708</v>
      </c>
      <c r="Q34" s="17" t="str">
        <f t="shared" si="0"/>
        <v>Kilometers</v>
      </c>
      <c r="R34" s="199" t="s">
        <v>1434</v>
      </c>
    </row>
    <row r="35" spans="9:18" x14ac:dyDescent="0.2">
      <c r="I35" s="194">
        <f t="shared" si="1"/>
        <v>29</v>
      </c>
      <c r="J35" s="57" t="s">
        <v>381</v>
      </c>
      <c r="K35" s="57" t="s">
        <v>63</v>
      </c>
      <c r="L35" s="58" t="s">
        <v>400</v>
      </c>
      <c r="M35" s="18" t="str">
        <f>IF(Fuel_Veh[[#This Row],[Month]]&lt;&gt;"",VLOOKUP(Fuel_Veh[[#This Row],[Month]], dropdown!$S$4:$T$15, 2, FALSE),"")</f>
        <v>Q4</v>
      </c>
      <c r="N35" s="29">
        <v>122.64</v>
      </c>
      <c r="O35" s="17" t="str">
        <f>IF($K35="","",VLOOKUP($K35,dropdown!$P$14:$Q$18,2,FALSE))</f>
        <v>Liters</v>
      </c>
      <c r="P35" s="29">
        <v>1064</v>
      </c>
      <c r="Q35" s="17" t="str">
        <f t="shared" si="0"/>
        <v>Kilometers</v>
      </c>
      <c r="R35" s="199" t="s">
        <v>1435</v>
      </c>
    </row>
    <row r="36" spans="9:18" x14ac:dyDescent="0.2">
      <c r="I36" s="194">
        <f t="shared" si="1"/>
        <v>30</v>
      </c>
      <c r="J36" s="57" t="s">
        <v>343</v>
      </c>
      <c r="K36" s="57" t="s">
        <v>63</v>
      </c>
      <c r="L36" s="58" t="s">
        <v>400</v>
      </c>
      <c r="M36" s="18" t="str">
        <f>IF(Fuel_Veh[[#This Row],[Month]]&lt;&gt;"",VLOOKUP(Fuel_Veh[[#This Row],[Month]], dropdown!$S$4:$T$15, 2, FALSE),"")</f>
        <v>Q4</v>
      </c>
      <c r="N36" s="29">
        <v>17.809999999999999</v>
      </c>
      <c r="O36" s="17" t="str">
        <f>IF($K36="","",VLOOKUP($K36,dropdown!$P$14:$Q$18,2,FALSE))</f>
        <v>Liters</v>
      </c>
      <c r="P36" s="29">
        <v>60.6</v>
      </c>
      <c r="Q36" s="17" t="str">
        <f t="shared" si="0"/>
        <v>Kilometers</v>
      </c>
      <c r="R36" s="199" t="s">
        <v>1436</v>
      </c>
    </row>
    <row r="37" spans="9:18" x14ac:dyDescent="0.2">
      <c r="I37" s="194">
        <f t="shared" si="1"/>
        <v>31</v>
      </c>
      <c r="J37" s="57" t="s">
        <v>365</v>
      </c>
      <c r="K37" s="57" t="s">
        <v>63</v>
      </c>
      <c r="L37" s="58" t="s">
        <v>404</v>
      </c>
      <c r="M37" s="18" t="str">
        <f>IF(Fuel_Veh[[#This Row],[Month]]&lt;&gt;"",VLOOKUP(Fuel_Veh[[#This Row],[Month]], dropdown!$S$4:$T$15, 2, FALSE),"")</f>
        <v>Q4</v>
      </c>
      <c r="N37" s="29">
        <v>40.81</v>
      </c>
      <c r="O37" s="17" t="str">
        <f>IF($K37="","",VLOOKUP($K37,dropdown!$P$14:$Q$18,2,FALSE))</f>
        <v>Liters</v>
      </c>
      <c r="P37" s="29">
        <v>404</v>
      </c>
      <c r="Q37" s="17" t="str">
        <f t="shared" si="0"/>
        <v>Kilometers</v>
      </c>
      <c r="R37" s="199" t="s">
        <v>1434</v>
      </c>
    </row>
    <row r="38" spans="9:18" x14ac:dyDescent="0.2">
      <c r="I38" s="194">
        <f t="shared" si="1"/>
        <v>32</v>
      </c>
      <c r="J38" s="57" t="s">
        <v>381</v>
      </c>
      <c r="K38" s="57" t="s">
        <v>63</v>
      </c>
      <c r="L38" s="58" t="s">
        <v>404</v>
      </c>
      <c r="M38" s="18" t="str">
        <f>IF(Fuel_Veh[[#This Row],[Month]]&lt;&gt;"",VLOOKUP(Fuel_Veh[[#This Row],[Month]], dropdown!$S$4:$T$15, 2, FALSE),"")</f>
        <v>Q4</v>
      </c>
      <c r="N38" s="29">
        <v>58.43</v>
      </c>
      <c r="O38" s="17" t="str">
        <f>IF($K38="","",VLOOKUP($K38,dropdown!$P$14:$Q$18,2,FALSE))</f>
        <v>Liters</v>
      </c>
      <c r="P38" s="29">
        <v>385</v>
      </c>
      <c r="Q38" s="17" t="str">
        <f t="shared" si="0"/>
        <v>Kilometers</v>
      </c>
      <c r="R38" s="199" t="s">
        <v>1435</v>
      </c>
    </row>
    <row r="39" spans="9:18" x14ac:dyDescent="0.2">
      <c r="I39" s="194">
        <f t="shared" si="1"/>
        <v>33</v>
      </c>
      <c r="J39" s="57" t="s">
        <v>343</v>
      </c>
      <c r="K39" s="57" t="s">
        <v>63</v>
      </c>
      <c r="L39" s="58" t="s">
        <v>404</v>
      </c>
      <c r="M39" s="18" t="str">
        <f>IF(Fuel_Veh[[#This Row],[Month]]&lt;&gt;"",VLOOKUP(Fuel_Veh[[#This Row],[Month]], dropdown!$S$4:$T$15, 2, FALSE),"")</f>
        <v>Q4</v>
      </c>
      <c r="N39" s="29">
        <v>61.63</v>
      </c>
      <c r="O39" s="17" t="str">
        <f>IF($K39="","",VLOOKUP($K39,dropdown!$P$14:$Q$18,2,FALSE))</f>
        <v>Liters</v>
      </c>
      <c r="P39" s="29">
        <v>92.02</v>
      </c>
      <c r="Q39" s="17" t="str">
        <f t="shared" si="0"/>
        <v>Kilometers</v>
      </c>
      <c r="R39" s="199" t="s">
        <v>1436</v>
      </c>
    </row>
    <row r="40" spans="9:18" x14ac:dyDescent="0.2">
      <c r="I40" s="194">
        <f t="shared" si="1"/>
        <v>34</v>
      </c>
      <c r="J40" s="57" t="s">
        <v>365</v>
      </c>
      <c r="K40" s="57" t="s">
        <v>63</v>
      </c>
      <c r="L40" s="58" t="s">
        <v>407</v>
      </c>
      <c r="M40" s="18" t="str">
        <f>IF(Fuel_Veh[[#This Row],[Month]]&lt;&gt;"",VLOOKUP(Fuel_Veh[[#This Row],[Month]], dropdown!$S$4:$T$15, 2, FALSE),"")</f>
        <v>Q4</v>
      </c>
      <c r="N40" s="29">
        <v>86.55</v>
      </c>
      <c r="O40" s="17" t="str">
        <f>IF($K40="","",VLOOKUP($K40,dropdown!$P$14:$Q$18,2,FALSE))</f>
        <v>Liters</v>
      </c>
      <c r="P40" s="29">
        <v>820</v>
      </c>
      <c r="Q40" s="17" t="str">
        <f t="shared" si="0"/>
        <v>Kilometers</v>
      </c>
      <c r="R40" s="199" t="s">
        <v>1434</v>
      </c>
    </row>
    <row r="41" spans="9:18" x14ac:dyDescent="0.2">
      <c r="I41" s="194">
        <f t="shared" si="1"/>
        <v>35</v>
      </c>
      <c r="J41" s="57" t="s">
        <v>381</v>
      </c>
      <c r="K41" s="57" t="s">
        <v>63</v>
      </c>
      <c r="L41" s="58" t="s">
        <v>407</v>
      </c>
      <c r="M41" s="18" t="str">
        <f>IF(Fuel_Veh[[#This Row],[Month]]&lt;&gt;"",VLOOKUP(Fuel_Veh[[#This Row],[Month]], dropdown!$S$4:$T$15, 2, FALSE),"")</f>
        <v>Q4</v>
      </c>
      <c r="N41" s="29">
        <v>69.069999999999993</v>
      </c>
      <c r="O41" s="17" t="str">
        <f>IF($K41="","",VLOOKUP($K41,dropdown!$P$14:$Q$18,2,FALSE))</f>
        <v>Liters</v>
      </c>
      <c r="P41" s="29">
        <v>441</v>
      </c>
      <c r="Q41" s="17" t="str">
        <f t="shared" si="0"/>
        <v>Kilometers</v>
      </c>
      <c r="R41" s="199" t="s">
        <v>1435</v>
      </c>
    </row>
    <row r="42" spans="9:18" x14ac:dyDescent="0.2">
      <c r="I42" s="194">
        <f t="shared" si="1"/>
        <v>36</v>
      </c>
      <c r="J42" s="57" t="s">
        <v>343</v>
      </c>
      <c r="K42" s="57" t="s">
        <v>63</v>
      </c>
      <c r="L42" s="58" t="s">
        <v>407</v>
      </c>
      <c r="M42" s="18" t="str">
        <f>IF(Fuel_Veh[[#This Row],[Month]]&lt;&gt;"",VLOOKUP(Fuel_Veh[[#This Row],[Month]], dropdown!$S$4:$T$15, 2, FALSE),"")</f>
        <v>Q4</v>
      </c>
      <c r="N42" s="29">
        <v>1.42</v>
      </c>
      <c r="O42" s="17" t="str">
        <f>IF($K42="","",VLOOKUP($K42,dropdown!$P$14:$Q$18,2,FALSE))</f>
        <v>Liters</v>
      </c>
      <c r="P42" s="29">
        <v>4</v>
      </c>
      <c r="Q42" s="17" t="str">
        <f t="shared" si="0"/>
        <v>Kilometers</v>
      </c>
      <c r="R42" s="199" t="s">
        <v>1436</v>
      </c>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K12" sqref="K12"/>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Legazpi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t="s">
        <v>1433</v>
      </c>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9">
        <v>45910</v>
      </c>
      <c r="D7" s="447"/>
      <c r="E7" s="447"/>
      <c r="F7" s="447"/>
      <c r="G7" s="448"/>
      <c r="I7" s="418" t="s">
        <v>154</v>
      </c>
      <c r="J7" s="417"/>
      <c r="K7" s="415"/>
      <c r="L7" s="415"/>
      <c r="M7" s="415"/>
      <c r="N7" s="415"/>
      <c r="O7" s="454" t="s">
        <v>183</v>
      </c>
      <c r="P7" s="454"/>
      <c r="Q7" s="455" t="s">
        <v>184</v>
      </c>
      <c r="R7" s="456"/>
      <c r="S7" s="457" t="s">
        <v>86</v>
      </c>
      <c r="T7" s="458"/>
      <c r="U7" s="458"/>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1431</v>
      </c>
      <c r="K9" s="391" t="s">
        <v>197</v>
      </c>
      <c r="L9" s="392">
        <v>3</v>
      </c>
      <c r="M9" s="393" t="s">
        <v>380</v>
      </c>
      <c r="N9" s="419" t="s">
        <v>352</v>
      </c>
      <c r="O9" s="397"/>
      <c r="P9" s="398"/>
      <c r="Q9" s="397" t="s">
        <v>386</v>
      </c>
      <c r="R9" s="399">
        <v>25.4</v>
      </c>
      <c r="S9" s="397"/>
      <c r="T9" s="399"/>
      <c r="U9" s="399"/>
      <c r="V9" s="430" t="str">
        <f>IFERROR(VLOOKUP($O9, dropdown!$S$4:$T$15, 2, FALSE),
 IFERROR(VLOOKUP($Q9, dropdown!$S$4:$T$15, 2, FALSE),
 IFERROR(VLOOKUP($S9, dropdown!$S$4:$T$15, 2, FALSE),
 "")))</f>
        <v>Q2</v>
      </c>
      <c r="W9" s="392"/>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1432</v>
      </c>
      <c r="K10" s="57" t="s">
        <v>200</v>
      </c>
      <c r="L10" s="28">
        <v>4</v>
      </c>
      <c r="M10" s="264" t="s">
        <v>380</v>
      </c>
      <c r="N10" s="401" t="s">
        <v>352</v>
      </c>
      <c r="O10" s="397"/>
      <c r="P10" s="398"/>
      <c r="Q10" s="397" t="s">
        <v>390</v>
      </c>
      <c r="R10" s="399">
        <v>8.4700000000000006</v>
      </c>
      <c r="S10" s="397"/>
      <c r="T10" s="399"/>
      <c r="U10" s="399"/>
      <c r="V10" s="430" t="str">
        <f>IFERROR(VLOOKUP($O10, dropdown!$S$4:$T$15, 2, FALSE),
 IFERROR(VLOOKUP($Q10, dropdown!$S$4:$T$15, 2, FALSE),
 IFERROR(VLOOKUP($S10, dropdown!$S$4:$T$15, 2, FALSE),
 "")))</f>
        <v>Q3</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f t="shared" si="0"/>
        <v>3</v>
      </c>
      <c r="J11" s="435" t="s">
        <v>1432</v>
      </c>
      <c r="K11" s="57" t="s">
        <v>200</v>
      </c>
      <c r="L11" s="28">
        <v>4</v>
      </c>
      <c r="M11" s="264" t="s">
        <v>372</v>
      </c>
      <c r="N11" s="401" t="s">
        <v>352</v>
      </c>
      <c r="O11" s="397"/>
      <c r="P11" s="398"/>
      <c r="Q11" s="397" t="s">
        <v>386</v>
      </c>
      <c r="R11" s="399"/>
      <c r="S11" s="397"/>
      <c r="T11" s="399"/>
      <c r="U11" s="399"/>
      <c r="V11" s="430" t="str">
        <f>IFERROR(VLOOKUP($O11, dropdown!$S$4:$T$15, 2, FALSE),
 IFERROR(VLOOKUP($Q11, dropdown!$S$4:$T$15, 2, FALSE),
 IFERROR(VLOOKUP($S11, dropdown!$S$4:$T$15, 2, FALSE),
 "")))</f>
        <v>Q2</v>
      </c>
      <c r="W11" s="28"/>
      <c r="X11" s="56"/>
      <c r="AB11" s="11"/>
      <c r="AE11" s="11"/>
    </row>
    <row r="12" spans="2:31" ht="14" x14ac:dyDescent="0.2">
      <c r="B12" s="17" t="s">
        <v>184</v>
      </c>
      <c r="C12" s="17" t="s">
        <v>189</v>
      </c>
      <c r="D12" s="176">
        <f>SUMIFS($L$9:$L$107,$N$9:$N$107,$B12,$V$9:$V$107,$D$10)</f>
        <v>0</v>
      </c>
      <c r="E12" s="176">
        <f>SUMIFS($L$9:$L$107,$N$9:$N$107,$B12,$V$9:$V$107,$E$10)</f>
        <v>7</v>
      </c>
      <c r="F12" s="176">
        <f>SUMIFS($L$9:$L$107,$N$9:$N$107,$B12,$V$9:$V$107,$F$10)</f>
        <v>4</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x</v>
      </c>
      <c r="F14" s="177" t="str">
        <f t="shared" si="1"/>
        <v>x</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9" t="s">
        <v>192</v>
      </c>
      <c r="C22" s="450" t="s">
        <v>5</v>
      </c>
      <c r="D22" s="451"/>
      <c r="E22" s="450" t="s">
        <v>193</v>
      </c>
      <c r="F22" s="452"/>
      <c r="G22" s="452"/>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60"/>
      <c r="C23" s="450"/>
      <c r="D23" s="451"/>
      <c r="E23" s="450"/>
      <c r="F23" s="452"/>
      <c r="G23" s="452"/>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3" t="s">
        <v>194</v>
      </c>
      <c r="C24" s="453" t="s">
        <v>195</v>
      </c>
      <c r="D24" s="453"/>
      <c r="E24" s="453" t="s">
        <v>196</v>
      </c>
      <c r="F24" s="453"/>
      <c r="G24" s="453"/>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3"/>
      <c r="C25" s="453"/>
      <c r="D25" s="453"/>
      <c r="E25" s="453"/>
      <c r="F25" s="453"/>
      <c r="G25" s="453"/>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3" t="s">
        <v>197</v>
      </c>
      <c r="C26" s="453" t="s">
        <v>198</v>
      </c>
      <c r="D26" s="453"/>
      <c r="E26" s="453" t="s">
        <v>199</v>
      </c>
      <c r="F26" s="453"/>
      <c r="G26" s="453"/>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3"/>
      <c r="C27" s="453"/>
      <c r="D27" s="453"/>
      <c r="E27" s="453"/>
      <c r="F27" s="453"/>
      <c r="G27" s="453"/>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3" t="s">
        <v>200</v>
      </c>
      <c r="C28" s="453" t="s">
        <v>201</v>
      </c>
      <c r="D28" s="453"/>
      <c r="E28" s="453" t="s">
        <v>202</v>
      </c>
      <c r="F28" s="453"/>
      <c r="G28" s="453"/>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3"/>
      <c r="C29" s="453"/>
      <c r="D29" s="453"/>
      <c r="E29" s="453"/>
      <c r="F29" s="453"/>
      <c r="G29" s="453"/>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3" t="s">
        <v>203</v>
      </c>
      <c r="C30" s="453" t="s">
        <v>204</v>
      </c>
      <c r="D30" s="453"/>
      <c r="E30" s="453" t="s">
        <v>205</v>
      </c>
      <c r="F30" s="453"/>
      <c r="G30" s="453"/>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3"/>
      <c r="C31" s="453"/>
      <c r="D31" s="453"/>
      <c r="E31" s="453"/>
      <c r="F31" s="453"/>
      <c r="G31" s="453"/>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B1" zoomScaleNormal="100" workbookViewId="0">
      <selection activeCell="C6" sqref="C6:G6"/>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Legazpi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t="s">
        <v>1433</v>
      </c>
      <c r="D6" s="447"/>
      <c r="E6" s="447"/>
      <c r="F6" s="447"/>
      <c r="G6" s="448"/>
    </row>
    <row r="7" spans="2:17" ht="12.75" customHeight="1" x14ac:dyDescent="0.2">
      <c r="B7" s="278" t="s">
        <v>174</v>
      </c>
      <c r="C7" s="449">
        <v>45910</v>
      </c>
      <c r="D7" s="447"/>
      <c r="E7" s="447"/>
      <c r="F7" s="447"/>
      <c r="G7" s="448"/>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32544</v>
      </c>
      <c r="M8" s="47">
        <v>7.06</v>
      </c>
      <c r="N8" s="165" t="s">
        <v>375</v>
      </c>
      <c r="O8" s="195"/>
      <c r="P8" s="48"/>
      <c r="Q8" s="20"/>
    </row>
    <row r="9" spans="2:17" x14ac:dyDescent="0.2">
      <c r="I9" s="194"/>
      <c r="J9" s="58" t="s">
        <v>89</v>
      </c>
      <c r="K9" s="426" t="str">
        <f>IF(Electricity[[#This Row],[Month]]&lt;&gt;"",VLOOKUP(Electricity[[#This Row],[Month]], dropdown!$S$4:$T$15, 2, FALSE),"")</f>
        <v>Q1</v>
      </c>
      <c r="L9" s="29">
        <v>32172</v>
      </c>
      <c r="M9" s="47">
        <v>7.93</v>
      </c>
      <c r="N9" s="165" t="s">
        <v>375</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31192</v>
      </c>
      <c r="M10" s="47">
        <v>8.5</v>
      </c>
      <c r="N10" s="165" t="s">
        <v>375</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33191</v>
      </c>
      <c r="M11" s="47">
        <v>9.6300000000000008</v>
      </c>
      <c r="N11" s="165" t="s">
        <v>375</v>
      </c>
      <c r="O11" s="195"/>
      <c r="P11" s="48"/>
      <c r="Q11" s="20"/>
    </row>
    <row r="12" spans="2:17" x14ac:dyDescent="0.2">
      <c r="B12" s="17" t="s">
        <v>207</v>
      </c>
      <c r="C12" s="17" t="s">
        <v>208</v>
      </c>
      <c r="D12" s="41">
        <f>SUMIFS(Electricity[Consumption (kWh)],Electricity[Quarter],D$11)</f>
        <v>95908</v>
      </c>
      <c r="E12" s="41">
        <f>SUMIFS(Electricity[Consumption (kWh)],Electricity[Quarter],E$11)</f>
        <v>119263</v>
      </c>
      <c r="F12" s="41">
        <f>SUMIFS(Electricity[Consumption (kWh)],Electricity[Quarter],F$11)</f>
        <v>115556</v>
      </c>
      <c r="G12" s="41">
        <f>SUMIFS(Electricity[Consumption (kWh)],Electricity[Quarter],G$11)</f>
        <v>113596</v>
      </c>
      <c r="I12" s="194"/>
      <c r="J12" s="58" t="s">
        <v>379</v>
      </c>
      <c r="K12" s="426" t="str">
        <f>IF(Electricity[[#This Row],[Month]]&lt;&gt;"",VLOOKUP(Electricity[[#This Row],[Month]], dropdown!$S$4:$T$15, 2, FALSE),"")</f>
        <v>Q2</v>
      </c>
      <c r="L12" s="29">
        <v>40264</v>
      </c>
      <c r="M12" s="47">
        <v>11.1</v>
      </c>
      <c r="N12" s="165" t="s">
        <v>375</v>
      </c>
      <c r="O12" s="195"/>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45808</v>
      </c>
      <c r="M13" s="47">
        <v>13.02</v>
      </c>
      <c r="N13" s="165" t="s">
        <v>375</v>
      </c>
      <c r="O13" s="195"/>
      <c r="P13" s="48"/>
      <c r="Q13" s="20"/>
    </row>
    <row r="14" spans="2:17" x14ac:dyDescent="0.2">
      <c r="B14" s="119" t="s">
        <v>38</v>
      </c>
      <c r="D14" s="168"/>
      <c r="I14" s="194"/>
      <c r="J14" s="58" t="s">
        <v>390</v>
      </c>
      <c r="K14" s="426" t="str">
        <f>IF(Electricity[[#This Row],[Month]]&lt;&gt;"",VLOOKUP(Electricity[[#This Row],[Month]], dropdown!$S$4:$T$15, 2, FALSE),"")</f>
        <v>Q3</v>
      </c>
      <c r="L14" s="29">
        <v>40460</v>
      </c>
      <c r="M14" s="47">
        <v>10.66</v>
      </c>
      <c r="N14" s="165" t="s">
        <v>375</v>
      </c>
      <c r="O14" s="195"/>
      <c r="P14" s="48"/>
      <c r="Q14" s="20"/>
    </row>
    <row r="15" spans="2:17" x14ac:dyDescent="0.2">
      <c r="B15" s="120" t="s">
        <v>175</v>
      </c>
      <c r="D15" s="168"/>
      <c r="I15" s="194"/>
      <c r="J15" s="58" t="s">
        <v>41</v>
      </c>
      <c r="K15" s="426" t="str">
        <f>IF(Electricity[[#This Row],[Month]]&lt;&gt;"",VLOOKUP(Electricity[[#This Row],[Month]], dropdown!$S$4:$T$15, 2, FALSE),"")</f>
        <v>Q3</v>
      </c>
      <c r="L15" s="29">
        <v>36652</v>
      </c>
      <c r="M15" s="47">
        <v>10.63</v>
      </c>
      <c r="N15" s="165" t="s">
        <v>375</v>
      </c>
      <c r="O15" s="195"/>
      <c r="P15" s="48"/>
      <c r="Q15" s="20"/>
    </row>
    <row r="16" spans="2:17" x14ac:dyDescent="0.2">
      <c r="B16" s="121" t="s">
        <v>176</v>
      </c>
      <c r="I16" s="194"/>
      <c r="J16" s="58" t="s">
        <v>397</v>
      </c>
      <c r="K16" s="426" t="str">
        <f>IF(Electricity[[#This Row],[Month]]&lt;&gt;"",VLOOKUP(Electricity[[#This Row],[Month]], dropdown!$S$4:$T$15, 2, FALSE),"")</f>
        <v>Q3</v>
      </c>
      <c r="L16" s="29">
        <v>38444</v>
      </c>
      <c r="M16" s="47">
        <v>11.66</v>
      </c>
      <c r="N16" s="165" t="s">
        <v>375</v>
      </c>
      <c r="O16" s="195"/>
      <c r="P16" s="48"/>
      <c r="Q16" s="20"/>
    </row>
    <row r="17" spans="2:17" x14ac:dyDescent="0.2">
      <c r="B17" s="122" t="s">
        <v>177</v>
      </c>
      <c r="I17" s="194"/>
      <c r="J17" s="58" t="s">
        <v>400</v>
      </c>
      <c r="K17" s="426" t="str">
        <f>IF(Electricity[[#This Row],[Month]]&lt;&gt;"",VLOOKUP(Electricity[[#This Row],[Month]], dropdown!$S$4:$T$15, 2, FALSE),"")</f>
        <v>Q4</v>
      </c>
      <c r="L17" s="29">
        <v>36988</v>
      </c>
      <c r="M17" s="47">
        <v>8.4</v>
      </c>
      <c r="N17" s="165" t="s">
        <v>375</v>
      </c>
      <c r="O17" s="195"/>
      <c r="P17" s="48"/>
      <c r="Q17" s="20"/>
    </row>
    <row r="18" spans="2:17" x14ac:dyDescent="0.2">
      <c r="I18" s="194">
        <f t="shared" ref="I18:I49" si="0">IF($L18="","",$I17+1)</f>
        <v>1</v>
      </c>
      <c r="J18" s="58" t="s">
        <v>404</v>
      </c>
      <c r="K18" s="426" t="str">
        <f>IF(Electricity[[#This Row],[Month]]&lt;&gt;"",VLOOKUP(Electricity[[#This Row],[Month]], dropdown!$S$4:$T$15, 2, FALSE),"")</f>
        <v>Q4</v>
      </c>
      <c r="L18" s="29">
        <v>38528</v>
      </c>
      <c r="M18" s="47">
        <v>8.5399999999999991</v>
      </c>
      <c r="N18" s="165" t="s">
        <v>375</v>
      </c>
      <c r="O18" s="195"/>
      <c r="P18" s="48"/>
      <c r="Q18" s="20"/>
    </row>
    <row r="19" spans="2:17" x14ac:dyDescent="0.2">
      <c r="I19" s="194">
        <f t="shared" si="0"/>
        <v>2</v>
      </c>
      <c r="J19" s="58" t="s">
        <v>407</v>
      </c>
      <c r="K19" s="426" t="str">
        <f>IF(Electricity[[#This Row],[Month]]&lt;&gt;"",VLOOKUP(Electricity[[#This Row],[Month]], dropdown!$S$4:$T$15, 2, FALSE),"")</f>
        <v>Q4</v>
      </c>
      <c r="L19" s="29">
        <v>38080</v>
      </c>
      <c r="M19" s="47">
        <v>11.68</v>
      </c>
      <c r="N19" s="165" t="s">
        <v>375</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topLeftCell="C1" zoomScaleNormal="142" workbookViewId="0">
      <selection activeCell="J8" sqref="J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Legazpi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6" t="s">
        <v>1433</v>
      </c>
      <c r="D6" s="447"/>
      <c r="E6" s="447"/>
      <c r="F6" s="447"/>
      <c r="G6" s="448"/>
      <c r="I6" s="248" t="s">
        <v>173</v>
      </c>
      <c r="J6" s="249" t="s">
        <v>39</v>
      </c>
      <c r="K6" s="249" t="s">
        <v>43</v>
      </c>
      <c r="L6" s="250" t="s">
        <v>115</v>
      </c>
      <c r="M6" s="352" t="s">
        <v>212</v>
      </c>
      <c r="N6" s="253" t="s">
        <v>54</v>
      </c>
      <c r="O6" s="349"/>
    </row>
    <row r="7" spans="2:16" x14ac:dyDescent="0.2">
      <c r="B7" s="278" t="s">
        <v>174</v>
      </c>
      <c r="C7" s="449">
        <v>45910</v>
      </c>
      <c r="D7" s="447"/>
      <c r="E7" s="447"/>
      <c r="F7" s="447"/>
      <c r="G7" s="448"/>
      <c r="I7" s="194">
        <f>IF(Electricity6[[#This Row],[Month]]="","",1)</f>
        <v>1</v>
      </c>
      <c r="J7" s="58" t="s">
        <v>338</v>
      </c>
      <c r="K7" s="18" t="str">
        <f>IF(Electricity6[[#This Row],[Month]]&lt;&gt;"",VLOOKUP(Electricity6[[#This Row],[Month]], dropdown!$S$4:$T$15, 2, FALSE),"")</f>
        <v>Q1</v>
      </c>
      <c r="L7" s="29">
        <v>0</v>
      </c>
      <c r="M7" s="350">
        <v>0</v>
      </c>
      <c r="N7" s="195" t="s">
        <v>315</v>
      </c>
    </row>
    <row r="8" spans="2:16" x14ac:dyDescent="0.2">
      <c r="B8" s="258"/>
      <c r="C8" s="258"/>
      <c r="D8" s="258"/>
      <c r="E8" s="258"/>
      <c r="F8" s="258"/>
      <c r="G8" s="258"/>
      <c r="I8" s="194">
        <f>IF(Electricity6[[#This Row],[Month]]="","",I7+1)</f>
        <v>2</v>
      </c>
      <c r="J8" s="58" t="s">
        <v>89</v>
      </c>
      <c r="K8" s="18" t="str">
        <f>IF(Electricity6[[#This Row],[Month]]&lt;&gt;"",VLOOKUP(Electricity6[[#This Row],[Month]], dropdown!$S$4:$T$15, 2, FALSE),"")</f>
        <v>Q1</v>
      </c>
      <c r="L8" s="29">
        <v>0</v>
      </c>
      <c r="M8" s="350">
        <v>0</v>
      </c>
      <c r="N8" s="195" t="s">
        <v>315</v>
      </c>
    </row>
    <row r="9" spans="2:16" ht="15" x14ac:dyDescent="0.2">
      <c r="B9" s="334" t="s">
        <v>213</v>
      </c>
      <c r="C9" s="14"/>
      <c r="D9" s="14"/>
      <c r="E9" s="14"/>
      <c r="F9" s="14"/>
      <c r="G9" s="14"/>
      <c r="I9" s="194">
        <f>IF(Electricity6[[#This Row],[Month]]="","",I8+1)</f>
        <v>3</v>
      </c>
      <c r="J9" s="58" t="s">
        <v>362</v>
      </c>
      <c r="K9" s="18" t="str">
        <f>IF(Electricity6[[#This Row],[Month]]&lt;&gt;"",VLOOKUP(Electricity6[[#This Row],[Month]], dropdown!$S$4:$T$15, 2, FALSE),"")</f>
        <v>Q1</v>
      </c>
      <c r="L9" s="29">
        <v>0</v>
      </c>
      <c r="M9" s="350">
        <v>0</v>
      </c>
      <c r="N9" s="195" t="s">
        <v>315</v>
      </c>
    </row>
    <row r="10" spans="2:16" x14ac:dyDescent="0.2">
      <c r="B10" s="13" t="s">
        <v>214</v>
      </c>
      <c r="C10" s="13" t="s">
        <v>51</v>
      </c>
      <c r="D10" s="40" t="s">
        <v>45</v>
      </c>
      <c r="E10" s="40" t="s">
        <v>149</v>
      </c>
      <c r="F10" s="40" t="s">
        <v>150</v>
      </c>
      <c r="G10" s="40" t="s">
        <v>151</v>
      </c>
      <c r="I10" s="194">
        <f>IF(Electricity6[[#This Row],[Month]]="","",I9+1)</f>
        <v>4</v>
      </c>
      <c r="J10" s="58" t="s">
        <v>371</v>
      </c>
      <c r="K10" s="18" t="str">
        <f>IF(Electricity6[[#This Row],[Month]]&lt;&gt;"",VLOOKUP(Electricity6[[#This Row],[Month]], dropdown!$S$4:$T$15, 2, FALSE),"")</f>
        <v>Q2</v>
      </c>
      <c r="L10" s="29">
        <v>0</v>
      </c>
      <c r="M10" s="350">
        <v>0</v>
      </c>
      <c r="N10" s="195" t="s">
        <v>315</v>
      </c>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f>IF(Electricity6[[#This Row],[Month]]="","",I10+1)</f>
        <v>5</v>
      </c>
      <c r="J11" s="58" t="s">
        <v>379</v>
      </c>
      <c r="K11" s="18" t="str">
        <f>IF(Electricity6[[#This Row],[Month]]&lt;&gt;"",VLOOKUP(Electricity6[[#This Row],[Month]], dropdown!$S$4:$T$15, 2, FALSE),"")</f>
        <v>Q2</v>
      </c>
      <c r="L11" s="29">
        <v>0</v>
      </c>
      <c r="M11" s="350">
        <v>0</v>
      </c>
      <c r="N11" s="195" t="s">
        <v>315</v>
      </c>
    </row>
    <row r="12" spans="2:16" s="258" customFormat="1" x14ac:dyDescent="0.2">
      <c r="B12" s="11"/>
      <c r="C12" s="11"/>
      <c r="D12" s="167" t="str">
        <f>IF(SUM(D$11:D$11)&gt;0,"x","")</f>
        <v/>
      </c>
      <c r="E12" s="167" t="str">
        <f>IF(SUM(E$11:E$11)&gt;0,"x","")</f>
        <v/>
      </c>
      <c r="F12" s="167" t="str">
        <f>IF(SUM(F$11:F$11)&gt;0,"x","")</f>
        <v/>
      </c>
      <c r="G12" s="167" t="str">
        <f>IF(SUM(G$11:G$11)&gt;0,"x","")</f>
        <v/>
      </c>
      <c r="H12" s="20"/>
      <c r="I12" s="194">
        <f>IF(Electricity6[[#This Row],[Month]]="","",I11+1)</f>
        <v>6</v>
      </c>
      <c r="J12" s="58" t="s">
        <v>386</v>
      </c>
      <c r="K12" s="18" t="str">
        <f>IF(Electricity6[[#This Row],[Month]]&lt;&gt;"",VLOOKUP(Electricity6[[#This Row],[Month]], dropdown!$S$4:$T$15, 2, FALSE),"")</f>
        <v>Q2</v>
      </c>
      <c r="L12" s="29">
        <v>0</v>
      </c>
      <c r="M12" s="350">
        <v>0</v>
      </c>
      <c r="N12" s="195" t="s">
        <v>315</v>
      </c>
      <c r="P12" s="259"/>
    </row>
    <row r="13" spans="2:16" x14ac:dyDescent="0.2">
      <c r="B13" s="119" t="s">
        <v>38</v>
      </c>
      <c r="D13" s="168"/>
      <c r="I13" s="194">
        <f>IF(Electricity6[[#This Row],[Month]]="","",I12+1)</f>
        <v>7</v>
      </c>
      <c r="J13" s="58" t="s">
        <v>390</v>
      </c>
      <c r="K13" s="18" t="str">
        <f>IF(Electricity6[[#This Row],[Month]]&lt;&gt;"",VLOOKUP(Electricity6[[#This Row],[Month]], dropdown!$S$4:$T$15, 2, FALSE),"")</f>
        <v>Q3</v>
      </c>
      <c r="L13" s="29">
        <v>0</v>
      </c>
      <c r="M13" s="350">
        <v>0</v>
      </c>
      <c r="N13" s="195" t="s">
        <v>315</v>
      </c>
    </row>
    <row r="14" spans="2:16" x14ac:dyDescent="0.2">
      <c r="B14" s="120" t="s">
        <v>175</v>
      </c>
      <c r="D14" s="168"/>
      <c r="I14" s="194">
        <f>IF(Electricity6[[#This Row],[Month]]="","",I13+1)</f>
        <v>8</v>
      </c>
      <c r="J14" s="58" t="s">
        <v>41</v>
      </c>
      <c r="K14" s="18" t="str">
        <f>IF(Electricity6[[#This Row],[Month]]&lt;&gt;"",VLOOKUP(Electricity6[[#This Row],[Month]], dropdown!$S$4:$T$15, 2, FALSE),"")</f>
        <v>Q3</v>
      </c>
      <c r="L14" s="29">
        <v>0</v>
      </c>
      <c r="M14" s="350">
        <v>0</v>
      </c>
      <c r="N14" s="195" t="s">
        <v>315</v>
      </c>
    </row>
    <row r="15" spans="2:16" x14ac:dyDescent="0.2">
      <c r="B15" s="121" t="s">
        <v>176</v>
      </c>
      <c r="I15" s="194">
        <f>IF(Electricity6[[#This Row],[Month]]="","",I14+1)</f>
        <v>9</v>
      </c>
      <c r="J15" s="58" t="s">
        <v>397</v>
      </c>
      <c r="K15" s="18" t="str">
        <f>IF(Electricity6[[#This Row],[Month]]&lt;&gt;"",VLOOKUP(Electricity6[[#This Row],[Month]], dropdown!$S$4:$T$15, 2, FALSE),"")</f>
        <v>Q3</v>
      </c>
      <c r="L15" s="29">
        <v>0</v>
      </c>
      <c r="M15" s="350">
        <v>0</v>
      </c>
      <c r="N15" s="195" t="s">
        <v>315</v>
      </c>
    </row>
    <row r="16" spans="2:16" x14ac:dyDescent="0.2">
      <c r="B16" s="122" t="s">
        <v>177</v>
      </c>
      <c r="I16" s="194">
        <f>IF(Electricity6[[#This Row],[Month]]="","",I15+1)</f>
        <v>10</v>
      </c>
      <c r="J16" s="58" t="s">
        <v>400</v>
      </c>
      <c r="K16" s="18" t="str">
        <f>IF(Electricity6[[#This Row],[Month]]&lt;&gt;"",VLOOKUP(Electricity6[[#This Row],[Month]], dropdown!$S$4:$T$15, 2, FALSE),"")</f>
        <v>Q4</v>
      </c>
      <c r="L16" s="29">
        <v>0</v>
      </c>
      <c r="M16" s="350">
        <v>0</v>
      </c>
      <c r="N16" s="195" t="s">
        <v>315</v>
      </c>
      <c r="P16" s="20"/>
    </row>
    <row r="17" spans="2:16" x14ac:dyDescent="0.2">
      <c r="I17" s="194">
        <f>IF(Electricity6[[#This Row],[Month]]="","",I16+1)</f>
        <v>11</v>
      </c>
      <c r="J17" s="58" t="s">
        <v>404</v>
      </c>
      <c r="K17" s="18" t="str">
        <f>IF(Electricity6[[#This Row],[Month]]&lt;&gt;"",VLOOKUP(Electricity6[[#This Row],[Month]], dropdown!$S$4:$T$15, 2, FALSE),"")</f>
        <v>Q4</v>
      </c>
      <c r="L17" s="29">
        <v>0</v>
      </c>
      <c r="M17" s="350">
        <v>0</v>
      </c>
      <c r="N17" s="195" t="s">
        <v>315</v>
      </c>
      <c r="P17" s="20"/>
    </row>
    <row r="18" spans="2:16" x14ac:dyDescent="0.2">
      <c r="I18" s="194">
        <f>IF(Electricity6[[#This Row],[Month]]="","",I17+1)</f>
        <v>12</v>
      </c>
      <c r="J18" s="58" t="s">
        <v>407</v>
      </c>
      <c r="K18" s="18" t="str">
        <f>IF(Electricity6[[#This Row],[Month]]&lt;&gt;"",VLOOKUP(Electricity6[[#This Row],[Month]], dropdown!$S$4:$T$15, 2, FALSE),"")</f>
        <v>Q4</v>
      </c>
      <c r="L18" s="29">
        <v>0</v>
      </c>
      <c r="M18" s="350">
        <v>0</v>
      </c>
      <c r="N18" s="195" t="s">
        <v>315</v>
      </c>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K1" zoomScaleNormal="100" workbookViewId="0">
      <selection activeCell="U8" sqref="U8"/>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Legazpi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t="s">
        <v>1433</v>
      </c>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9">
        <v>45910</v>
      </c>
      <c r="D7" s="447"/>
      <c r="E7" s="447"/>
      <c r="F7" s="447"/>
      <c r="G7" s="448"/>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212</v>
      </c>
      <c r="N8" s="195"/>
      <c r="O8" s="44"/>
      <c r="P8" s="194">
        <f>IF($T8="","",1)</f>
        <v>1</v>
      </c>
      <c r="Q8" s="58" t="s">
        <v>338</v>
      </c>
      <c r="R8" s="18" t="str">
        <f>IF(water_out[[#This Row],[Month]]&lt;&gt;"",VLOOKUP(water_out[[#This Row],[Month]], dropdown!$S$4:$T$15, 2, FALSE),"")</f>
        <v>Q1</v>
      </c>
      <c r="S8" s="60" t="s">
        <v>364</v>
      </c>
      <c r="T8" s="29">
        <v>212</v>
      </c>
      <c r="U8" s="195" t="s">
        <v>1513</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168</v>
      </c>
      <c r="N9" s="195"/>
      <c r="O9" s="44"/>
      <c r="P9" s="194">
        <f>IF($T9="","",$P8+1)</f>
        <v>2</v>
      </c>
      <c r="Q9" s="58" t="s">
        <v>89</v>
      </c>
      <c r="R9" s="18" t="str">
        <f>IF(water_out[[#This Row],[Month]]&lt;&gt;"",VLOOKUP(water_out[[#This Row],[Month]], dropdown!$S$4:$T$15, 2, FALSE),"")</f>
        <v>Q1</v>
      </c>
      <c r="S9" s="60" t="s">
        <v>364</v>
      </c>
      <c r="T9" s="29">
        <v>168</v>
      </c>
      <c r="U9" s="195" t="s">
        <v>1513</v>
      </c>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178</v>
      </c>
      <c r="N10" s="195"/>
      <c r="O10" s="44"/>
      <c r="P10" s="194">
        <f t="shared" ref="P10:P73" si="1">IF($T10="","",$P9+1)</f>
        <v>3</v>
      </c>
      <c r="Q10" s="58" t="s">
        <v>362</v>
      </c>
      <c r="R10" s="18" t="str">
        <f>IF(water_out[[#This Row],[Month]]&lt;&gt;"",VLOOKUP(water_out[[#This Row],[Month]], dropdown!$S$4:$T$15, 2, FALSE),"")</f>
        <v>Q1</v>
      </c>
      <c r="S10" s="60" t="s">
        <v>364</v>
      </c>
      <c r="T10" s="29">
        <v>178</v>
      </c>
      <c r="U10" s="195" t="s">
        <v>1513</v>
      </c>
      <c r="W10" s="20"/>
    </row>
    <row r="11" spans="2:23" ht="14" x14ac:dyDescent="0.2">
      <c r="B11" s="17" t="s">
        <v>120</v>
      </c>
      <c r="C11" s="17" t="s">
        <v>220</v>
      </c>
      <c r="D11" s="41">
        <f>SUMIFS(water_in[Volume (m3)],water_in[Quarter],D$10)</f>
        <v>558</v>
      </c>
      <c r="E11" s="41">
        <f>SUMIFS(water_in[Volume (m3)],water_in[Quarter],E$10)</f>
        <v>662</v>
      </c>
      <c r="F11" s="41">
        <f>SUMIFS(water_in[Volume (m3)],water_in[Quarter],F$10)</f>
        <v>461</v>
      </c>
      <c r="G11" s="41">
        <f>SUMIFS(water_in[Volume (m3)],water_in[Quarter],G$10)</f>
        <v>446</v>
      </c>
      <c r="I11" s="194">
        <f t="shared" si="0"/>
        <v>4</v>
      </c>
      <c r="J11" s="58" t="s">
        <v>371</v>
      </c>
      <c r="K11" s="426" t="str">
        <f>IF(water_in[[#This Row],[Month]]&lt;&gt;"",VLOOKUP(water_in[[#This Row],[Month]], dropdown!$S$4:$T$15, 2, FALSE),"")</f>
        <v>Q2</v>
      </c>
      <c r="L11" s="58" t="s">
        <v>124</v>
      </c>
      <c r="M11" s="29">
        <v>160</v>
      </c>
      <c r="N11" s="195"/>
      <c r="O11" s="44"/>
      <c r="P11" s="194">
        <f t="shared" si="1"/>
        <v>4</v>
      </c>
      <c r="Q11" s="58" t="s">
        <v>371</v>
      </c>
      <c r="R11" s="18" t="str">
        <f>IF(water_out[[#This Row],[Month]]&lt;&gt;"",VLOOKUP(water_out[[#This Row],[Month]], dropdown!$S$4:$T$15, 2, FALSE),"")</f>
        <v>Q2</v>
      </c>
      <c r="S11" s="60" t="s">
        <v>364</v>
      </c>
      <c r="T11" s="29">
        <v>160</v>
      </c>
      <c r="U11" s="195" t="s">
        <v>1513</v>
      </c>
      <c r="W11" s="20"/>
    </row>
    <row r="12" spans="2:23" ht="14" x14ac:dyDescent="0.2">
      <c r="B12" s="17" t="s">
        <v>128</v>
      </c>
      <c r="C12" s="17" t="s">
        <v>220</v>
      </c>
      <c r="D12" s="41">
        <f>SUMIFS(water_out[Volume2 (m3)],water_out[Quarter],D$10)</f>
        <v>558</v>
      </c>
      <c r="E12" s="41">
        <f>SUMIFS(water_out[Volume2 (m3)],water_out[Quarter],E$10)</f>
        <v>662</v>
      </c>
      <c r="F12" s="41">
        <f>SUMIFS(water_out[Volume2 (m3)],water_out[Quarter],F$10)</f>
        <v>461</v>
      </c>
      <c r="G12" s="41">
        <f>SUMIFS(water_out[Volume2 (m3)],water_out[Quarter],G$10)</f>
        <v>446</v>
      </c>
      <c r="I12" s="194">
        <f t="shared" si="0"/>
        <v>5</v>
      </c>
      <c r="J12" s="58" t="s">
        <v>379</v>
      </c>
      <c r="K12" s="426" t="str">
        <f>IF(water_in[[#This Row],[Month]]&lt;&gt;"",VLOOKUP(water_in[[#This Row],[Month]], dropdown!$S$4:$T$15, 2, FALSE),"")</f>
        <v>Q2</v>
      </c>
      <c r="L12" s="58" t="s">
        <v>124</v>
      </c>
      <c r="M12" s="29">
        <v>289</v>
      </c>
      <c r="N12" s="195"/>
      <c r="O12" s="44" t="str">
        <f>IF(J12="","",VLOOKUP($J12,dropdown!$S$3:$T$15,2,FALSE))</f>
        <v>Q2</v>
      </c>
      <c r="P12" s="194">
        <f t="shared" si="1"/>
        <v>5</v>
      </c>
      <c r="Q12" s="58" t="s">
        <v>379</v>
      </c>
      <c r="R12" s="18" t="str">
        <f>IF(water_out[[#This Row],[Month]]&lt;&gt;"",VLOOKUP(water_out[[#This Row],[Month]], dropdown!$S$4:$T$15, 2, FALSE),"")</f>
        <v>Q2</v>
      </c>
      <c r="S12" s="60" t="s">
        <v>364</v>
      </c>
      <c r="T12" s="29">
        <v>289</v>
      </c>
      <c r="U12" s="195" t="s">
        <v>1513</v>
      </c>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213</v>
      </c>
      <c r="N13" s="195"/>
      <c r="O13" s="44" t="str">
        <f>IF(J13="","",VLOOKUP($J13,dropdown!$S$3:$T$15,2,FALSE))</f>
        <v>Q2</v>
      </c>
      <c r="P13" s="194">
        <f t="shared" si="1"/>
        <v>6</v>
      </c>
      <c r="Q13" s="58" t="s">
        <v>386</v>
      </c>
      <c r="R13" s="18" t="str">
        <f>IF(water_out[[#This Row],[Month]]&lt;&gt;"",VLOOKUP(water_out[[#This Row],[Month]], dropdown!$S$4:$T$15, 2, FALSE),"")</f>
        <v>Q2</v>
      </c>
      <c r="S13" s="60" t="s">
        <v>364</v>
      </c>
      <c r="T13" s="29">
        <v>213</v>
      </c>
      <c r="U13" s="195" t="s">
        <v>1513</v>
      </c>
      <c r="W13" s="20"/>
    </row>
    <row r="14" spans="2:23" ht="14" x14ac:dyDescent="0.2">
      <c r="B14" s="119" t="s">
        <v>38</v>
      </c>
      <c r="I14" s="194">
        <f t="shared" si="0"/>
        <v>7</v>
      </c>
      <c r="J14" s="58" t="s">
        <v>390</v>
      </c>
      <c r="K14" s="426" t="str">
        <f>IF(water_in[[#This Row],[Month]]&lt;&gt;"",VLOOKUP(water_in[[#This Row],[Month]], dropdown!$S$4:$T$15, 2, FALSE),"")</f>
        <v>Q3</v>
      </c>
      <c r="L14" s="58" t="s">
        <v>124</v>
      </c>
      <c r="M14" s="29">
        <v>150</v>
      </c>
      <c r="N14" s="195"/>
      <c r="O14" s="44" t="str">
        <f>IF(J14="","",VLOOKUP($J14,dropdown!$S$3:$T$15,2,FALSE))</f>
        <v>Q3</v>
      </c>
      <c r="P14" s="194">
        <f t="shared" si="1"/>
        <v>7</v>
      </c>
      <c r="Q14" s="58" t="s">
        <v>390</v>
      </c>
      <c r="R14" s="18" t="str">
        <f>IF(water_out[[#This Row],[Month]]&lt;&gt;"",VLOOKUP(water_out[[#This Row],[Month]], dropdown!$S$4:$T$15, 2, FALSE),"")</f>
        <v>Q3</v>
      </c>
      <c r="S14" s="60" t="s">
        <v>364</v>
      </c>
      <c r="T14" s="29">
        <v>150</v>
      </c>
      <c r="U14" s="195" t="s">
        <v>1513</v>
      </c>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157</v>
      </c>
      <c r="N15" s="195"/>
      <c r="O15" s="44" t="str">
        <f>IF(J15="","",VLOOKUP($J15,dropdown!$S$3:$T$15,2,FALSE))</f>
        <v>Q3</v>
      </c>
      <c r="P15" s="194">
        <f t="shared" si="1"/>
        <v>8</v>
      </c>
      <c r="Q15" s="58" t="s">
        <v>41</v>
      </c>
      <c r="R15" s="18" t="str">
        <f>IF(water_out[[#This Row],[Month]]&lt;&gt;"",VLOOKUP(water_out[[#This Row],[Month]], dropdown!$S$4:$T$15, 2, FALSE),"")</f>
        <v>Q3</v>
      </c>
      <c r="S15" s="60" t="s">
        <v>364</v>
      </c>
      <c r="T15" s="29">
        <v>157</v>
      </c>
      <c r="U15" s="195" t="s">
        <v>1513</v>
      </c>
      <c r="W15" s="20"/>
    </row>
    <row r="16" spans="2:23" ht="14" x14ac:dyDescent="0.2">
      <c r="B16" s="121" t="s">
        <v>176</v>
      </c>
      <c r="I16" s="194">
        <f t="shared" si="0"/>
        <v>9</v>
      </c>
      <c r="J16" s="58" t="s">
        <v>397</v>
      </c>
      <c r="K16" s="426" t="str">
        <f>IF(water_in[[#This Row],[Month]]&lt;&gt;"",VLOOKUP(water_in[[#This Row],[Month]], dropdown!$S$4:$T$15, 2, FALSE),"")</f>
        <v>Q3</v>
      </c>
      <c r="L16" s="58" t="s">
        <v>124</v>
      </c>
      <c r="M16" s="29">
        <v>154</v>
      </c>
      <c r="N16" s="195"/>
      <c r="O16" s="44" t="str">
        <f>IF(J16="","",VLOOKUP($J16,dropdown!$S$3:$T$15,2,FALSE))</f>
        <v>Q3</v>
      </c>
      <c r="P16" s="194">
        <f t="shared" si="1"/>
        <v>9</v>
      </c>
      <c r="Q16" s="58" t="s">
        <v>397</v>
      </c>
      <c r="R16" s="18" t="str">
        <f>IF(water_out[[#This Row],[Month]]&lt;&gt;"",VLOOKUP(water_out[[#This Row],[Month]], dropdown!$S$4:$T$15, 2, FALSE),"")</f>
        <v>Q3</v>
      </c>
      <c r="S16" s="60" t="s">
        <v>364</v>
      </c>
      <c r="T16" s="29">
        <v>154</v>
      </c>
      <c r="U16" s="195" t="s">
        <v>1513</v>
      </c>
      <c r="W16" s="20"/>
    </row>
    <row r="17" spans="2:23" ht="14" x14ac:dyDescent="0.2">
      <c r="B17" s="122" t="s">
        <v>177</v>
      </c>
      <c r="I17" s="194">
        <f t="shared" si="0"/>
        <v>10</v>
      </c>
      <c r="J17" s="58" t="s">
        <v>400</v>
      </c>
      <c r="K17" s="426" t="str">
        <f>IF(water_in[[#This Row],[Month]]&lt;&gt;"",VLOOKUP(water_in[[#This Row],[Month]], dropdown!$S$4:$T$15, 2, FALSE),"")</f>
        <v>Q4</v>
      </c>
      <c r="L17" s="58" t="s">
        <v>124</v>
      </c>
      <c r="M17" s="29">
        <v>152</v>
      </c>
      <c r="N17" s="195"/>
      <c r="O17" s="44" t="str">
        <f>IF(J17="","",VLOOKUP($J17,dropdown!$S$3:$T$15,2,FALSE))</f>
        <v>Q4</v>
      </c>
      <c r="P17" s="194">
        <f t="shared" si="1"/>
        <v>10</v>
      </c>
      <c r="Q17" s="58" t="s">
        <v>400</v>
      </c>
      <c r="R17" s="18" t="str">
        <f>IF(water_out[[#This Row],[Month]]&lt;&gt;"",VLOOKUP(water_out[[#This Row],[Month]], dropdown!$S$4:$T$15, 2, FALSE),"")</f>
        <v>Q4</v>
      </c>
      <c r="S17" s="60" t="s">
        <v>364</v>
      </c>
      <c r="T17" s="29">
        <v>152</v>
      </c>
      <c r="U17" s="195" t="s">
        <v>1513</v>
      </c>
      <c r="V17" s="44" t="s">
        <v>43</v>
      </c>
      <c r="W17" s="20"/>
    </row>
    <row r="18" spans="2:23" ht="14" x14ac:dyDescent="0.2">
      <c r="I18" s="194">
        <f t="shared" si="0"/>
        <v>11</v>
      </c>
      <c r="J18" s="58" t="s">
        <v>404</v>
      </c>
      <c r="K18" s="426" t="str">
        <f>IF(water_in[[#This Row],[Month]]&lt;&gt;"",VLOOKUP(water_in[[#This Row],[Month]], dropdown!$S$4:$T$15, 2, FALSE),"")</f>
        <v>Q4</v>
      </c>
      <c r="L18" s="58" t="s">
        <v>124</v>
      </c>
      <c r="M18" s="29">
        <v>144</v>
      </c>
      <c r="N18" s="195"/>
      <c r="O18" s="44" t="str">
        <f>IF(J18="","",VLOOKUP($J18,dropdown!$S$3:$T$15,2,FALSE))</f>
        <v>Q4</v>
      </c>
      <c r="P18" s="194">
        <f t="shared" si="1"/>
        <v>11</v>
      </c>
      <c r="Q18" s="58" t="s">
        <v>404</v>
      </c>
      <c r="R18" s="18" t="str">
        <f>IF(water_out[[#This Row],[Month]]&lt;&gt;"",VLOOKUP(water_out[[#This Row],[Month]], dropdown!$S$4:$T$15, 2, FALSE),"")</f>
        <v>Q4</v>
      </c>
      <c r="S18" s="60" t="s">
        <v>364</v>
      </c>
      <c r="T18" s="29">
        <v>144</v>
      </c>
      <c r="U18" s="195" t="s">
        <v>1513</v>
      </c>
      <c r="V18" s="44" t="str">
        <f>IF(Q8="","",VLOOKUP($Q8,dropdown!$S$3:$T$15,2,FALSE))</f>
        <v>Q1</v>
      </c>
      <c r="W18" s="20"/>
    </row>
    <row r="19" spans="2:23" ht="14" x14ac:dyDescent="0.2">
      <c r="I19" s="194">
        <f t="shared" si="0"/>
        <v>12</v>
      </c>
      <c r="J19" s="58" t="s">
        <v>407</v>
      </c>
      <c r="K19" s="426" t="str">
        <f>IF(water_in[[#This Row],[Month]]&lt;&gt;"",VLOOKUP(water_in[[#This Row],[Month]], dropdown!$S$4:$T$15, 2, FALSE),"")</f>
        <v>Q4</v>
      </c>
      <c r="L19" s="58" t="s">
        <v>124</v>
      </c>
      <c r="M19" s="29">
        <v>150</v>
      </c>
      <c r="N19" s="195"/>
      <c r="O19" s="44" t="str">
        <f>IF(J19="","",VLOOKUP($J19,dropdown!$S$3:$T$15,2,FALSE))</f>
        <v>Q4</v>
      </c>
      <c r="P19" s="194">
        <f t="shared" si="1"/>
        <v>12</v>
      </c>
      <c r="Q19" s="58" t="s">
        <v>407</v>
      </c>
      <c r="R19" s="18" t="str">
        <f>IF(water_out[[#This Row],[Month]]&lt;&gt;"",VLOOKUP(water_out[[#This Row],[Month]], dropdown!$S$4:$T$15, 2, FALSE),"")</f>
        <v>Q4</v>
      </c>
      <c r="S19" s="60" t="s">
        <v>364</v>
      </c>
      <c r="T19" s="29">
        <v>150</v>
      </c>
      <c r="U19" s="195" t="s">
        <v>1513</v>
      </c>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Legazpi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C11" zoomScaleNormal="100" workbookViewId="0">
      <selection activeCell="O8" sqref="O8:O9"/>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Legazpi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t="s">
        <v>1433</v>
      </c>
      <c r="D6" s="447"/>
      <c r="E6" s="447"/>
      <c r="F6" s="447"/>
      <c r="G6" s="448"/>
      <c r="I6" s="409" t="s">
        <v>282</v>
      </c>
      <c r="J6" s="407"/>
      <c r="K6" s="407"/>
      <c r="L6" s="407"/>
      <c r="M6" s="408"/>
      <c r="N6" s="407"/>
      <c r="O6" s="407"/>
      <c r="Q6" s="44"/>
    </row>
    <row r="7" spans="2:17" ht="25.5" customHeight="1" x14ac:dyDescent="0.2">
      <c r="B7" s="278" t="s">
        <v>174</v>
      </c>
      <c r="C7" s="449">
        <v>45910</v>
      </c>
      <c r="D7" s="447"/>
      <c r="E7" s="447"/>
      <c r="F7" s="447"/>
      <c r="G7" s="448"/>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383</v>
      </c>
      <c r="M8" s="29">
        <v>6000</v>
      </c>
      <c r="N8" s="57" t="s">
        <v>313</v>
      </c>
      <c r="O8" s="195" t="s">
        <v>1444</v>
      </c>
      <c r="Q8" s="44"/>
    </row>
    <row r="9" spans="2:17" x14ac:dyDescent="0.2">
      <c r="B9" s="14" t="s">
        <v>134</v>
      </c>
      <c r="C9" s="14"/>
      <c r="D9" s="14"/>
      <c r="E9" s="14"/>
      <c r="F9" s="14"/>
      <c r="G9" s="14"/>
      <c r="I9" s="194">
        <f t="shared" ref="I9:I72" si="0">IF($J9="","",$I8+1)</f>
        <v>2</v>
      </c>
      <c r="J9" s="58" t="s">
        <v>338</v>
      </c>
      <c r="K9" s="194" t="str">
        <f>IF(Waste[[#This Row],[Month]]&lt;&gt;"",VLOOKUP(Waste[[#This Row],[Month]], dropdown!$S$4:$T$15, 2, FALSE),"")</f>
        <v>Q1</v>
      </c>
      <c r="L9" s="57" t="s">
        <v>317</v>
      </c>
      <c r="M9" s="29">
        <v>1463.4</v>
      </c>
      <c r="N9" s="57" t="s">
        <v>364</v>
      </c>
      <c r="O9" s="195" t="s">
        <v>1443</v>
      </c>
      <c r="Q9" s="44"/>
    </row>
    <row r="10" spans="2:17" x14ac:dyDescent="0.2">
      <c r="B10" s="13" t="s">
        <v>137</v>
      </c>
      <c r="C10" s="13" t="s">
        <v>51</v>
      </c>
      <c r="D10" s="40" t="s">
        <v>45</v>
      </c>
      <c r="E10" s="40" t="s">
        <v>149</v>
      </c>
      <c r="F10" s="40" t="s">
        <v>150</v>
      </c>
      <c r="G10" s="40" t="s">
        <v>151</v>
      </c>
      <c r="I10" s="194">
        <f t="shared" si="0"/>
        <v>3</v>
      </c>
      <c r="J10" s="58" t="s">
        <v>89</v>
      </c>
      <c r="K10" s="194" t="str">
        <f>IF(Waste[[#This Row],[Month]]&lt;&gt;"",VLOOKUP(Waste[[#This Row],[Month]], dropdown!$S$4:$T$15, 2, FALSE),"")</f>
        <v>Q1</v>
      </c>
      <c r="L10" s="57" t="s">
        <v>383</v>
      </c>
      <c r="M10" s="29">
        <v>6000</v>
      </c>
      <c r="N10" s="57" t="s">
        <v>313</v>
      </c>
      <c r="O10" s="195" t="s">
        <v>1444</v>
      </c>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89</v>
      </c>
      <c r="K11" s="194" t="str">
        <f>IF(Waste[[#This Row],[Month]]&lt;&gt;"",VLOOKUP(Waste[[#This Row],[Month]], dropdown!$S$4:$T$15, 2, FALSE),"")</f>
        <v>Q1</v>
      </c>
      <c r="L11" s="57" t="s">
        <v>317</v>
      </c>
      <c r="M11" s="29">
        <v>1463.4</v>
      </c>
      <c r="N11" s="57" t="s">
        <v>364</v>
      </c>
      <c r="O11" s="195" t="s">
        <v>1443</v>
      </c>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362</v>
      </c>
      <c r="K12" s="194" t="str">
        <f>IF(Waste[[#This Row],[Month]]&lt;&gt;"",VLOOKUP(Waste[[#This Row],[Month]], dropdown!$S$4:$T$15, 2, FALSE),"")</f>
        <v>Q1</v>
      </c>
      <c r="L12" s="57" t="s">
        <v>383</v>
      </c>
      <c r="M12" s="29">
        <v>6000</v>
      </c>
      <c r="N12" s="57" t="s">
        <v>313</v>
      </c>
      <c r="O12" s="195" t="s">
        <v>1444</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362</v>
      </c>
      <c r="K13" s="194" t="str">
        <f>IF(Waste[[#This Row],[Month]]&lt;&gt;"",VLOOKUP(Waste[[#This Row],[Month]], dropdown!$S$4:$T$15, 2, FALSE),"")</f>
        <v>Q1</v>
      </c>
      <c r="L13" s="57" t="s">
        <v>317</v>
      </c>
      <c r="M13" s="29">
        <v>1463.4</v>
      </c>
      <c r="N13" s="57" t="s">
        <v>364</v>
      </c>
      <c r="O13" s="195" t="s">
        <v>1443</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371</v>
      </c>
      <c r="K14" s="194" t="str">
        <f>IF(Waste[[#This Row],[Month]]&lt;&gt;"",VLOOKUP(Waste[[#This Row],[Month]], dropdown!$S$4:$T$15, 2, FALSE),"")</f>
        <v>Q2</v>
      </c>
      <c r="L14" s="57" t="s">
        <v>383</v>
      </c>
      <c r="M14" s="29">
        <v>6000</v>
      </c>
      <c r="N14" s="57" t="s">
        <v>313</v>
      </c>
      <c r="O14" s="195" t="s">
        <v>1444</v>
      </c>
      <c r="Q14" s="44"/>
    </row>
    <row r="15" spans="2:17" ht="15" customHeight="1" x14ac:dyDescent="0.2">
      <c r="B15" s="17" t="str">
        <f>dropdown!$B8</f>
        <v>Hazardous</v>
      </c>
      <c r="C15" s="17" t="s">
        <v>283</v>
      </c>
      <c r="D15" s="41">
        <f>SUMIFS(Waste[Weight (kg)],Waste[Quarter],D$10,Waste[Waste Composition],$B15)</f>
        <v>4390.2000000000007</v>
      </c>
      <c r="E15" s="41">
        <f>SUMIFS(Waste[Weight (kg)],Waste[Quarter],E$10,Waste[Waste Composition],$B15)</f>
        <v>4390.2000000000007</v>
      </c>
      <c r="F15" s="41">
        <f>SUMIFS(Waste[Weight (kg)],Waste[Quarter],F$10,Waste[Waste Composition],$B15)</f>
        <v>4390.2000000000007</v>
      </c>
      <c r="G15" s="41">
        <f>SUMIFS(Waste[Weight (kg)],Waste[Quarter],G$10,Waste[Waste Composition],$B15)</f>
        <v>4405.1000000000004</v>
      </c>
      <c r="I15" s="194">
        <f t="shared" si="0"/>
        <v>8</v>
      </c>
      <c r="J15" s="58" t="s">
        <v>371</v>
      </c>
      <c r="K15" s="194" t="str">
        <f>IF(Waste[[#This Row],[Month]]&lt;&gt;"",VLOOKUP(Waste[[#This Row],[Month]], dropdown!$S$4:$T$15, 2, FALSE),"")</f>
        <v>Q2</v>
      </c>
      <c r="L15" s="57" t="s">
        <v>317</v>
      </c>
      <c r="M15" s="29">
        <v>1463.4</v>
      </c>
      <c r="N15" s="57" t="s">
        <v>364</v>
      </c>
      <c r="O15" s="195" t="s">
        <v>1443</v>
      </c>
    </row>
    <row r="16" spans="2:17" x14ac:dyDescent="0.2">
      <c r="B16" s="17" t="str">
        <f>dropdown!$B9</f>
        <v>Residual/Landfill</v>
      </c>
      <c r="C16" s="17" t="s">
        <v>283</v>
      </c>
      <c r="D16" s="41">
        <f>SUMIFS(Waste[Weight (kg)],Waste[Quarter],D$10,Waste[Waste Composition],$B16)</f>
        <v>18000</v>
      </c>
      <c r="E16" s="41">
        <f>SUMIFS(Waste[Weight (kg)],Waste[Quarter],E$10,Waste[Waste Composition],$B16)</f>
        <v>18000</v>
      </c>
      <c r="F16" s="41">
        <f>SUMIFS(Waste[Weight (kg)],Waste[Quarter],F$10,Waste[Waste Composition],$B16)</f>
        <v>18000</v>
      </c>
      <c r="G16" s="41">
        <f>SUMIFS(Waste[Weight (kg)],Waste[Quarter],G$10,Waste[Waste Composition],$B16)</f>
        <v>18000</v>
      </c>
      <c r="I16" s="194">
        <f t="shared" si="0"/>
        <v>9</v>
      </c>
      <c r="J16" s="58" t="s">
        <v>379</v>
      </c>
      <c r="K16" s="194" t="str">
        <f>IF(Waste[[#This Row],[Month]]&lt;&gt;"",VLOOKUP(Waste[[#This Row],[Month]], dropdown!$S$4:$T$15, 2, FALSE),"")</f>
        <v>Q2</v>
      </c>
      <c r="L16" s="57" t="s">
        <v>383</v>
      </c>
      <c r="M16" s="29">
        <v>6000</v>
      </c>
      <c r="N16" s="57" t="s">
        <v>313</v>
      </c>
      <c r="O16" s="195" t="s">
        <v>1444</v>
      </c>
    </row>
    <row r="17" spans="2:15" x14ac:dyDescent="0.2">
      <c r="I17" s="194">
        <f t="shared" si="0"/>
        <v>10</v>
      </c>
      <c r="J17" s="58" t="s">
        <v>379</v>
      </c>
      <c r="K17" s="194" t="str">
        <f>IF(Waste[[#This Row],[Month]]&lt;&gt;"",VLOOKUP(Waste[[#This Row],[Month]], dropdown!$S$4:$T$15, 2, FALSE),"")</f>
        <v>Q2</v>
      </c>
      <c r="L17" s="57" t="s">
        <v>317</v>
      </c>
      <c r="M17" s="29">
        <v>1463.4</v>
      </c>
      <c r="N17" s="57" t="s">
        <v>364</v>
      </c>
      <c r="O17" s="195" t="s">
        <v>1443</v>
      </c>
    </row>
    <row r="18" spans="2:15" x14ac:dyDescent="0.2">
      <c r="B18" s="267" t="s">
        <v>38</v>
      </c>
      <c r="I18" s="194">
        <f t="shared" si="0"/>
        <v>11</v>
      </c>
      <c r="J18" s="58" t="s">
        <v>386</v>
      </c>
      <c r="K18" s="194" t="str">
        <f>IF(Waste[[#This Row],[Month]]&lt;&gt;"",VLOOKUP(Waste[[#This Row],[Month]], dropdown!$S$4:$T$15, 2, FALSE),"")</f>
        <v>Q2</v>
      </c>
      <c r="L18" s="57" t="s">
        <v>383</v>
      </c>
      <c r="M18" s="29">
        <v>6000</v>
      </c>
      <c r="N18" s="57" t="s">
        <v>313</v>
      </c>
      <c r="O18" s="195" t="s">
        <v>1444</v>
      </c>
    </row>
    <row r="19" spans="2:15" x14ac:dyDescent="0.2">
      <c r="B19" s="268" t="s">
        <v>175</v>
      </c>
      <c r="I19" s="194">
        <f t="shared" ref="I19" si="1">IF($J19="","",$I18+1)</f>
        <v>12</v>
      </c>
      <c r="J19" s="58" t="s">
        <v>386</v>
      </c>
      <c r="K19" s="194" t="str">
        <f>IF(Waste[[#This Row],[Month]]&lt;&gt;"",VLOOKUP(Waste[[#This Row],[Month]], dropdown!$S$4:$T$15, 2, FALSE),"")</f>
        <v>Q2</v>
      </c>
      <c r="L19" s="57" t="s">
        <v>317</v>
      </c>
      <c r="M19" s="29">
        <v>1463.4</v>
      </c>
      <c r="N19" s="57" t="s">
        <v>364</v>
      </c>
      <c r="O19" s="195" t="s">
        <v>1443</v>
      </c>
    </row>
    <row r="20" spans="2:15" x14ac:dyDescent="0.2">
      <c r="B20" s="266" t="s">
        <v>176</v>
      </c>
      <c r="I20" s="194">
        <f t="shared" si="0"/>
        <v>13</v>
      </c>
      <c r="J20" s="58" t="s">
        <v>390</v>
      </c>
      <c r="K20" s="194" t="str">
        <f>IF(Waste[[#This Row],[Month]]&lt;&gt;"",VLOOKUP(Waste[[#This Row],[Month]], dropdown!$S$4:$T$15, 2, FALSE),"")</f>
        <v>Q3</v>
      </c>
      <c r="L20" s="57" t="s">
        <v>383</v>
      </c>
      <c r="M20" s="29">
        <v>6000</v>
      </c>
      <c r="N20" s="57" t="s">
        <v>313</v>
      </c>
      <c r="O20" s="195" t="s">
        <v>1444</v>
      </c>
    </row>
    <row r="21" spans="2:15" x14ac:dyDescent="0.2">
      <c r="B21" s="17" t="s">
        <v>177</v>
      </c>
      <c r="I21" s="194">
        <f t="shared" si="0"/>
        <v>14</v>
      </c>
      <c r="J21" s="58" t="s">
        <v>390</v>
      </c>
      <c r="K21" s="194" t="str">
        <f>IF(Waste[[#This Row],[Month]]&lt;&gt;"",VLOOKUP(Waste[[#This Row],[Month]], dropdown!$S$4:$T$15, 2, FALSE),"")</f>
        <v>Q3</v>
      </c>
      <c r="L21" s="57" t="s">
        <v>317</v>
      </c>
      <c r="M21" s="29">
        <v>1463.4</v>
      </c>
      <c r="N21" s="57" t="s">
        <v>364</v>
      </c>
      <c r="O21" s="195" t="s">
        <v>1443</v>
      </c>
    </row>
    <row r="22" spans="2:15" x14ac:dyDescent="0.2">
      <c r="I22" s="194">
        <f t="shared" si="0"/>
        <v>15</v>
      </c>
      <c r="J22" s="58" t="s">
        <v>41</v>
      </c>
      <c r="K22" s="194" t="str">
        <f>IF(Waste[[#This Row],[Month]]&lt;&gt;"",VLOOKUP(Waste[[#This Row],[Month]], dropdown!$S$4:$T$15, 2, FALSE),"")</f>
        <v>Q3</v>
      </c>
      <c r="L22" s="57" t="s">
        <v>383</v>
      </c>
      <c r="M22" s="29">
        <v>6000</v>
      </c>
      <c r="N22" s="57" t="s">
        <v>313</v>
      </c>
      <c r="O22" s="195" t="s">
        <v>1444</v>
      </c>
    </row>
    <row r="23" spans="2:15" x14ac:dyDescent="0.2">
      <c r="I23" s="194">
        <f t="shared" si="0"/>
        <v>16</v>
      </c>
      <c r="J23" s="58" t="s">
        <v>41</v>
      </c>
      <c r="K23" s="194" t="str">
        <f>IF(Waste[[#This Row],[Month]]&lt;&gt;"",VLOOKUP(Waste[[#This Row],[Month]], dropdown!$S$4:$T$15, 2, FALSE),"")</f>
        <v>Q3</v>
      </c>
      <c r="L23" s="57" t="s">
        <v>317</v>
      </c>
      <c r="M23" s="29">
        <v>1463.4</v>
      </c>
      <c r="N23" s="57" t="s">
        <v>364</v>
      </c>
      <c r="O23" s="195" t="s">
        <v>1443</v>
      </c>
    </row>
    <row r="24" spans="2:15" x14ac:dyDescent="0.2">
      <c r="I24" s="194">
        <f t="shared" si="0"/>
        <v>17</v>
      </c>
      <c r="J24" s="58" t="s">
        <v>397</v>
      </c>
      <c r="K24" s="194" t="str">
        <f>IF(Waste[[#This Row],[Month]]&lt;&gt;"",VLOOKUP(Waste[[#This Row],[Month]], dropdown!$S$4:$T$15, 2, FALSE),"")</f>
        <v>Q3</v>
      </c>
      <c r="L24" s="57" t="s">
        <v>383</v>
      </c>
      <c r="M24" s="29">
        <v>6000</v>
      </c>
      <c r="N24" s="57" t="s">
        <v>313</v>
      </c>
      <c r="O24" s="195" t="s">
        <v>1444</v>
      </c>
    </row>
    <row r="25" spans="2:15" x14ac:dyDescent="0.2">
      <c r="I25" s="194">
        <f t="shared" si="0"/>
        <v>18</v>
      </c>
      <c r="J25" s="58" t="s">
        <v>397</v>
      </c>
      <c r="K25" s="194" t="str">
        <f>IF(Waste[[#This Row],[Month]]&lt;&gt;"",VLOOKUP(Waste[[#This Row],[Month]], dropdown!$S$4:$T$15, 2, FALSE),"")</f>
        <v>Q3</v>
      </c>
      <c r="L25" s="57" t="s">
        <v>317</v>
      </c>
      <c r="M25" s="29">
        <v>1463.4</v>
      </c>
      <c r="N25" s="57" t="s">
        <v>364</v>
      </c>
      <c r="O25" s="195" t="s">
        <v>1443</v>
      </c>
    </row>
    <row r="26" spans="2:15" x14ac:dyDescent="0.2">
      <c r="I26" s="194">
        <f t="shared" si="0"/>
        <v>19</v>
      </c>
      <c r="J26" s="58" t="s">
        <v>400</v>
      </c>
      <c r="K26" s="194" t="str">
        <f>IF(Waste[[#This Row],[Month]]&lt;&gt;"",VLOOKUP(Waste[[#This Row],[Month]], dropdown!$S$4:$T$15, 2, FALSE),"")</f>
        <v>Q4</v>
      </c>
      <c r="L26" s="57" t="s">
        <v>383</v>
      </c>
      <c r="M26" s="29">
        <v>6000</v>
      </c>
      <c r="N26" s="57" t="s">
        <v>313</v>
      </c>
      <c r="O26" s="195" t="s">
        <v>1444</v>
      </c>
    </row>
    <row r="27" spans="2:15" x14ac:dyDescent="0.2">
      <c r="I27" s="194">
        <f t="shared" si="0"/>
        <v>20</v>
      </c>
      <c r="J27" s="58" t="s">
        <v>400</v>
      </c>
      <c r="K27" s="194" t="str">
        <f>IF(Waste[[#This Row],[Month]]&lt;&gt;"",VLOOKUP(Waste[[#This Row],[Month]], dropdown!$S$4:$T$15, 2, FALSE),"")</f>
        <v>Q4</v>
      </c>
      <c r="L27" s="57" t="s">
        <v>317</v>
      </c>
      <c r="M27" s="29">
        <v>1463.4</v>
      </c>
      <c r="N27" s="57" t="s">
        <v>364</v>
      </c>
      <c r="O27" s="195" t="s">
        <v>1443</v>
      </c>
    </row>
    <row r="28" spans="2:15" x14ac:dyDescent="0.2">
      <c r="I28" s="194">
        <f t="shared" si="0"/>
        <v>21</v>
      </c>
      <c r="J28" s="58" t="s">
        <v>404</v>
      </c>
      <c r="K28" s="194" t="str">
        <f>IF(Waste[[#This Row],[Month]]&lt;&gt;"",VLOOKUP(Waste[[#This Row],[Month]], dropdown!$S$4:$T$15, 2, FALSE),"")</f>
        <v>Q4</v>
      </c>
      <c r="L28" s="57" t="s">
        <v>383</v>
      </c>
      <c r="M28" s="29">
        <v>6000</v>
      </c>
      <c r="N28" s="57" t="s">
        <v>313</v>
      </c>
      <c r="O28" s="195" t="s">
        <v>1444</v>
      </c>
    </row>
    <row r="29" spans="2:15" x14ac:dyDescent="0.2">
      <c r="I29" s="194">
        <f t="shared" si="0"/>
        <v>22</v>
      </c>
      <c r="J29" s="58" t="s">
        <v>404</v>
      </c>
      <c r="K29" s="194" t="str">
        <f>IF(Waste[[#This Row],[Month]]&lt;&gt;"",VLOOKUP(Waste[[#This Row],[Month]], dropdown!$S$4:$T$15, 2, FALSE),"")</f>
        <v>Q4</v>
      </c>
      <c r="L29" s="57" t="s">
        <v>317</v>
      </c>
      <c r="M29" s="29">
        <v>1463.4</v>
      </c>
      <c r="N29" s="57" t="s">
        <v>364</v>
      </c>
      <c r="O29" s="195" t="s">
        <v>1443</v>
      </c>
    </row>
    <row r="30" spans="2:15" x14ac:dyDescent="0.2">
      <c r="I30" s="194">
        <f t="shared" si="0"/>
        <v>23</v>
      </c>
      <c r="J30" s="58" t="s">
        <v>407</v>
      </c>
      <c r="K30" s="194" t="str">
        <f>IF(Waste[[#This Row],[Month]]&lt;&gt;"",VLOOKUP(Waste[[#This Row],[Month]], dropdown!$S$4:$T$15, 2, FALSE),"")</f>
        <v>Q4</v>
      </c>
      <c r="L30" s="57" t="s">
        <v>383</v>
      </c>
      <c r="M30" s="29">
        <v>6000</v>
      </c>
      <c r="N30" s="57" t="s">
        <v>313</v>
      </c>
      <c r="O30" s="195" t="s">
        <v>1444</v>
      </c>
    </row>
    <row r="31" spans="2:15" x14ac:dyDescent="0.2">
      <c r="I31" s="194">
        <f t="shared" si="0"/>
        <v>24</v>
      </c>
      <c r="J31" s="58" t="s">
        <v>407</v>
      </c>
      <c r="K31" s="194" t="str">
        <f>IF(Waste[[#This Row],[Month]]&lt;&gt;"",VLOOKUP(Waste[[#This Row],[Month]], dropdown!$S$4:$T$15, 2, FALSE),"")</f>
        <v>Q4</v>
      </c>
      <c r="L31" s="57" t="s">
        <v>317</v>
      </c>
      <c r="M31" s="29">
        <v>1478.3</v>
      </c>
      <c r="N31" s="57" t="s">
        <v>364</v>
      </c>
      <c r="O31" s="195" t="s">
        <v>1443</v>
      </c>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Legazpi Branch</v>
      </c>
      <c r="E6" s="461" t="s">
        <v>284</v>
      </c>
      <c r="F6" s="461"/>
      <c r="G6" s="461"/>
      <c r="H6" s="461"/>
      <c r="I6" s="461"/>
      <c r="J6" s="461"/>
      <c r="K6" s="461"/>
      <c r="L6" s="461"/>
      <c r="M6" s="461"/>
      <c r="N6" s="461"/>
      <c r="O6" s="461"/>
      <c r="P6" s="461"/>
      <c r="Q6" s="461"/>
    </row>
    <row r="7" spans="2:17" ht="20" customHeight="1" x14ac:dyDescent="0.2">
      <c r="B7" s="70" t="s">
        <v>12</v>
      </c>
      <c r="C7" s="59">
        <f>'1. Data Info and Summary'!$D$3</f>
        <v>2024</v>
      </c>
      <c r="E7" s="461"/>
      <c r="F7" s="461"/>
      <c r="G7" s="461"/>
      <c r="H7" s="461"/>
      <c r="I7" s="461"/>
      <c r="J7" s="461"/>
      <c r="K7" s="461"/>
      <c r="L7" s="461"/>
      <c r="M7" s="461"/>
      <c r="N7" s="461"/>
      <c r="O7" s="461"/>
      <c r="P7" s="461"/>
      <c r="Q7" s="461"/>
    </row>
    <row r="8" spans="2:17" ht="20" customHeight="1" x14ac:dyDescent="0.2">
      <c r="B8" s="71"/>
    </row>
    <row r="9" spans="2:17" x14ac:dyDescent="0.2">
      <c r="C9" s="53"/>
      <c r="E9" s="463" t="s">
        <v>285</v>
      </c>
      <c r="F9" s="463"/>
      <c r="G9" s="463"/>
      <c r="H9" s="463"/>
      <c r="I9" s="463"/>
      <c r="J9" s="463"/>
      <c r="L9" s="463" t="s">
        <v>286</v>
      </c>
      <c r="M9" s="463"/>
      <c r="N9" s="463"/>
      <c r="O9" s="463"/>
      <c r="P9" s="463"/>
      <c r="Q9" s="463"/>
    </row>
    <row r="10" spans="2:17" ht="8" customHeight="1" x14ac:dyDescent="0.2">
      <c r="B10" s="71"/>
    </row>
    <row r="11" spans="2:17" x14ac:dyDescent="0.2">
      <c r="E11" s="462" t="s">
        <v>287</v>
      </c>
      <c r="F11" s="462"/>
      <c r="G11" s="462"/>
      <c r="H11" s="462"/>
      <c r="I11" s="462"/>
      <c r="J11" s="462"/>
      <c r="L11" s="462" t="s">
        <v>288</v>
      </c>
      <c r="M11" s="462"/>
      <c r="N11" s="462"/>
      <c r="O11" s="462"/>
      <c r="P11" s="462"/>
      <c r="Q11" s="462"/>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3378</v>
      </c>
      <c r="G13" s="73" t="str">
        <f>'1. Data Info and Summary'!$D18</f>
        <v>Liters</v>
      </c>
      <c r="I13" s="76">
        <f>VLOOKUP($E13,Emission_Factors!$A$1:$G$20,5,FALSE)</f>
        <v>2.68</v>
      </c>
      <c r="J13" s="141">
        <f>F13*I13</f>
        <v>9053.0400000000009</v>
      </c>
      <c r="L13" s="73" t="s">
        <v>155</v>
      </c>
      <c r="M13" s="78">
        <f>SUM('2.3a Electricity'!$D$12:$G$12)</f>
        <v>444323</v>
      </c>
      <c r="N13" s="73" t="str">
        <f>'2.3a Electricity'!$C$12</f>
        <v>Kilowatt-hour</v>
      </c>
      <c r="P13" s="76">
        <f>VLOOKUP($L13,Emission_Factors!$A$1:$G$20,5,FALSE)</f>
        <v>0.56000000000000005</v>
      </c>
      <c r="Q13" s="141">
        <f>M13*P13</f>
        <v>248820.88000000003</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9053.0400000000009</v>
      </c>
    </row>
    <row r="20" spans="5:10" x14ac:dyDescent="0.2">
      <c r="E20" s="462" t="s">
        <v>293</v>
      </c>
      <c r="F20" s="462"/>
      <c r="G20" s="462"/>
      <c r="H20" s="462"/>
      <c r="I20" s="462"/>
      <c r="J20" s="462"/>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2905.3399999999997</v>
      </c>
      <c r="G22" s="73" t="str">
        <f>'1. Data Info and Summary'!$D26</f>
        <v>Liters</v>
      </c>
      <c r="I22" s="76">
        <f>VLOOKUP($E22,Emission_Factors!$A$1:$G$20,5,FALSE)</f>
        <v>2.68</v>
      </c>
      <c r="J22" s="141">
        <f>F22*I22</f>
        <v>7786.3111999999992</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7786.3111999999992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6.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384.53999999999996</v>
      </c>
      <c r="D33" s="337">
        <v>80.86</v>
      </c>
      <c r="E33" s="337">
        <v>207.51999999999998</v>
      </c>
      <c r="F33" s="337">
        <v>51.85</v>
      </c>
      <c r="G33" s="337">
        <v>724.77</v>
      </c>
      <c r="I33" s="20"/>
      <c r="J33" s="20"/>
      <c r="K33" s="21"/>
      <c r="L33" s="21"/>
      <c r="M33" s="22"/>
      <c r="N33" s="22"/>
      <c r="O33" s="11"/>
      <c r="P33" s="22"/>
      <c r="Q33" s="20"/>
      <c r="R33" s="20"/>
      <c r="S33" s="44"/>
    </row>
    <row r="34" spans="1:19" outlineLevel="1" x14ac:dyDescent="0.2">
      <c r="A34" s="203" t="s">
        <v>63</v>
      </c>
      <c r="B34" s="337"/>
      <c r="C34" s="337">
        <v>384.53999999999996</v>
      </c>
      <c r="D34" s="337">
        <v>80.86</v>
      </c>
      <c r="E34" s="337">
        <v>207.51999999999998</v>
      </c>
      <c r="F34" s="337">
        <v>51.85</v>
      </c>
      <c r="G34" s="337">
        <v>724.77</v>
      </c>
      <c r="I34" s="20"/>
      <c r="J34" s="20"/>
      <c r="K34" s="21"/>
      <c r="L34" s="21"/>
      <c r="M34" s="22"/>
      <c r="N34" s="22"/>
      <c r="O34" s="11"/>
      <c r="P34" s="22"/>
      <c r="Q34" s="20"/>
      <c r="R34" s="20"/>
      <c r="S34" s="44"/>
    </row>
    <row r="35" spans="1:19" outlineLevel="1" x14ac:dyDescent="0.2">
      <c r="A35" s="19" t="s">
        <v>365</v>
      </c>
      <c r="B35" s="337"/>
      <c r="C35" s="337">
        <v>274.89999999999998</v>
      </c>
      <c r="D35" s="337">
        <v>199.36</v>
      </c>
      <c r="E35" s="337">
        <v>354.07</v>
      </c>
      <c r="F35" s="337">
        <v>288.01</v>
      </c>
      <c r="G35" s="337">
        <v>1116.3399999999999</v>
      </c>
      <c r="I35" s="20"/>
      <c r="J35" s="20"/>
      <c r="K35" s="21"/>
      <c r="L35" s="21"/>
      <c r="M35" s="22"/>
      <c r="N35" s="22"/>
      <c r="O35" s="11"/>
      <c r="P35" s="22"/>
      <c r="Q35" s="20"/>
      <c r="R35" s="20"/>
      <c r="S35" s="44"/>
    </row>
    <row r="36" spans="1:19" outlineLevel="1" x14ac:dyDescent="0.2">
      <c r="A36" s="203" t="s">
        <v>63</v>
      </c>
      <c r="B36" s="337"/>
      <c r="C36" s="337">
        <v>274.89999999999998</v>
      </c>
      <c r="D36" s="337">
        <v>199.36</v>
      </c>
      <c r="E36" s="337">
        <v>354.07</v>
      </c>
      <c r="F36" s="337">
        <v>288.01</v>
      </c>
      <c r="G36" s="337">
        <v>1116.3399999999999</v>
      </c>
      <c r="H36" s="12"/>
      <c r="I36" s="20"/>
      <c r="J36" s="20"/>
      <c r="K36" s="21"/>
      <c r="L36" s="21"/>
      <c r="M36" s="22"/>
      <c r="N36" s="22"/>
      <c r="O36" s="11"/>
      <c r="P36" s="22"/>
      <c r="Q36" s="20"/>
      <c r="R36" s="20"/>
      <c r="S36" s="44"/>
    </row>
    <row r="37" spans="1:19" outlineLevel="1" x14ac:dyDescent="0.2">
      <c r="A37" s="19" t="s">
        <v>381</v>
      </c>
      <c r="B37" s="337"/>
      <c r="C37" s="337">
        <v>229.9</v>
      </c>
      <c r="D37" s="337">
        <v>250.14</v>
      </c>
      <c r="E37" s="337">
        <v>255.85</v>
      </c>
      <c r="F37" s="337">
        <v>328.34000000000003</v>
      </c>
      <c r="G37" s="337">
        <v>1064.23</v>
      </c>
      <c r="H37" s="12"/>
      <c r="I37" s="20"/>
      <c r="J37" s="20"/>
      <c r="K37" s="21"/>
      <c r="L37" s="21"/>
      <c r="M37" s="22"/>
      <c r="N37" s="22"/>
      <c r="O37" s="11"/>
      <c r="P37" s="22"/>
      <c r="Q37" s="20"/>
      <c r="R37" s="20"/>
      <c r="S37" s="44"/>
    </row>
    <row r="38" spans="1:19" outlineLevel="1" x14ac:dyDescent="0.2">
      <c r="A38" s="203" t="s">
        <v>63</v>
      </c>
      <c r="B38" s="337"/>
      <c r="C38" s="337">
        <v>229.9</v>
      </c>
      <c r="D38" s="337">
        <v>250.14</v>
      </c>
      <c r="E38" s="337">
        <v>255.85</v>
      </c>
      <c r="F38" s="337">
        <v>328.34000000000003</v>
      </c>
      <c r="G38" s="337">
        <v>1064.23</v>
      </c>
      <c r="H38" s="12"/>
      <c r="I38" s="20"/>
      <c r="J38" s="20"/>
      <c r="K38" s="21"/>
      <c r="L38" s="21"/>
      <c r="M38" s="22"/>
      <c r="N38" s="22"/>
      <c r="O38" s="11"/>
      <c r="P38" s="22"/>
      <c r="Q38" s="20"/>
      <c r="R38" s="20"/>
      <c r="S38" s="44"/>
    </row>
    <row r="39" spans="1:19" outlineLevel="1" x14ac:dyDescent="0.2">
      <c r="A39" s="19" t="s">
        <v>297</v>
      </c>
      <c r="B39" s="337"/>
      <c r="C39" s="337">
        <v>889.33999999999992</v>
      </c>
      <c r="D39" s="337">
        <v>530.36</v>
      </c>
      <c r="E39" s="337">
        <v>817.43999999999994</v>
      </c>
      <c r="F39" s="337">
        <v>668.2</v>
      </c>
      <c r="G39" s="337">
        <v>2905.34</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072"/>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45910.665416666663</v>
      </c>
      <c r="B927" t="s">
        <v>1437</v>
      </c>
      <c r="C927" t="s">
        <v>597</v>
      </c>
      <c r="D927" t="s">
        <v>1438</v>
      </c>
      <c r="E927" t="s">
        <v>39</v>
      </c>
    </row>
    <row r="928" spans="1:5" x14ac:dyDescent="0.2">
      <c r="A928" s="269">
        <v>45910.665625000001</v>
      </c>
      <c r="B928" t="s">
        <v>1437</v>
      </c>
      <c r="C928" t="s">
        <v>28</v>
      </c>
      <c r="D928" t="s">
        <v>1439</v>
      </c>
      <c r="E928" t="s">
        <v>317</v>
      </c>
    </row>
    <row r="929" spans="1:5" x14ac:dyDescent="0.2">
      <c r="A929" s="269">
        <v>45910.665763888886</v>
      </c>
      <c r="B929" t="s">
        <v>1437</v>
      </c>
      <c r="C929" t="s">
        <v>28</v>
      </c>
      <c r="D929" t="s">
        <v>677</v>
      </c>
      <c r="E929" t="s">
        <v>338</v>
      </c>
    </row>
    <row r="930" spans="1:5" x14ac:dyDescent="0.2">
      <c r="A930" s="269">
        <v>45910.672060185185</v>
      </c>
      <c r="B930" t="s">
        <v>1437</v>
      </c>
      <c r="C930" t="s">
        <v>28</v>
      </c>
      <c r="D930" t="s">
        <v>678</v>
      </c>
      <c r="E930" t="s">
        <v>338</v>
      </c>
    </row>
    <row r="931" spans="1:5" x14ac:dyDescent="0.2">
      <c r="A931" s="269">
        <v>45910.672118055554</v>
      </c>
      <c r="B931" t="s">
        <v>1437</v>
      </c>
      <c r="C931" t="s">
        <v>28</v>
      </c>
      <c r="D931" t="s">
        <v>1191</v>
      </c>
      <c r="E931" t="s">
        <v>338</v>
      </c>
    </row>
    <row r="932" spans="1:5" x14ac:dyDescent="0.2">
      <c r="A932" s="269">
        <v>45910.672199074077</v>
      </c>
      <c r="B932" t="s">
        <v>1437</v>
      </c>
      <c r="C932" t="s">
        <v>28</v>
      </c>
      <c r="D932" t="s">
        <v>1066</v>
      </c>
      <c r="E932" t="s">
        <v>317</v>
      </c>
    </row>
    <row r="933" spans="1:5" x14ac:dyDescent="0.2">
      <c r="A933" s="269">
        <v>45910.672303240739</v>
      </c>
      <c r="B933" t="s">
        <v>1437</v>
      </c>
      <c r="C933" t="s">
        <v>28</v>
      </c>
      <c r="D933" t="s">
        <v>973</v>
      </c>
      <c r="E933">
        <v>0</v>
      </c>
    </row>
    <row r="934" spans="1:5" x14ac:dyDescent="0.2">
      <c r="A934" s="269">
        <v>45910.672395833331</v>
      </c>
      <c r="B934" t="s">
        <v>1437</v>
      </c>
      <c r="C934" t="s">
        <v>28</v>
      </c>
      <c r="D934" t="s">
        <v>926</v>
      </c>
      <c r="E934" t="s">
        <v>364</v>
      </c>
    </row>
    <row r="935" spans="1:5" x14ac:dyDescent="0.2">
      <c r="A935" s="269">
        <v>45910.672476851854</v>
      </c>
      <c r="B935" t="s">
        <v>1437</v>
      </c>
      <c r="C935" t="s">
        <v>28</v>
      </c>
      <c r="D935" t="s">
        <v>1191</v>
      </c>
      <c r="E935" t="s">
        <v>89</v>
      </c>
    </row>
    <row r="936" spans="1:5" x14ac:dyDescent="0.2">
      <c r="A936" s="269">
        <v>45910.672523148147</v>
      </c>
      <c r="B936" t="s">
        <v>1437</v>
      </c>
      <c r="C936" t="s">
        <v>28</v>
      </c>
      <c r="D936" t="s">
        <v>1191</v>
      </c>
      <c r="E936" t="s">
        <v>338</v>
      </c>
    </row>
    <row r="937" spans="1:5" x14ac:dyDescent="0.2">
      <c r="A937" s="269">
        <v>45910.686608796299</v>
      </c>
      <c r="B937" t="s">
        <v>1437</v>
      </c>
      <c r="C937" t="s">
        <v>28</v>
      </c>
      <c r="D937" t="s">
        <v>1441</v>
      </c>
      <c r="E937" t="s">
        <v>1440</v>
      </c>
    </row>
    <row r="938" spans="1:5" x14ac:dyDescent="0.2">
      <c r="A938" s="269">
        <v>45910.686747685184</v>
      </c>
      <c r="B938" t="s">
        <v>1437</v>
      </c>
      <c r="C938" t="s">
        <v>28</v>
      </c>
      <c r="D938" t="s">
        <v>1441</v>
      </c>
      <c r="E938" t="s">
        <v>1442</v>
      </c>
    </row>
    <row r="939" spans="1:5" x14ac:dyDescent="0.2">
      <c r="A939" s="269">
        <v>45910.686851851853</v>
      </c>
      <c r="B939" t="s">
        <v>1437</v>
      </c>
      <c r="C939" t="s">
        <v>28</v>
      </c>
      <c r="D939" t="s">
        <v>795</v>
      </c>
      <c r="E939" t="s">
        <v>89</v>
      </c>
    </row>
    <row r="940" spans="1:5" x14ac:dyDescent="0.2">
      <c r="A940" s="269">
        <v>45910.686909722222</v>
      </c>
      <c r="B940" t="s">
        <v>1437</v>
      </c>
      <c r="C940" t="s">
        <v>28</v>
      </c>
      <c r="D940" t="s">
        <v>1013</v>
      </c>
      <c r="E940" t="s">
        <v>362</v>
      </c>
    </row>
    <row r="941" spans="1:5" x14ac:dyDescent="0.2">
      <c r="A941" s="269">
        <v>45910.686944444446</v>
      </c>
      <c r="B941" t="s">
        <v>1437</v>
      </c>
      <c r="C941" t="s">
        <v>28</v>
      </c>
      <c r="D941" t="s">
        <v>1013</v>
      </c>
      <c r="E941" t="s">
        <v>89</v>
      </c>
    </row>
    <row r="942" spans="1:5" x14ac:dyDescent="0.2">
      <c r="A942" s="269">
        <v>45910.687037037038</v>
      </c>
      <c r="B942" t="s">
        <v>1437</v>
      </c>
      <c r="C942" t="s">
        <v>28</v>
      </c>
      <c r="D942" t="s">
        <v>1015</v>
      </c>
      <c r="E942" t="s">
        <v>317</v>
      </c>
    </row>
    <row r="943" spans="1:5" x14ac:dyDescent="0.2">
      <c r="A943" s="269">
        <v>45910.687071759261</v>
      </c>
      <c r="B943" t="s">
        <v>1437</v>
      </c>
      <c r="C943" t="s">
        <v>28</v>
      </c>
      <c r="D943" t="s">
        <v>983</v>
      </c>
      <c r="E943" t="s">
        <v>383</v>
      </c>
    </row>
    <row r="944" spans="1:5" x14ac:dyDescent="0.2">
      <c r="A944" s="269">
        <v>45910.687118055554</v>
      </c>
      <c r="B944" t="s">
        <v>1437</v>
      </c>
      <c r="C944" t="s">
        <v>28</v>
      </c>
      <c r="D944" t="s">
        <v>994</v>
      </c>
      <c r="E944" t="s">
        <v>383</v>
      </c>
    </row>
    <row r="945" spans="1:5" x14ac:dyDescent="0.2">
      <c r="A945" s="269">
        <v>45910.687199074076</v>
      </c>
      <c r="B945" t="s">
        <v>1437</v>
      </c>
      <c r="C945" t="s">
        <v>28</v>
      </c>
      <c r="D945" t="s">
        <v>977</v>
      </c>
      <c r="E945">
        <v>0</v>
      </c>
    </row>
    <row r="946" spans="1:5" x14ac:dyDescent="0.2">
      <c r="A946" s="269">
        <v>45910.687337962961</v>
      </c>
      <c r="B946" t="s">
        <v>1437</v>
      </c>
      <c r="C946" t="s">
        <v>28</v>
      </c>
      <c r="D946" t="s">
        <v>1441</v>
      </c>
      <c r="E946" t="s">
        <v>1443</v>
      </c>
    </row>
    <row r="947" spans="1:5" x14ac:dyDescent="0.2">
      <c r="A947" s="269">
        <v>45910.687534722223</v>
      </c>
      <c r="B947" t="s">
        <v>1437</v>
      </c>
      <c r="C947" t="s">
        <v>28</v>
      </c>
      <c r="D947" t="s">
        <v>658</v>
      </c>
      <c r="E947" t="s">
        <v>1444</v>
      </c>
    </row>
    <row r="948" spans="1:5" x14ac:dyDescent="0.2">
      <c r="A948" s="269">
        <v>45910.687615740739</v>
      </c>
      <c r="B948" t="s">
        <v>1437</v>
      </c>
      <c r="C948" t="s">
        <v>28</v>
      </c>
      <c r="D948" t="s">
        <v>973</v>
      </c>
      <c r="E948">
        <v>1463</v>
      </c>
    </row>
    <row r="949" spans="1:5" x14ac:dyDescent="0.2">
      <c r="A949" s="269">
        <v>45910.687696759262</v>
      </c>
      <c r="B949" t="s">
        <v>1437</v>
      </c>
      <c r="C949" t="s">
        <v>28</v>
      </c>
      <c r="D949" t="s">
        <v>747</v>
      </c>
      <c r="E949" t="s">
        <v>362</v>
      </c>
    </row>
    <row r="950" spans="1:5" x14ac:dyDescent="0.2">
      <c r="A950" s="269">
        <v>45910.687731481485</v>
      </c>
      <c r="B950" t="s">
        <v>1437</v>
      </c>
      <c r="C950" t="s">
        <v>28</v>
      </c>
      <c r="D950" t="s">
        <v>1445</v>
      </c>
      <c r="E950" t="s">
        <v>362</v>
      </c>
    </row>
    <row r="951" spans="1:5" x14ac:dyDescent="0.2">
      <c r="A951" s="269">
        <v>45910.687777777777</v>
      </c>
      <c r="B951" t="s">
        <v>1437</v>
      </c>
      <c r="C951" t="s">
        <v>28</v>
      </c>
      <c r="D951" t="s">
        <v>1018</v>
      </c>
      <c r="E951" t="s">
        <v>383</v>
      </c>
    </row>
    <row r="952" spans="1:5" x14ac:dyDescent="0.2">
      <c r="A952" s="269">
        <v>45910.687824074077</v>
      </c>
      <c r="B952" t="s">
        <v>1437</v>
      </c>
      <c r="C952" t="s">
        <v>28</v>
      </c>
      <c r="D952" t="s">
        <v>1068</v>
      </c>
      <c r="E952" t="s">
        <v>317</v>
      </c>
    </row>
    <row r="953" spans="1:5" x14ac:dyDescent="0.2">
      <c r="A953" s="269">
        <v>45910.687928240739</v>
      </c>
      <c r="B953" t="s">
        <v>1437</v>
      </c>
      <c r="C953" t="s">
        <v>28</v>
      </c>
      <c r="D953" t="s">
        <v>977</v>
      </c>
      <c r="E953">
        <v>1463</v>
      </c>
    </row>
    <row r="954" spans="1:5" x14ac:dyDescent="0.2">
      <c r="A954" s="269">
        <v>45910.688078703701</v>
      </c>
      <c r="B954" t="s">
        <v>1437</v>
      </c>
      <c r="C954" t="s">
        <v>28</v>
      </c>
      <c r="D954" t="s">
        <v>918</v>
      </c>
      <c r="E954">
        <v>1463</v>
      </c>
    </row>
    <row r="955" spans="1:5" x14ac:dyDescent="0.2">
      <c r="A955" s="269">
        <v>45910.688148148147</v>
      </c>
      <c r="B955" t="s">
        <v>1437</v>
      </c>
      <c r="C955" t="s">
        <v>28</v>
      </c>
      <c r="D955" t="s">
        <v>1446</v>
      </c>
      <c r="E955" t="s">
        <v>371</v>
      </c>
    </row>
    <row r="956" spans="1:5" x14ac:dyDescent="0.2">
      <c r="A956" s="269">
        <v>45910.68818287037</v>
      </c>
      <c r="B956" t="s">
        <v>1437</v>
      </c>
      <c r="C956" t="s">
        <v>28</v>
      </c>
      <c r="D956" t="s">
        <v>1447</v>
      </c>
      <c r="E956" t="s">
        <v>371</v>
      </c>
    </row>
    <row r="957" spans="1:5" x14ac:dyDescent="0.2">
      <c r="A957" s="269">
        <v>45910.688263888886</v>
      </c>
      <c r="B957" t="s">
        <v>1437</v>
      </c>
      <c r="C957" t="s">
        <v>28</v>
      </c>
      <c r="D957" t="s">
        <v>1069</v>
      </c>
      <c r="E957" t="s">
        <v>383</v>
      </c>
    </row>
    <row r="958" spans="1:5" x14ac:dyDescent="0.2">
      <c r="A958" s="269">
        <v>45910.688310185185</v>
      </c>
      <c r="B958" t="s">
        <v>1437</v>
      </c>
      <c r="C958" t="s">
        <v>28</v>
      </c>
      <c r="D958" t="s">
        <v>1448</v>
      </c>
      <c r="E958" t="s">
        <v>318</v>
      </c>
    </row>
    <row r="959" spans="1:5" x14ac:dyDescent="0.2">
      <c r="A959" s="269">
        <v>45910.688425925924</v>
      </c>
      <c r="B959" t="s">
        <v>1437</v>
      </c>
      <c r="C959" t="s">
        <v>28</v>
      </c>
      <c r="D959" t="s">
        <v>1449</v>
      </c>
      <c r="E959" t="s">
        <v>364</v>
      </c>
    </row>
    <row r="960" spans="1:5" x14ac:dyDescent="0.2">
      <c r="A960" s="269">
        <v>45910.688460648147</v>
      </c>
      <c r="B960" t="s">
        <v>1437</v>
      </c>
      <c r="C960" t="s">
        <v>28</v>
      </c>
      <c r="D960" t="s">
        <v>1450</v>
      </c>
      <c r="E960" t="s">
        <v>364</v>
      </c>
    </row>
    <row r="961" spans="1:5" x14ac:dyDescent="0.2">
      <c r="A961" s="269">
        <v>45910.688518518517</v>
      </c>
      <c r="B961" t="s">
        <v>1437</v>
      </c>
      <c r="C961" t="s">
        <v>28</v>
      </c>
      <c r="D961" t="s">
        <v>1451</v>
      </c>
      <c r="E961" t="s">
        <v>1444</v>
      </c>
    </row>
    <row r="962" spans="1:5" x14ac:dyDescent="0.2">
      <c r="A962" s="269">
        <v>45910.688576388886</v>
      </c>
      <c r="B962" t="s">
        <v>1437</v>
      </c>
      <c r="C962" t="s">
        <v>28</v>
      </c>
      <c r="D962" t="s">
        <v>1452</v>
      </c>
      <c r="E962" t="s">
        <v>1444</v>
      </c>
    </row>
    <row r="963" spans="1:5" x14ac:dyDescent="0.2">
      <c r="A963" s="269">
        <v>45910.688692129632</v>
      </c>
      <c r="B963" t="s">
        <v>1437</v>
      </c>
      <c r="C963" t="s">
        <v>28</v>
      </c>
      <c r="D963" t="s">
        <v>672</v>
      </c>
      <c r="E963" t="s">
        <v>379</v>
      </c>
    </row>
    <row r="964" spans="1:5" x14ac:dyDescent="0.2">
      <c r="A964" s="269">
        <v>45910.688726851855</v>
      </c>
      <c r="B964" t="s">
        <v>1437</v>
      </c>
      <c r="C964" t="s">
        <v>28</v>
      </c>
      <c r="D964" t="s">
        <v>674</v>
      </c>
      <c r="E964" t="s">
        <v>379</v>
      </c>
    </row>
    <row r="965" spans="1:5" x14ac:dyDescent="0.2">
      <c r="A965" s="269">
        <v>45910.688784722224</v>
      </c>
      <c r="B965" t="s">
        <v>1437</v>
      </c>
      <c r="C965" t="s">
        <v>28</v>
      </c>
      <c r="D965" t="s">
        <v>1453</v>
      </c>
      <c r="E965" t="s">
        <v>383</v>
      </c>
    </row>
    <row r="966" spans="1:5" x14ac:dyDescent="0.2">
      <c r="A966" s="269">
        <v>45910.688819444447</v>
      </c>
      <c r="B966" t="s">
        <v>1437</v>
      </c>
      <c r="C966" t="s">
        <v>28</v>
      </c>
      <c r="D966" t="s">
        <v>1454</v>
      </c>
      <c r="E966" t="s">
        <v>317</v>
      </c>
    </row>
    <row r="967" spans="1:5" x14ac:dyDescent="0.2">
      <c r="A967" s="269">
        <v>45910.688888888886</v>
      </c>
      <c r="B967" t="s">
        <v>1437</v>
      </c>
      <c r="C967" t="s">
        <v>28</v>
      </c>
      <c r="D967" t="s">
        <v>1455</v>
      </c>
      <c r="E967">
        <v>1463</v>
      </c>
    </row>
    <row r="968" spans="1:5" x14ac:dyDescent="0.2">
      <c r="A968" s="269">
        <v>45910.688969907409</v>
      </c>
      <c r="B968" t="s">
        <v>1437</v>
      </c>
      <c r="C968" t="s">
        <v>28</v>
      </c>
      <c r="D968" t="s">
        <v>981</v>
      </c>
      <c r="E968">
        <v>1463</v>
      </c>
    </row>
    <row r="969" spans="1:5" x14ac:dyDescent="0.2">
      <c r="A969" s="269">
        <v>45910.689016203702</v>
      </c>
      <c r="B969" t="s">
        <v>1437</v>
      </c>
      <c r="C969" t="s">
        <v>28</v>
      </c>
      <c r="D969" t="s">
        <v>1455</v>
      </c>
      <c r="E969">
        <v>6000</v>
      </c>
    </row>
    <row r="970" spans="1:5" x14ac:dyDescent="0.2">
      <c r="A970" s="269">
        <v>45910.689062500001</v>
      </c>
      <c r="B970" t="s">
        <v>1437</v>
      </c>
      <c r="C970" t="s">
        <v>28</v>
      </c>
      <c r="D970" t="s">
        <v>1456</v>
      </c>
      <c r="E970">
        <v>1463</v>
      </c>
    </row>
    <row r="971" spans="1:5" x14ac:dyDescent="0.2">
      <c r="A971" s="269">
        <v>45910.689363425925</v>
      </c>
      <c r="B971" t="s">
        <v>1437</v>
      </c>
      <c r="C971" t="s">
        <v>28</v>
      </c>
      <c r="D971" t="s">
        <v>1448</v>
      </c>
      <c r="E971" t="s">
        <v>317</v>
      </c>
    </row>
    <row r="972" spans="1:5" x14ac:dyDescent="0.2">
      <c r="A972" s="269">
        <v>45910.689432870371</v>
      </c>
      <c r="B972" t="s">
        <v>1437</v>
      </c>
      <c r="C972" t="s">
        <v>28</v>
      </c>
      <c r="D972" t="s">
        <v>1457</v>
      </c>
      <c r="E972" t="s">
        <v>383</v>
      </c>
    </row>
    <row r="973" spans="1:5" x14ac:dyDescent="0.2">
      <c r="A973" s="269">
        <v>45910.689467592594</v>
      </c>
      <c r="B973" t="s">
        <v>1437</v>
      </c>
      <c r="C973" t="s">
        <v>28</v>
      </c>
      <c r="D973" t="s">
        <v>1458</v>
      </c>
      <c r="E973" t="s">
        <v>317</v>
      </c>
    </row>
    <row r="974" spans="1:5" x14ac:dyDescent="0.2">
      <c r="A974" s="269">
        <v>45910.689525462964</v>
      </c>
      <c r="B974" t="s">
        <v>1437</v>
      </c>
      <c r="C974" t="s">
        <v>28</v>
      </c>
      <c r="D974" t="s">
        <v>675</v>
      </c>
      <c r="E974" t="s">
        <v>386</v>
      </c>
    </row>
    <row r="975" spans="1:5" x14ac:dyDescent="0.2">
      <c r="A975" s="269">
        <v>45910.689571759256</v>
      </c>
      <c r="B975" t="s">
        <v>1437</v>
      </c>
      <c r="C975" t="s">
        <v>28</v>
      </c>
      <c r="D975" t="s">
        <v>676</v>
      </c>
      <c r="E975" t="s">
        <v>386</v>
      </c>
    </row>
    <row r="976" spans="1:5" x14ac:dyDescent="0.2">
      <c r="A976" s="269">
        <v>45910.689629629633</v>
      </c>
      <c r="B976" t="s">
        <v>1437</v>
      </c>
      <c r="C976" t="s">
        <v>28</v>
      </c>
      <c r="D976" t="s">
        <v>677</v>
      </c>
      <c r="E976" t="s">
        <v>390</v>
      </c>
    </row>
    <row r="977" spans="1:5" x14ac:dyDescent="0.2">
      <c r="A977" s="269">
        <v>45910.689664351848</v>
      </c>
      <c r="B977" t="s">
        <v>1437</v>
      </c>
      <c r="C977" t="s">
        <v>28</v>
      </c>
      <c r="D977" t="s">
        <v>678</v>
      </c>
      <c r="E977" t="s">
        <v>390</v>
      </c>
    </row>
    <row r="978" spans="1:5" x14ac:dyDescent="0.2">
      <c r="A978" s="269">
        <v>45910.689756944441</v>
      </c>
      <c r="B978" t="s">
        <v>1437</v>
      </c>
      <c r="C978" t="s">
        <v>28</v>
      </c>
      <c r="D978" t="s">
        <v>1439</v>
      </c>
      <c r="E978" t="s">
        <v>383</v>
      </c>
    </row>
    <row r="979" spans="1:5" x14ac:dyDescent="0.2">
      <c r="A979" s="269">
        <v>45910.689803240741</v>
      </c>
      <c r="B979" t="s">
        <v>1437</v>
      </c>
      <c r="C979" t="s">
        <v>28</v>
      </c>
      <c r="D979" t="s">
        <v>1459</v>
      </c>
      <c r="E979" t="s">
        <v>317</v>
      </c>
    </row>
    <row r="980" spans="1:5" x14ac:dyDescent="0.2">
      <c r="A980" s="269">
        <v>45910.689930555556</v>
      </c>
      <c r="B980" t="s">
        <v>1437</v>
      </c>
      <c r="C980" t="s">
        <v>28</v>
      </c>
      <c r="D980" t="s">
        <v>1460</v>
      </c>
      <c r="E980">
        <v>1463</v>
      </c>
    </row>
    <row r="981" spans="1:5" x14ac:dyDescent="0.2">
      <c r="A981" s="269">
        <v>45910.689953703702</v>
      </c>
      <c r="B981" t="s">
        <v>1437</v>
      </c>
      <c r="C981" t="s">
        <v>28</v>
      </c>
      <c r="D981" t="s">
        <v>1461</v>
      </c>
      <c r="E981">
        <v>6000</v>
      </c>
    </row>
    <row r="982" spans="1:5" x14ac:dyDescent="0.2">
      <c r="A982" s="269">
        <v>45910.690034722225</v>
      </c>
      <c r="B982" t="s">
        <v>1437</v>
      </c>
      <c r="C982" t="s">
        <v>28</v>
      </c>
      <c r="D982" t="s">
        <v>1462</v>
      </c>
      <c r="E982" t="s">
        <v>1444</v>
      </c>
    </row>
    <row r="983" spans="1:5" x14ac:dyDescent="0.2">
      <c r="A983" s="269">
        <v>45910.690081018518</v>
      </c>
      <c r="B983" t="s">
        <v>1437</v>
      </c>
      <c r="C983" t="s">
        <v>28</v>
      </c>
      <c r="D983" t="s">
        <v>1463</v>
      </c>
      <c r="E983" t="s">
        <v>313</v>
      </c>
    </row>
    <row r="984" spans="1:5" x14ac:dyDescent="0.2">
      <c r="A984" s="269">
        <v>45910.690115740741</v>
      </c>
      <c r="B984" t="s">
        <v>1437</v>
      </c>
      <c r="C984" t="s">
        <v>28</v>
      </c>
      <c r="D984" t="s">
        <v>1464</v>
      </c>
      <c r="E984" t="s">
        <v>364</v>
      </c>
    </row>
    <row r="985" spans="1:5" x14ac:dyDescent="0.2">
      <c r="A985" s="269">
        <v>45910.690162037034</v>
      </c>
      <c r="B985" t="s">
        <v>1437</v>
      </c>
      <c r="C985" t="s">
        <v>28</v>
      </c>
      <c r="D985" t="s">
        <v>1465</v>
      </c>
      <c r="E985" t="s">
        <v>364</v>
      </c>
    </row>
    <row r="986" spans="1:5" x14ac:dyDescent="0.2">
      <c r="A986" s="269">
        <v>45910.690347222226</v>
      </c>
      <c r="B986" t="s">
        <v>1437</v>
      </c>
      <c r="C986" t="s">
        <v>28</v>
      </c>
      <c r="D986" t="s">
        <v>1466</v>
      </c>
      <c r="E986">
        <v>1463</v>
      </c>
    </row>
    <row r="987" spans="1:5" x14ac:dyDescent="0.2">
      <c r="A987" s="269">
        <v>45910.690381944441</v>
      </c>
      <c r="B987" t="s">
        <v>1437</v>
      </c>
      <c r="C987" t="s">
        <v>28</v>
      </c>
      <c r="D987" t="s">
        <v>981</v>
      </c>
      <c r="E987">
        <v>6000</v>
      </c>
    </row>
    <row r="988" spans="1:5" x14ac:dyDescent="0.2">
      <c r="A988" s="269">
        <v>45910.690416666665</v>
      </c>
      <c r="B988" t="s">
        <v>1437</v>
      </c>
      <c r="C988" t="s">
        <v>28</v>
      </c>
      <c r="D988" t="s">
        <v>1455</v>
      </c>
      <c r="E988">
        <v>1463</v>
      </c>
    </row>
    <row r="989" spans="1:5" x14ac:dyDescent="0.2">
      <c r="A989" s="269">
        <v>45910.690451388888</v>
      </c>
      <c r="B989" t="s">
        <v>1437</v>
      </c>
      <c r="C989" t="s">
        <v>28</v>
      </c>
      <c r="D989" t="s">
        <v>1456</v>
      </c>
      <c r="E989">
        <v>6000</v>
      </c>
    </row>
    <row r="990" spans="1:5" x14ac:dyDescent="0.2">
      <c r="A990" s="269">
        <v>45910.690474537034</v>
      </c>
      <c r="B990" t="s">
        <v>1437</v>
      </c>
      <c r="C990" t="s">
        <v>28</v>
      </c>
      <c r="D990" t="s">
        <v>1467</v>
      </c>
      <c r="E990">
        <v>1463</v>
      </c>
    </row>
    <row r="991" spans="1:5" x14ac:dyDescent="0.2">
      <c r="A991" s="269">
        <v>45910.690509259257</v>
      </c>
      <c r="B991" t="s">
        <v>1437</v>
      </c>
      <c r="C991" t="s">
        <v>28</v>
      </c>
      <c r="D991" t="s">
        <v>1460</v>
      </c>
      <c r="E991">
        <v>6000</v>
      </c>
    </row>
    <row r="992" spans="1:5" x14ac:dyDescent="0.2">
      <c r="A992" s="269">
        <v>45910.690532407411</v>
      </c>
      <c r="B992" t="s">
        <v>1437</v>
      </c>
      <c r="C992" t="s">
        <v>28</v>
      </c>
      <c r="D992" t="s">
        <v>1461</v>
      </c>
      <c r="E992">
        <v>1463</v>
      </c>
    </row>
    <row r="993" spans="1:5" x14ac:dyDescent="0.2">
      <c r="A993" s="269">
        <v>45910.690648148149</v>
      </c>
      <c r="B993" t="s">
        <v>1437</v>
      </c>
      <c r="C993" t="s">
        <v>28</v>
      </c>
      <c r="D993" t="s">
        <v>1468</v>
      </c>
      <c r="E993" t="s">
        <v>364</v>
      </c>
    </row>
    <row r="994" spans="1:5" x14ac:dyDescent="0.2">
      <c r="A994" s="269">
        <v>45910.690694444442</v>
      </c>
      <c r="B994" t="s">
        <v>1437</v>
      </c>
      <c r="C994" t="s">
        <v>28</v>
      </c>
      <c r="D994" t="s">
        <v>1469</v>
      </c>
      <c r="E994" t="s">
        <v>313</v>
      </c>
    </row>
    <row r="995" spans="1:5" x14ac:dyDescent="0.2">
      <c r="A995" s="269">
        <v>45910.690740740742</v>
      </c>
      <c r="B995" t="s">
        <v>1437</v>
      </c>
      <c r="C995" t="s">
        <v>28</v>
      </c>
      <c r="D995" t="s">
        <v>1470</v>
      </c>
      <c r="E995" t="s">
        <v>364</v>
      </c>
    </row>
    <row r="996" spans="1:5" x14ac:dyDescent="0.2">
      <c r="A996" s="269">
        <v>45910.691076388888</v>
      </c>
      <c r="B996" t="s">
        <v>1437</v>
      </c>
      <c r="C996" t="s">
        <v>28</v>
      </c>
      <c r="D996" t="s">
        <v>1471</v>
      </c>
      <c r="E996" t="s">
        <v>1444</v>
      </c>
    </row>
    <row r="997" spans="1:5" x14ac:dyDescent="0.2">
      <c r="A997" s="269">
        <v>45910.691122685188</v>
      </c>
      <c r="B997" t="s">
        <v>1437</v>
      </c>
      <c r="C997" t="s">
        <v>28</v>
      </c>
      <c r="D997" t="s">
        <v>1472</v>
      </c>
      <c r="E997" t="s">
        <v>313</v>
      </c>
    </row>
    <row r="998" spans="1:5" x14ac:dyDescent="0.2">
      <c r="A998" s="269">
        <v>45910.691157407404</v>
      </c>
      <c r="B998" t="s">
        <v>1437</v>
      </c>
      <c r="C998" t="s">
        <v>28</v>
      </c>
      <c r="D998" t="s">
        <v>1473</v>
      </c>
      <c r="E998" t="s">
        <v>364</v>
      </c>
    </row>
    <row r="999" spans="1:5" x14ac:dyDescent="0.2">
      <c r="A999" s="269">
        <v>45910.691192129627</v>
      </c>
      <c r="B999" t="s">
        <v>1437</v>
      </c>
      <c r="C999" t="s">
        <v>28</v>
      </c>
      <c r="D999" t="s">
        <v>1474</v>
      </c>
      <c r="E999" t="s">
        <v>313</v>
      </c>
    </row>
    <row r="1000" spans="1:5" x14ac:dyDescent="0.2">
      <c r="A1000" s="269">
        <v>45910.69122685185</v>
      </c>
      <c r="B1000" t="s">
        <v>1437</v>
      </c>
      <c r="C1000" t="s">
        <v>28</v>
      </c>
      <c r="D1000" t="s">
        <v>1475</v>
      </c>
      <c r="E1000" t="s">
        <v>364</v>
      </c>
    </row>
    <row r="1001" spans="1:5" x14ac:dyDescent="0.2">
      <c r="A1001" s="269">
        <v>45910.69127314815</v>
      </c>
      <c r="B1001" t="s">
        <v>1437</v>
      </c>
      <c r="C1001" t="s">
        <v>28</v>
      </c>
      <c r="D1001" t="s">
        <v>1476</v>
      </c>
      <c r="E1001" t="s">
        <v>313</v>
      </c>
    </row>
    <row r="1002" spans="1:5" x14ac:dyDescent="0.2">
      <c r="A1002" s="269">
        <v>45910.691296296296</v>
      </c>
      <c r="B1002" t="s">
        <v>1437</v>
      </c>
      <c r="C1002" t="s">
        <v>28</v>
      </c>
      <c r="D1002" t="s">
        <v>1477</v>
      </c>
      <c r="E1002" t="s">
        <v>364</v>
      </c>
    </row>
    <row r="1003" spans="1:5" x14ac:dyDescent="0.2">
      <c r="A1003" s="269">
        <v>45910.691331018519</v>
      </c>
      <c r="B1003" t="s">
        <v>1437</v>
      </c>
      <c r="C1003" t="s">
        <v>28</v>
      </c>
      <c r="D1003" t="s">
        <v>1478</v>
      </c>
      <c r="E1003" t="s">
        <v>313</v>
      </c>
    </row>
    <row r="1004" spans="1:5" x14ac:dyDescent="0.2">
      <c r="A1004" s="269">
        <v>45910.691377314812</v>
      </c>
      <c r="B1004" t="s">
        <v>1437</v>
      </c>
      <c r="C1004" t="s">
        <v>28</v>
      </c>
      <c r="D1004" t="s">
        <v>1479</v>
      </c>
      <c r="E1004" t="s">
        <v>364</v>
      </c>
    </row>
    <row r="1005" spans="1:5" x14ac:dyDescent="0.2">
      <c r="A1005" s="269">
        <v>45910.691435185188</v>
      </c>
      <c r="B1005" t="s">
        <v>1437</v>
      </c>
      <c r="C1005" t="s">
        <v>28</v>
      </c>
      <c r="D1005" t="s">
        <v>1480</v>
      </c>
      <c r="E1005" t="s">
        <v>313</v>
      </c>
    </row>
    <row r="1006" spans="1:5" x14ac:dyDescent="0.2">
      <c r="A1006" s="269">
        <v>45910.691469907404</v>
      </c>
      <c r="B1006" t="s">
        <v>1437</v>
      </c>
      <c r="C1006" t="s">
        <v>28</v>
      </c>
      <c r="D1006" t="s">
        <v>1481</v>
      </c>
      <c r="E1006" t="s">
        <v>364</v>
      </c>
    </row>
    <row r="1007" spans="1:5" x14ac:dyDescent="0.2">
      <c r="A1007" s="269">
        <v>45910.692430555559</v>
      </c>
      <c r="B1007" t="s">
        <v>1437</v>
      </c>
      <c r="C1007" t="s">
        <v>28</v>
      </c>
      <c r="D1007" t="s">
        <v>1482</v>
      </c>
      <c r="E1007" t="s">
        <v>383</v>
      </c>
    </row>
    <row r="1008" spans="1:5" x14ac:dyDescent="0.2">
      <c r="A1008" s="269">
        <v>45910.692465277774</v>
      </c>
      <c r="B1008" t="s">
        <v>1437</v>
      </c>
      <c r="C1008" t="s">
        <v>28</v>
      </c>
      <c r="D1008" t="s">
        <v>1483</v>
      </c>
      <c r="E1008" t="s">
        <v>317</v>
      </c>
    </row>
    <row r="1009" spans="1:5" x14ac:dyDescent="0.2">
      <c r="A1009" s="269">
        <v>45910.69253472222</v>
      </c>
      <c r="B1009" t="s">
        <v>1437</v>
      </c>
      <c r="C1009" t="s">
        <v>28</v>
      </c>
      <c r="D1009" t="s">
        <v>1484</v>
      </c>
      <c r="E1009" t="s">
        <v>383</v>
      </c>
    </row>
    <row r="1010" spans="1:5" x14ac:dyDescent="0.2">
      <c r="A1010" s="269">
        <v>45910.69259259259</v>
      </c>
      <c r="B1010" t="s">
        <v>1437</v>
      </c>
      <c r="C1010" t="s">
        <v>28</v>
      </c>
      <c r="D1010" t="s">
        <v>1485</v>
      </c>
      <c r="E1010" t="s">
        <v>317</v>
      </c>
    </row>
    <row r="1011" spans="1:5" x14ac:dyDescent="0.2">
      <c r="A1011" s="269">
        <v>45910.692627314813</v>
      </c>
      <c r="B1011" t="s">
        <v>1437</v>
      </c>
      <c r="C1011" t="s">
        <v>28</v>
      </c>
      <c r="D1011" t="s">
        <v>1486</v>
      </c>
      <c r="E1011" t="s">
        <v>383</v>
      </c>
    </row>
    <row r="1012" spans="1:5" x14ac:dyDescent="0.2">
      <c r="A1012" s="269">
        <v>45910.692662037036</v>
      </c>
      <c r="B1012" t="s">
        <v>1437</v>
      </c>
      <c r="C1012" t="s">
        <v>28</v>
      </c>
      <c r="D1012" t="s">
        <v>1487</v>
      </c>
      <c r="E1012" t="s">
        <v>317</v>
      </c>
    </row>
    <row r="1013" spans="1:5" x14ac:dyDescent="0.2">
      <c r="A1013" s="269">
        <v>45910.692685185182</v>
      </c>
      <c r="B1013" t="s">
        <v>1437</v>
      </c>
      <c r="C1013" t="s">
        <v>28</v>
      </c>
      <c r="D1013" t="s">
        <v>1488</v>
      </c>
      <c r="E1013" t="s">
        <v>383</v>
      </c>
    </row>
    <row r="1014" spans="1:5" x14ac:dyDescent="0.2">
      <c r="A1014" s="269">
        <v>45910.692731481482</v>
      </c>
      <c r="B1014" t="s">
        <v>1437</v>
      </c>
      <c r="C1014" t="s">
        <v>28</v>
      </c>
      <c r="D1014" t="s">
        <v>1489</v>
      </c>
      <c r="E1014" t="s">
        <v>317</v>
      </c>
    </row>
    <row r="1015" spans="1:5" x14ac:dyDescent="0.2">
      <c r="A1015" s="269">
        <v>45910.692777777775</v>
      </c>
      <c r="B1015" t="s">
        <v>1437</v>
      </c>
      <c r="C1015" t="s">
        <v>28</v>
      </c>
      <c r="D1015" t="s">
        <v>1490</v>
      </c>
      <c r="E1015" t="s">
        <v>383</v>
      </c>
    </row>
    <row r="1016" spans="1:5" x14ac:dyDescent="0.2">
      <c r="A1016" s="269">
        <v>45910.692800925928</v>
      </c>
      <c r="B1016" t="s">
        <v>1437</v>
      </c>
      <c r="C1016" t="s">
        <v>28</v>
      </c>
      <c r="D1016" t="s">
        <v>1491</v>
      </c>
      <c r="E1016" t="s">
        <v>317</v>
      </c>
    </row>
    <row r="1017" spans="1:5" x14ac:dyDescent="0.2">
      <c r="A1017" s="269">
        <v>45910.692858796298</v>
      </c>
      <c r="B1017" t="s">
        <v>1437</v>
      </c>
      <c r="C1017" t="s">
        <v>28</v>
      </c>
      <c r="D1017" t="s">
        <v>1492</v>
      </c>
      <c r="E1017" t="s">
        <v>41</v>
      </c>
    </row>
    <row r="1018" spans="1:5" x14ac:dyDescent="0.2">
      <c r="A1018" s="269">
        <v>45910.69290509259</v>
      </c>
      <c r="B1018" t="s">
        <v>1437</v>
      </c>
      <c r="C1018" t="s">
        <v>28</v>
      </c>
      <c r="D1018" t="s">
        <v>1493</v>
      </c>
      <c r="E1018" t="s">
        <v>41</v>
      </c>
    </row>
    <row r="1019" spans="1:5" x14ac:dyDescent="0.2">
      <c r="A1019" s="269">
        <v>45910.692939814813</v>
      </c>
      <c r="B1019" t="s">
        <v>1437</v>
      </c>
      <c r="C1019" t="s">
        <v>28</v>
      </c>
      <c r="D1019" t="s">
        <v>1494</v>
      </c>
      <c r="E1019" t="s">
        <v>397</v>
      </c>
    </row>
    <row r="1020" spans="1:5" x14ac:dyDescent="0.2">
      <c r="A1020" s="269">
        <v>45910.692974537036</v>
      </c>
      <c r="B1020" t="s">
        <v>1437</v>
      </c>
      <c r="C1020" t="s">
        <v>28</v>
      </c>
      <c r="D1020" t="s">
        <v>1495</v>
      </c>
      <c r="E1020" t="s">
        <v>397</v>
      </c>
    </row>
    <row r="1021" spans="1:5" x14ac:dyDescent="0.2">
      <c r="A1021" s="269">
        <v>45910.693009259259</v>
      </c>
      <c r="B1021" t="s">
        <v>1437</v>
      </c>
      <c r="C1021" t="s">
        <v>28</v>
      </c>
      <c r="D1021" t="s">
        <v>1496</v>
      </c>
      <c r="E1021" t="s">
        <v>400</v>
      </c>
    </row>
    <row r="1022" spans="1:5" x14ac:dyDescent="0.2">
      <c r="A1022" s="269">
        <v>45910.693032407406</v>
      </c>
      <c r="B1022" t="s">
        <v>1437</v>
      </c>
      <c r="C1022" t="s">
        <v>28</v>
      </c>
      <c r="D1022" t="s">
        <v>1497</v>
      </c>
      <c r="E1022" t="s">
        <v>400</v>
      </c>
    </row>
    <row r="1023" spans="1:5" x14ac:dyDescent="0.2">
      <c r="A1023" s="269">
        <v>45910.693067129629</v>
      </c>
      <c r="B1023" t="s">
        <v>1437</v>
      </c>
      <c r="C1023" t="s">
        <v>28</v>
      </c>
      <c r="D1023" t="s">
        <v>1498</v>
      </c>
      <c r="E1023" t="s">
        <v>404</v>
      </c>
    </row>
    <row r="1024" spans="1:5" x14ac:dyDescent="0.2">
      <c r="A1024" s="269">
        <v>45910.693124999998</v>
      </c>
      <c r="B1024" t="s">
        <v>1437</v>
      </c>
      <c r="C1024" t="s">
        <v>28</v>
      </c>
      <c r="D1024" t="s">
        <v>1499</v>
      </c>
      <c r="E1024" t="s">
        <v>404</v>
      </c>
    </row>
    <row r="1025" spans="1:5" x14ac:dyDescent="0.2">
      <c r="A1025" s="269">
        <v>45910.693159722221</v>
      </c>
      <c r="B1025" t="s">
        <v>1437</v>
      </c>
      <c r="C1025" t="s">
        <v>28</v>
      </c>
      <c r="D1025" t="s">
        <v>1500</v>
      </c>
      <c r="E1025" t="s">
        <v>407</v>
      </c>
    </row>
    <row r="1026" spans="1:5" x14ac:dyDescent="0.2">
      <c r="A1026" s="269">
        <v>45910.693182870367</v>
      </c>
      <c r="B1026" t="s">
        <v>1437</v>
      </c>
      <c r="C1026" t="s">
        <v>28</v>
      </c>
      <c r="D1026" t="s">
        <v>1501</v>
      </c>
      <c r="E1026" t="s">
        <v>407</v>
      </c>
    </row>
    <row r="1027" spans="1:5" x14ac:dyDescent="0.2">
      <c r="A1027" s="269">
        <v>45910.693229166667</v>
      </c>
      <c r="B1027" t="s">
        <v>1437</v>
      </c>
      <c r="C1027" t="s">
        <v>28</v>
      </c>
      <c r="D1027" t="s">
        <v>1502</v>
      </c>
      <c r="E1027">
        <v>6000</v>
      </c>
    </row>
    <row r="1028" spans="1:5" x14ac:dyDescent="0.2">
      <c r="A1028" s="269">
        <v>45910.693252314813</v>
      </c>
      <c r="B1028" t="s">
        <v>1437</v>
      </c>
      <c r="C1028" t="s">
        <v>28</v>
      </c>
      <c r="D1028" t="s">
        <v>1503</v>
      </c>
      <c r="E1028">
        <v>1463</v>
      </c>
    </row>
    <row r="1029" spans="1:5" x14ac:dyDescent="0.2">
      <c r="A1029" s="269">
        <v>45910.69327546296</v>
      </c>
      <c r="B1029" t="s">
        <v>1437</v>
      </c>
      <c r="C1029" t="s">
        <v>28</v>
      </c>
      <c r="D1029" t="s">
        <v>1504</v>
      </c>
      <c r="E1029">
        <v>6000</v>
      </c>
    </row>
    <row r="1030" spans="1:5" x14ac:dyDescent="0.2">
      <c r="A1030" s="269">
        <v>45910.693298611113</v>
      </c>
      <c r="B1030" t="s">
        <v>1437</v>
      </c>
      <c r="C1030" t="s">
        <v>28</v>
      </c>
      <c r="D1030" t="s">
        <v>1505</v>
      </c>
      <c r="E1030">
        <v>1463</v>
      </c>
    </row>
    <row r="1031" spans="1:5" x14ac:dyDescent="0.2">
      <c r="A1031" s="269">
        <v>45910.69332175926</v>
      </c>
      <c r="B1031" t="s">
        <v>1437</v>
      </c>
      <c r="C1031" t="s">
        <v>28</v>
      </c>
      <c r="D1031" t="s">
        <v>1506</v>
      </c>
      <c r="E1031">
        <v>6000</v>
      </c>
    </row>
    <row r="1032" spans="1:5" x14ac:dyDescent="0.2">
      <c r="A1032" s="269">
        <v>45910.693333333336</v>
      </c>
      <c r="B1032" t="s">
        <v>1437</v>
      </c>
      <c r="C1032" t="s">
        <v>28</v>
      </c>
      <c r="D1032" t="s">
        <v>1507</v>
      </c>
      <c r="E1032">
        <v>1463</v>
      </c>
    </row>
    <row r="1033" spans="1:5" x14ac:dyDescent="0.2">
      <c r="A1033" s="269">
        <v>45910.693368055552</v>
      </c>
      <c r="B1033" t="s">
        <v>1437</v>
      </c>
      <c r="C1033" t="s">
        <v>28</v>
      </c>
      <c r="D1033" t="s">
        <v>1508</v>
      </c>
      <c r="E1033">
        <v>6000</v>
      </c>
    </row>
    <row r="1034" spans="1:5" x14ac:dyDescent="0.2">
      <c r="A1034" s="269">
        <v>45910.693402777775</v>
      </c>
      <c r="B1034" t="s">
        <v>1437</v>
      </c>
      <c r="C1034" t="s">
        <v>28</v>
      </c>
      <c r="D1034" t="s">
        <v>1509</v>
      </c>
      <c r="E1034">
        <v>1463</v>
      </c>
    </row>
    <row r="1035" spans="1:5" x14ac:dyDescent="0.2">
      <c r="A1035" s="269">
        <v>45910.693437499998</v>
      </c>
      <c r="B1035" t="s">
        <v>1437</v>
      </c>
      <c r="C1035" t="s">
        <v>28</v>
      </c>
      <c r="D1035" t="s">
        <v>1510</v>
      </c>
      <c r="E1035">
        <v>6000</v>
      </c>
    </row>
    <row r="1036" spans="1:5" x14ac:dyDescent="0.2">
      <c r="A1036" s="269">
        <v>45910.693553240744</v>
      </c>
      <c r="B1036" t="s">
        <v>1437</v>
      </c>
      <c r="C1036" t="s">
        <v>28</v>
      </c>
      <c r="D1036" t="s">
        <v>1511</v>
      </c>
      <c r="E1036">
        <v>1478.3</v>
      </c>
    </row>
    <row r="1037" spans="1:5" x14ac:dyDescent="0.2">
      <c r="A1037" s="269">
        <v>45910.69363425926</v>
      </c>
      <c r="B1037" t="s">
        <v>1437</v>
      </c>
      <c r="C1037" t="s">
        <v>28</v>
      </c>
      <c r="D1037" t="s">
        <v>973</v>
      </c>
      <c r="E1037">
        <v>1463.4</v>
      </c>
    </row>
    <row r="1038" spans="1:5" x14ac:dyDescent="0.2">
      <c r="A1038" s="269">
        <v>45910.693865740737</v>
      </c>
      <c r="B1038" t="s">
        <v>1437</v>
      </c>
      <c r="C1038" t="s">
        <v>28</v>
      </c>
      <c r="D1038" t="s">
        <v>1512</v>
      </c>
      <c r="E1038">
        <v>1463.4</v>
      </c>
    </row>
    <row r="1039" spans="1:5" x14ac:dyDescent="0.2">
      <c r="A1039" s="269">
        <v>45910.694039351853</v>
      </c>
      <c r="B1039" t="s">
        <v>1437</v>
      </c>
      <c r="C1039" t="s">
        <v>26</v>
      </c>
      <c r="D1039" t="s">
        <v>1133</v>
      </c>
      <c r="E1039" t="s">
        <v>338</v>
      </c>
    </row>
    <row r="1040" spans="1:5" x14ac:dyDescent="0.2">
      <c r="A1040" s="269">
        <v>45910.694097222222</v>
      </c>
      <c r="B1040" t="s">
        <v>1437</v>
      </c>
      <c r="C1040" t="s">
        <v>26</v>
      </c>
      <c r="D1040" t="s">
        <v>1134</v>
      </c>
      <c r="E1040" t="s">
        <v>364</v>
      </c>
    </row>
    <row r="1041" spans="1:5" x14ac:dyDescent="0.2">
      <c r="A1041" s="269">
        <v>45910.694178240738</v>
      </c>
      <c r="B1041" t="s">
        <v>1437</v>
      </c>
      <c r="C1041" t="s">
        <v>26</v>
      </c>
      <c r="D1041" t="s">
        <v>1025</v>
      </c>
      <c r="E1041">
        <v>200</v>
      </c>
    </row>
    <row r="1042" spans="1:5" x14ac:dyDescent="0.2">
      <c r="A1042" s="269">
        <v>45910.694652777776</v>
      </c>
      <c r="B1042" t="s">
        <v>1437</v>
      </c>
      <c r="C1042" t="s">
        <v>26</v>
      </c>
      <c r="D1042" t="s">
        <v>1514</v>
      </c>
      <c r="E1042" t="s">
        <v>1513</v>
      </c>
    </row>
    <row r="1043" spans="1:5" x14ac:dyDescent="0.2">
      <c r="A1043" s="269">
        <v>45910.694745370369</v>
      </c>
      <c r="B1043" t="s">
        <v>1437</v>
      </c>
      <c r="C1043" t="s">
        <v>26</v>
      </c>
      <c r="D1043" t="s">
        <v>1515</v>
      </c>
      <c r="E1043" t="s">
        <v>1513</v>
      </c>
    </row>
    <row r="1044" spans="1:5" x14ac:dyDescent="0.2">
      <c r="A1044" s="269">
        <v>45910.694803240738</v>
      </c>
      <c r="B1044" t="s">
        <v>1437</v>
      </c>
      <c r="C1044" t="s">
        <v>26</v>
      </c>
      <c r="D1044" t="s">
        <v>1025</v>
      </c>
      <c r="E1044">
        <v>212</v>
      </c>
    </row>
    <row r="1045" spans="1:5" x14ac:dyDescent="0.2">
      <c r="A1045" s="269">
        <v>45910.694907407407</v>
      </c>
      <c r="B1045" t="s">
        <v>1437</v>
      </c>
      <c r="C1045" t="s">
        <v>26</v>
      </c>
      <c r="D1045" t="s">
        <v>1516</v>
      </c>
      <c r="E1045">
        <v>212</v>
      </c>
    </row>
    <row r="1046" spans="1:5" x14ac:dyDescent="0.2">
      <c r="A1046" s="269">
        <v>45910.694965277777</v>
      </c>
      <c r="B1046" t="s">
        <v>1437</v>
      </c>
      <c r="C1046" t="s">
        <v>26</v>
      </c>
      <c r="D1046" t="s">
        <v>1517</v>
      </c>
      <c r="E1046" t="s">
        <v>89</v>
      </c>
    </row>
    <row r="1047" spans="1:5" x14ac:dyDescent="0.2">
      <c r="A1047" s="269">
        <v>45910.695</v>
      </c>
      <c r="B1047" t="s">
        <v>1437</v>
      </c>
      <c r="C1047" t="s">
        <v>26</v>
      </c>
      <c r="D1047" t="s">
        <v>1518</v>
      </c>
      <c r="E1047" t="s">
        <v>362</v>
      </c>
    </row>
    <row r="1048" spans="1:5" x14ac:dyDescent="0.2">
      <c r="A1048" s="269">
        <v>45910.695034722223</v>
      </c>
      <c r="B1048" t="s">
        <v>1437</v>
      </c>
      <c r="C1048" t="s">
        <v>26</v>
      </c>
      <c r="D1048" t="s">
        <v>1519</v>
      </c>
      <c r="E1048" t="s">
        <v>371</v>
      </c>
    </row>
    <row r="1049" spans="1:5" x14ac:dyDescent="0.2">
      <c r="A1049" s="269">
        <v>45910.695057870369</v>
      </c>
      <c r="B1049" t="s">
        <v>1437</v>
      </c>
      <c r="C1049" t="s">
        <v>26</v>
      </c>
      <c r="D1049" t="s">
        <v>1520</v>
      </c>
      <c r="E1049" t="s">
        <v>379</v>
      </c>
    </row>
    <row r="1050" spans="1:5" x14ac:dyDescent="0.2">
      <c r="A1050" s="269">
        <v>45910.695092592592</v>
      </c>
      <c r="B1050" t="s">
        <v>1437</v>
      </c>
      <c r="C1050" t="s">
        <v>26</v>
      </c>
      <c r="D1050" t="s">
        <v>1521</v>
      </c>
      <c r="E1050" t="s">
        <v>386</v>
      </c>
    </row>
    <row r="1051" spans="1:5" x14ac:dyDescent="0.2">
      <c r="A1051" s="269">
        <v>45910.695127314815</v>
      </c>
      <c r="B1051" t="s">
        <v>1437</v>
      </c>
      <c r="C1051" t="s">
        <v>26</v>
      </c>
      <c r="D1051" t="s">
        <v>1522</v>
      </c>
      <c r="E1051" t="s">
        <v>390</v>
      </c>
    </row>
    <row r="1052" spans="1:5" x14ac:dyDescent="0.2">
      <c r="A1052" s="269">
        <v>45910.695162037038</v>
      </c>
      <c r="B1052" t="s">
        <v>1437</v>
      </c>
      <c r="C1052" t="s">
        <v>26</v>
      </c>
      <c r="D1052" t="s">
        <v>1523</v>
      </c>
      <c r="E1052" t="s">
        <v>41</v>
      </c>
    </row>
    <row r="1053" spans="1:5" x14ac:dyDescent="0.2">
      <c r="A1053" s="269">
        <v>45910.695208333331</v>
      </c>
      <c r="B1053" t="s">
        <v>1437</v>
      </c>
      <c r="C1053" t="s">
        <v>26</v>
      </c>
      <c r="D1053" t="s">
        <v>1524</v>
      </c>
      <c r="E1053" t="s">
        <v>397</v>
      </c>
    </row>
    <row r="1054" spans="1:5" x14ac:dyDescent="0.2">
      <c r="A1054" s="269">
        <v>45910.695243055554</v>
      </c>
      <c r="B1054" t="s">
        <v>1437</v>
      </c>
      <c r="C1054" t="s">
        <v>26</v>
      </c>
      <c r="D1054" t="s">
        <v>1525</v>
      </c>
      <c r="E1054" t="s">
        <v>400</v>
      </c>
    </row>
    <row r="1055" spans="1:5" x14ac:dyDescent="0.2">
      <c r="A1055" s="269">
        <v>45910.695277777777</v>
      </c>
      <c r="B1055" t="s">
        <v>1437</v>
      </c>
      <c r="C1055" t="s">
        <v>26</v>
      </c>
      <c r="D1055" t="s">
        <v>1526</v>
      </c>
      <c r="E1055" t="s">
        <v>404</v>
      </c>
    </row>
    <row r="1056" spans="1:5" x14ac:dyDescent="0.2">
      <c r="A1056" s="269">
        <v>45910.6953125</v>
      </c>
      <c r="B1056" t="s">
        <v>1437</v>
      </c>
      <c r="C1056" t="s">
        <v>26</v>
      </c>
      <c r="D1056" t="s">
        <v>1527</v>
      </c>
      <c r="E1056" t="s">
        <v>407</v>
      </c>
    </row>
    <row r="1057" spans="1:5" x14ac:dyDescent="0.2">
      <c r="A1057" s="269">
        <v>45910.6953587963</v>
      </c>
      <c r="B1057" t="s">
        <v>1437</v>
      </c>
      <c r="C1057" t="s">
        <v>26</v>
      </c>
      <c r="D1057" t="s">
        <v>1528</v>
      </c>
      <c r="E1057" t="s">
        <v>364</v>
      </c>
    </row>
    <row r="1058" spans="1:5" x14ac:dyDescent="0.2">
      <c r="A1058" s="269">
        <v>45910.695381944446</v>
      </c>
      <c r="B1058" t="s">
        <v>1437</v>
      </c>
      <c r="C1058" t="s">
        <v>26</v>
      </c>
      <c r="D1058" t="s">
        <v>1529</v>
      </c>
      <c r="E1058" t="s">
        <v>364</v>
      </c>
    </row>
    <row r="1059" spans="1:5" x14ac:dyDescent="0.2">
      <c r="A1059" s="269">
        <v>45910.695428240739</v>
      </c>
      <c r="B1059" t="s">
        <v>1437</v>
      </c>
      <c r="C1059" t="s">
        <v>26</v>
      </c>
      <c r="D1059" t="s">
        <v>1530</v>
      </c>
      <c r="E1059" t="s">
        <v>364</v>
      </c>
    </row>
    <row r="1060" spans="1:5" x14ac:dyDescent="0.2">
      <c r="A1060" s="269">
        <v>45910.695462962962</v>
      </c>
      <c r="B1060" t="s">
        <v>1437</v>
      </c>
      <c r="C1060" t="s">
        <v>26</v>
      </c>
      <c r="D1060" t="s">
        <v>1531</v>
      </c>
      <c r="E1060" t="s">
        <v>364</v>
      </c>
    </row>
    <row r="1061" spans="1:5" x14ac:dyDescent="0.2">
      <c r="A1061" s="269">
        <v>45910.695497685185</v>
      </c>
      <c r="B1061" t="s">
        <v>1437</v>
      </c>
      <c r="C1061" t="s">
        <v>26</v>
      </c>
      <c r="D1061" t="s">
        <v>1532</v>
      </c>
      <c r="E1061" t="s">
        <v>364</v>
      </c>
    </row>
    <row r="1062" spans="1:5" x14ac:dyDescent="0.2">
      <c r="A1062" s="269">
        <v>45910.695532407408</v>
      </c>
      <c r="B1062" t="s">
        <v>1437</v>
      </c>
      <c r="C1062" t="s">
        <v>26</v>
      </c>
      <c r="D1062" t="s">
        <v>1533</v>
      </c>
      <c r="E1062" t="s">
        <v>364</v>
      </c>
    </row>
    <row r="1063" spans="1:5" x14ac:dyDescent="0.2">
      <c r="A1063" s="269">
        <v>45910.695555555554</v>
      </c>
      <c r="B1063" t="s">
        <v>1437</v>
      </c>
      <c r="C1063" t="s">
        <v>26</v>
      </c>
      <c r="D1063" t="s">
        <v>1534</v>
      </c>
      <c r="E1063" t="s">
        <v>364</v>
      </c>
    </row>
    <row r="1064" spans="1:5" x14ac:dyDescent="0.2">
      <c r="A1064" s="269">
        <v>45910.695590277777</v>
      </c>
      <c r="B1064" t="s">
        <v>1437</v>
      </c>
      <c r="C1064" t="s">
        <v>26</v>
      </c>
      <c r="D1064" t="s">
        <v>1535</v>
      </c>
      <c r="E1064" t="s">
        <v>364</v>
      </c>
    </row>
    <row r="1065" spans="1:5" x14ac:dyDescent="0.2">
      <c r="A1065" s="269">
        <v>45910.695636574077</v>
      </c>
      <c r="B1065" t="s">
        <v>1437</v>
      </c>
      <c r="C1065" t="s">
        <v>26</v>
      </c>
      <c r="D1065" t="s">
        <v>1079</v>
      </c>
      <c r="E1065" t="s">
        <v>364</v>
      </c>
    </row>
    <row r="1066" spans="1:5" x14ac:dyDescent="0.2">
      <c r="A1066" s="269">
        <v>45910.695659722223</v>
      </c>
      <c r="B1066" t="s">
        <v>1437</v>
      </c>
      <c r="C1066" t="s">
        <v>26</v>
      </c>
      <c r="D1066" t="s">
        <v>1536</v>
      </c>
      <c r="E1066" t="s">
        <v>364</v>
      </c>
    </row>
    <row r="1067" spans="1:5" x14ac:dyDescent="0.2">
      <c r="A1067" s="269">
        <v>45910.695694444446</v>
      </c>
      <c r="B1067" t="s">
        <v>1437</v>
      </c>
      <c r="C1067" t="s">
        <v>26</v>
      </c>
      <c r="D1067" t="s">
        <v>1537</v>
      </c>
      <c r="E1067" t="s">
        <v>364</v>
      </c>
    </row>
    <row r="1068" spans="1:5" x14ac:dyDescent="0.2">
      <c r="A1068" s="269">
        <v>45910.698113425926</v>
      </c>
      <c r="B1068" t="s">
        <v>1437</v>
      </c>
      <c r="C1068" t="s">
        <v>597</v>
      </c>
      <c r="D1068" t="s">
        <v>1438</v>
      </c>
      <c r="E1068" t="s">
        <v>39</v>
      </c>
    </row>
    <row r="1069" spans="1:5" x14ac:dyDescent="0.2">
      <c r="A1069" s="269">
        <v>45911.337569444448</v>
      </c>
      <c r="B1069" t="s">
        <v>1538</v>
      </c>
      <c r="C1069" t="s">
        <v>597</v>
      </c>
      <c r="D1069" t="s">
        <v>1438</v>
      </c>
      <c r="E1069" t="s">
        <v>39</v>
      </c>
    </row>
    <row r="1070" spans="1:5" x14ac:dyDescent="0.2">
      <c r="A1070" s="269">
        <v>45916.901145833333</v>
      </c>
      <c r="B1070" t="s">
        <v>596</v>
      </c>
      <c r="C1070" t="s">
        <v>597</v>
      </c>
      <c r="D1070" t="s">
        <v>1438</v>
      </c>
      <c r="E1070" t="s">
        <v>39</v>
      </c>
    </row>
    <row r="1071" spans="1:5" x14ac:dyDescent="0.2">
      <c r="A1071" s="269">
        <v>45916.908738425926</v>
      </c>
      <c r="B1071" t="s">
        <v>596</v>
      </c>
      <c r="C1071" t="s">
        <v>27</v>
      </c>
      <c r="D1071" t="s">
        <v>1539</v>
      </c>
      <c r="E1071" t="s">
        <v>53</v>
      </c>
    </row>
    <row r="1072" spans="1:5" x14ac:dyDescent="0.2">
      <c r="A1072" s="269">
        <v>45916.908831018518</v>
      </c>
      <c r="B1072" t="s">
        <v>596</v>
      </c>
      <c r="C1072" t="s">
        <v>27</v>
      </c>
      <c r="D1072" t="s">
        <v>1540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2025-09-16T13:48:44Z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