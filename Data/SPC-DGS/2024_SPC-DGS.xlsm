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SPC-DGS/"/>
    </mc:Choice>
  </mc:AlternateContent>
  <xr:revisionPtr revIDLastSave="0" documentId="13_ncr:1_{B78CDBA5-E134-B744-B02A-A49C9BAB14DA}"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 r:id="rId19"/>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95" r:id="rId20"/>
    <pivotCache cacheId="196" r:id="rId21"/>
    <pivotCache cacheId="197" r:id="rId22"/>
    <pivotCache cacheId="198" r:id="rId23"/>
    <pivotCache cacheId="199" r:id="rId24"/>
    <pivotCache cacheId="207"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39" l="1"/>
  <c r="G13" i="38" l="1"/>
  <c r="F13" i="38"/>
  <c r="E13" i="38"/>
  <c r="D13" i="38"/>
  <c r="I9" i="38"/>
  <c r="W9" i="38"/>
  <c r="C34" i="37"/>
  <c r="D35" i="37"/>
  <c r="C35" i="37"/>
  <c r="M9" i="44" l="1"/>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T9" i="41"/>
  <c r="T10" i="41"/>
  <c r="T11" i="41"/>
  <c r="T12" i="41"/>
  <c r="T13" i="41"/>
  <c r="T14" i="41"/>
  <c r="T15" i="41"/>
  <c r="T16" i="41"/>
  <c r="T17" i="41"/>
  <c r="T18" i="41"/>
  <c r="T19" i="41"/>
  <c r="T20" i="41"/>
  <c r="T21" i="41"/>
  <c r="T22" i="41"/>
  <c r="T23" i="41"/>
  <c r="T24" i="41"/>
  <c r="T25" i="41"/>
  <c r="T26" i="41"/>
  <c r="T27" i="41"/>
  <c r="T28" i="41"/>
  <c r="T29" i="41"/>
  <c r="T30" i="41"/>
  <c r="T31" i="41"/>
  <c r="T32" i="41"/>
  <c r="T33" i="41"/>
  <c r="T34" i="41"/>
  <c r="T35" i="41"/>
  <c r="T36" i="41"/>
  <c r="T37" i="41"/>
  <c r="T38" i="41"/>
  <c r="T39" i="41"/>
  <c r="T40" i="41"/>
  <c r="T41" i="41"/>
  <c r="T42" i="41"/>
  <c r="T43" i="41"/>
  <c r="T44" i="41"/>
  <c r="T45" i="41"/>
  <c r="T46" i="41"/>
  <c r="T47" i="41"/>
  <c r="T48" i="41"/>
  <c r="T49" i="41"/>
  <c r="T50" i="41"/>
  <c r="T51" i="41"/>
  <c r="T52" i="41"/>
  <c r="T53" i="41"/>
  <c r="T54" i="41"/>
  <c r="T55" i="41"/>
  <c r="T56" i="41"/>
  <c r="T57" i="41"/>
  <c r="T58" i="41"/>
  <c r="T59" i="41"/>
  <c r="T60" i="41"/>
  <c r="T61" i="41"/>
  <c r="T62" i="41"/>
  <c r="T63" i="41"/>
  <c r="T64" i="41"/>
  <c r="T65" i="41"/>
  <c r="T66" i="41"/>
  <c r="T67" i="41"/>
  <c r="T68" i="41"/>
  <c r="T69" i="41"/>
  <c r="T70" i="41"/>
  <c r="T71" i="41"/>
  <c r="T72" i="41"/>
  <c r="T73" i="41"/>
  <c r="T74" i="41"/>
  <c r="T75" i="41"/>
  <c r="T76" i="41"/>
  <c r="T77" i="41"/>
  <c r="T78" i="41"/>
  <c r="T79" i="41"/>
  <c r="T80" i="41"/>
  <c r="T81" i="41"/>
  <c r="T82" i="41"/>
  <c r="T83" i="41"/>
  <c r="T84" i="41"/>
  <c r="T85" i="41"/>
  <c r="T86" i="41"/>
  <c r="T87" i="41"/>
  <c r="T88" i="41"/>
  <c r="T89" i="41"/>
  <c r="T90" i="41"/>
  <c r="T91" i="41"/>
  <c r="T92" i="41"/>
  <c r="T93" i="41"/>
  <c r="T94" i="41"/>
  <c r="T95" i="41"/>
  <c r="T96" i="41"/>
  <c r="T97" i="41"/>
  <c r="T98" i="41"/>
  <c r="T99" i="41"/>
  <c r="T100" i="41"/>
  <c r="T101" i="41"/>
  <c r="T102" i="41"/>
  <c r="T103" i="41"/>
  <c r="T104" i="41"/>
  <c r="T105" i="41"/>
  <c r="T106" i="41"/>
  <c r="T107"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89" i="41"/>
  <c r="L90" i="41"/>
  <c r="L91" i="41"/>
  <c r="L92" i="41"/>
  <c r="L93" i="41"/>
  <c r="L94" i="41"/>
  <c r="L95" i="41"/>
  <c r="L96" i="41"/>
  <c r="L97" i="41"/>
  <c r="L98" i="41"/>
  <c r="L99" i="41"/>
  <c r="L100" i="41"/>
  <c r="L101" i="41"/>
  <c r="L102" i="41"/>
  <c r="L103" i="41"/>
  <c r="L104" i="41"/>
  <c r="L105" i="41"/>
  <c r="L106" i="41"/>
  <c r="L107" i="41"/>
  <c r="L8" i="41"/>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59" i="39"/>
  <c r="L60" i="39"/>
  <c r="L61" i="39"/>
  <c r="L62" i="39"/>
  <c r="L63" i="39"/>
  <c r="L64" i="39"/>
  <c r="L65" i="39"/>
  <c r="L66" i="39"/>
  <c r="L67" i="39"/>
  <c r="L68" i="39"/>
  <c r="L69" i="39"/>
  <c r="L70" i="39"/>
  <c r="L71" i="39"/>
  <c r="L72" i="39"/>
  <c r="L73" i="39"/>
  <c r="L74" i="39"/>
  <c r="L75" i="39"/>
  <c r="L76" i="39"/>
  <c r="L77" i="39"/>
  <c r="L78" i="39"/>
  <c r="L79" i="39"/>
  <c r="L80" i="39"/>
  <c r="L81" i="39"/>
  <c r="L82" i="39"/>
  <c r="L83" i="39"/>
  <c r="L84" i="39"/>
  <c r="L85" i="39"/>
  <c r="L86" i="39"/>
  <c r="L87" i="39"/>
  <c r="L88" i="39"/>
  <c r="L89" i="39"/>
  <c r="L90" i="39"/>
  <c r="L91" i="39"/>
  <c r="L92" i="39"/>
  <c r="L93" i="39"/>
  <c r="L94" i="39"/>
  <c r="L95" i="39"/>
  <c r="L96" i="39"/>
  <c r="L97" i="39"/>
  <c r="L98" i="39"/>
  <c r="L99" i="39"/>
  <c r="L100" i="39"/>
  <c r="L101" i="39"/>
  <c r="L102" i="39"/>
  <c r="L103" i="39"/>
  <c r="L104" i="39"/>
  <c r="L105" i="39"/>
  <c r="L106" i="39"/>
  <c r="L107" i="39"/>
  <c r="L8" i="39"/>
  <c r="M8"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7" i="44"/>
  <c r="O7" i="44"/>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7" i="44"/>
  <c r="O8" i="34"/>
  <c r="O9" i="34"/>
  <c r="O10" i="34"/>
  <c r="O11" i="34"/>
  <c r="O12" i="34"/>
  <c r="O13" i="34"/>
  <c r="O7" i="34"/>
  <c r="M8" i="34"/>
  <c r="M9" i="34"/>
  <c r="M10" i="34"/>
  <c r="M11" i="34"/>
  <c r="M12" i="34"/>
  <c r="M13" i="34"/>
  <c r="C49" i="37"/>
  <c r="D49" i="37"/>
  <c r="C48" i="37"/>
  <c r="D48" i="37"/>
  <c r="Q56" i="41"/>
  <c r="Q57" i="41"/>
  <c r="Q58" i="41"/>
  <c r="Q59" i="41"/>
  <c r="Q60" i="41"/>
  <c r="Q61" i="41"/>
  <c r="Q62" i="41"/>
  <c r="Q63" i="41"/>
  <c r="Q64" i="41"/>
  <c r="Q65" i="41"/>
  <c r="Q66" i="41"/>
  <c r="Q67" i="41"/>
  <c r="Q68" i="41"/>
  <c r="Q69" i="41"/>
  <c r="Q70" i="41"/>
  <c r="Q71" i="41"/>
  <c r="Q72" i="41"/>
  <c r="Q73" i="41"/>
  <c r="Q74" i="41"/>
  <c r="Q75" i="41"/>
  <c r="Q76" i="41"/>
  <c r="Q77" i="41"/>
  <c r="Q78" i="41"/>
  <c r="Q79" i="41"/>
  <c r="Q80" i="41"/>
  <c r="Q81" i="41"/>
  <c r="Q82" i="41"/>
  <c r="Q83" i="41"/>
  <c r="Q84" i="41"/>
  <c r="Q85" i="41"/>
  <c r="Q86" i="41"/>
  <c r="Q87" i="41"/>
  <c r="Q88" i="41"/>
  <c r="Q89" i="41"/>
  <c r="Q90" i="41"/>
  <c r="Q91" i="41"/>
  <c r="Q92" i="41"/>
  <c r="Q93" i="41"/>
  <c r="Q94" i="41"/>
  <c r="Q95" i="41"/>
  <c r="Q96" i="41"/>
  <c r="Q97" i="41"/>
  <c r="Q98" i="41"/>
  <c r="Q99" i="41"/>
  <c r="Q100" i="41"/>
  <c r="Q101" i="41"/>
  <c r="Q102" i="41"/>
  <c r="Q103" i="41"/>
  <c r="Q104" i="41"/>
  <c r="Q105" i="41"/>
  <c r="Q106" i="41"/>
  <c r="Q107" i="41"/>
  <c r="Q8" i="41"/>
  <c r="Q9" i="41" s="1"/>
  <c r="Q10" i="41" s="1"/>
  <c r="Q11" i="41" s="1"/>
  <c r="Q12" i="41" s="1"/>
  <c r="Q13" i="41" s="1"/>
  <c r="Q14" i="41" s="1"/>
  <c r="Q15" i="41" s="1"/>
  <c r="Q16" i="41" s="1"/>
  <c r="Q17" i="41" s="1"/>
  <c r="Q18" i="41" s="1"/>
  <c r="Q19" i="41" s="1"/>
  <c r="Q20" i="41" s="1"/>
  <c r="Q21" i="41" s="1"/>
  <c r="Q22" i="41" s="1"/>
  <c r="Q23" i="41" s="1"/>
  <c r="Q24" i="41" s="1"/>
  <c r="Q25" i="41" s="1"/>
  <c r="Q26" i="41" s="1"/>
  <c r="Q27" i="41" s="1"/>
  <c r="Q28" i="41" s="1"/>
  <c r="Q29" i="41" s="1"/>
  <c r="Q30" i="41" s="1"/>
  <c r="Q31" i="41" s="1"/>
  <c r="Q32" i="41" s="1"/>
  <c r="Q33" i="41" s="1"/>
  <c r="Q34" i="41" s="1"/>
  <c r="Q35" i="41" s="1"/>
  <c r="Q36" i="41" s="1"/>
  <c r="Q37" i="41" s="1"/>
  <c r="Q38" i="41" s="1"/>
  <c r="Q39" i="41" s="1"/>
  <c r="Q40" i="41" s="1"/>
  <c r="Q41" i="41" s="1"/>
  <c r="Q42" i="41" s="1"/>
  <c r="Q43" i="41" s="1"/>
  <c r="Q44" i="41" s="1"/>
  <c r="Q45" i="41" s="1"/>
  <c r="Q46" i="41" s="1"/>
  <c r="Q47" i="41" s="1"/>
  <c r="Q48" i="41" s="1"/>
  <c r="Q49" i="41" s="1"/>
  <c r="Q50" i="41" s="1"/>
  <c r="Q51" i="41" s="1"/>
  <c r="Q52" i="41" s="1"/>
  <c r="Q53" i="41" s="1"/>
  <c r="Q54" i="41" s="1"/>
  <c r="Q55" i="41" s="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9" i="41"/>
  <c r="I10" i="41" s="1"/>
  <c r="I11" i="41" s="1"/>
  <c r="I12" i="41" s="1"/>
  <c r="I13" i="41" s="1"/>
  <c r="I14" i="41" s="1"/>
  <c r="I15" i="41" s="1"/>
  <c r="I16" i="41" s="1"/>
  <c r="I17" i="41" s="1"/>
  <c r="I18" i="41" s="1"/>
  <c r="I19" i="41" s="1"/>
  <c r="I20" i="41" s="1"/>
  <c r="I21" i="41" s="1"/>
  <c r="I22" i="41" s="1"/>
  <c r="I23" i="41" s="1"/>
  <c r="I24" i="41" s="1"/>
  <c r="I25" i="41" s="1"/>
  <c r="I26" i="41" s="1"/>
  <c r="I27" i="41" s="1"/>
  <c r="I28" i="41" s="1"/>
  <c r="I29" i="41" s="1"/>
  <c r="I30" i="41" s="1"/>
  <c r="I31" i="41" s="1"/>
  <c r="I32" i="41" s="1"/>
  <c r="I33" i="41" s="1"/>
  <c r="I34" i="41" s="1"/>
  <c r="I35" i="41" s="1"/>
  <c r="I36" i="41" s="1"/>
  <c r="I37" i="41" s="1"/>
  <c r="I38" i="41" s="1"/>
  <c r="I39" i="41" s="1"/>
  <c r="I40" i="41" s="1"/>
  <c r="I41" i="41" s="1"/>
  <c r="I42" i="41" s="1"/>
  <c r="I43" i="41" s="1"/>
  <c r="I44" i="41" s="1"/>
  <c r="I45" i="41" s="1"/>
  <c r="I46" i="41" s="1"/>
  <c r="I47" i="41" s="1"/>
  <c r="I48" i="41" s="1"/>
  <c r="I49" i="41" s="1"/>
  <c r="I50" i="41" s="1"/>
  <c r="I51" i="41" s="1"/>
  <c r="I52" i="41" s="1"/>
  <c r="I53" i="41" s="1"/>
  <c r="I54" i="41" s="1"/>
  <c r="I55" i="41" s="1"/>
  <c r="I8" i="41"/>
  <c r="K8" i="50"/>
  <c r="K9" i="50"/>
  <c r="K10" i="50"/>
  <c r="K11" i="50"/>
  <c r="K12" i="50"/>
  <c r="K13" i="50"/>
  <c r="K14" i="50"/>
  <c r="K15" i="50"/>
  <c r="K16" i="50"/>
  <c r="K17" i="50"/>
  <c r="K18" i="50"/>
  <c r="K19" i="50"/>
  <c r="K20" i="50"/>
  <c r="K21" i="50"/>
  <c r="K22" i="50"/>
  <c r="K23" i="5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I8" i="40"/>
  <c r="I9" i="40" s="1"/>
  <c r="I7" i="50"/>
  <c r="K7" i="50"/>
  <c r="I7" i="34"/>
  <c r="I8" i="34" s="1"/>
  <c r="I9" i="34" s="1"/>
  <c r="I10" i="34" s="1"/>
  <c r="I11" i="34" s="1"/>
  <c r="I12" i="34" s="1"/>
  <c r="I13" i="34" s="1"/>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I9" i="39" s="1"/>
  <c r="I10" i="39" s="1"/>
  <c r="I11" i="39" s="1"/>
  <c r="I12" i="39" s="1"/>
  <c r="I13" i="39" s="1"/>
  <c r="I14" i="39" s="1"/>
  <c r="I15" i="39" s="1"/>
  <c r="I16" i="39" s="1"/>
  <c r="I17" i="39" s="1"/>
  <c r="I18" i="39" s="1"/>
  <c r="I19" i="39" s="1"/>
  <c r="I20" i="39" s="1"/>
  <c r="I21" i="39" s="1"/>
  <c r="I22" i="39" s="1"/>
  <c r="I23" i="39" s="1"/>
  <c r="I24" i="39" s="1"/>
  <c r="I25" i="39" s="1"/>
  <c r="I26" i="39" s="1"/>
  <c r="I27" i="39" s="1"/>
  <c r="I28" i="39" s="1"/>
  <c r="I29" i="39" s="1"/>
  <c r="I30" i="39" s="1"/>
  <c r="I31" i="39" s="1"/>
  <c r="I32" i="39" s="1"/>
  <c r="I33" i="39" s="1"/>
  <c r="I34" i="39" s="1"/>
  <c r="I35" i="39" s="1"/>
  <c r="I36" i="39" s="1"/>
  <c r="I37" i="39" s="1"/>
  <c r="I38" i="39" s="1"/>
  <c r="I39" i="39" s="1"/>
  <c r="I40" i="39" s="1"/>
  <c r="I41" i="39" s="1"/>
  <c r="I42" i="39" s="1"/>
  <c r="I43" i="39" s="1"/>
  <c r="I44" i="39" s="1"/>
  <c r="I45" i="39" s="1"/>
  <c r="I46" i="39" s="1"/>
  <c r="I47" i="39" s="1"/>
  <c r="I48" i="39" s="1"/>
  <c r="I49" i="39" s="1"/>
  <c r="I50" i="39" s="1"/>
  <c r="I51" i="39" s="1"/>
  <c r="I52" i="39" s="1"/>
  <c r="I53" i="39" s="1"/>
  <c r="I54" i="39" s="1"/>
  <c r="I55" i="39" s="1"/>
  <c r="I56" i="39" s="1"/>
  <c r="I57" i="39" s="1"/>
  <c r="I58" i="39" s="1"/>
  <c r="I59" i="39" s="1"/>
  <c r="I60" i="39" s="1"/>
  <c r="I61" i="39" s="1"/>
  <c r="I62" i="39" s="1"/>
  <c r="I63" i="39" s="1"/>
  <c r="I64" i="39" s="1"/>
  <c r="I65" i="39" s="1"/>
  <c r="I66" i="39" s="1"/>
  <c r="I67" i="39" s="1"/>
  <c r="I68" i="39" s="1"/>
  <c r="I69" i="39" s="1"/>
  <c r="I70" i="39" s="1"/>
  <c r="I71" i="39" s="1"/>
  <c r="I72" i="39" s="1"/>
  <c r="I73" i="39" s="1"/>
  <c r="I74" i="39" s="1"/>
  <c r="I75" i="39" s="1"/>
  <c r="I76" i="39" s="1"/>
  <c r="I77" i="39" s="1"/>
  <c r="I78" i="39" s="1"/>
  <c r="I79" i="39" s="1"/>
  <c r="D46" i="1"/>
  <c r="B15" i="40"/>
  <c r="W11" i="38"/>
  <c r="W12" i="38"/>
  <c r="W13" i="38"/>
  <c r="W14" i="38"/>
  <c r="W15" i="38"/>
  <c r="W16" i="38"/>
  <c r="W17" i="38"/>
  <c r="W18" i="38"/>
  <c r="W19" i="38"/>
  <c r="W20" i="38"/>
  <c r="W21" i="38"/>
  <c r="W22" i="38"/>
  <c r="W23" i="38"/>
  <c r="W24" i="38"/>
  <c r="W25" i="38"/>
  <c r="W26" i="38"/>
  <c r="W27" i="38"/>
  <c r="W28" i="38"/>
  <c r="W29" i="38"/>
  <c r="W30" i="38"/>
  <c r="W31" i="38"/>
  <c r="W32" i="38"/>
  <c r="W33" i="38"/>
  <c r="W34" i="38"/>
  <c r="W35" i="38"/>
  <c r="W36" i="38"/>
  <c r="W37" i="38"/>
  <c r="W38" i="38"/>
  <c r="W39" i="38"/>
  <c r="W40" i="38"/>
  <c r="W41" i="38"/>
  <c r="W42" i="38"/>
  <c r="W43" i="38"/>
  <c r="W44" i="38"/>
  <c r="W45" i="38"/>
  <c r="W46" i="38"/>
  <c r="W47" i="38"/>
  <c r="W48" i="38"/>
  <c r="W49" i="38"/>
  <c r="W50" i="38"/>
  <c r="W51" i="38"/>
  <c r="W52" i="38"/>
  <c r="W53" i="38"/>
  <c r="W54" i="38"/>
  <c r="W55" i="38"/>
  <c r="W56" i="38"/>
  <c r="W57" i="38"/>
  <c r="W58" i="38"/>
  <c r="W59" i="38"/>
  <c r="W60" i="38"/>
  <c r="W61" i="38"/>
  <c r="W62" i="38"/>
  <c r="W63" i="38"/>
  <c r="W64" i="38"/>
  <c r="W65" i="38"/>
  <c r="W66" i="38"/>
  <c r="W67" i="38"/>
  <c r="W68" i="38"/>
  <c r="W69" i="38"/>
  <c r="W70" i="38"/>
  <c r="W71" i="38"/>
  <c r="W72" i="38"/>
  <c r="W73" i="38"/>
  <c r="W74" i="38"/>
  <c r="W75" i="38"/>
  <c r="W76" i="38"/>
  <c r="W77" i="38"/>
  <c r="W78" i="38"/>
  <c r="W79" i="38"/>
  <c r="W80" i="38"/>
  <c r="W81" i="38"/>
  <c r="W82" i="38"/>
  <c r="W83" i="38"/>
  <c r="W84" i="38"/>
  <c r="W85" i="38"/>
  <c r="W86" i="38"/>
  <c r="W87" i="38"/>
  <c r="W88" i="38"/>
  <c r="W89" i="38"/>
  <c r="W90" i="38"/>
  <c r="W91" i="38"/>
  <c r="W92" i="38"/>
  <c r="W93" i="38"/>
  <c r="W94" i="38"/>
  <c r="W95" i="38"/>
  <c r="W96" i="38"/>
  <c r="W97" i="38"/>
  <c r="W98" i="38"/>
  <c r="W99" i="38"/>
  <c r="W100" i="38"/>
  <c r="W101" i="38"/>
  <c r="W102" i="38"/>
  <c r="W103" i="38"/>
  <c r="W104" i="38"/>
  <c r="W105" i="38"/>
  <c r="W106" i="38"/>
  <c r="W107" i="38"/>
  <c r="W108" i="38"/>
  <c r="W10" i="38"/>
  <c r="I19" i="50"/>
  <c r="I20" i="50"/>
  <c r="I21" i="50"/>
  <c r="I22" i="50"/>
  <c r="I23" i="50"/>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8" i="50"/>
  <c r="I9" i="50" s="1"/>
  <c r="I10" i="50" s="1"/>
  <c r="I11" i="50" s="1"/>
  <c r="I12" i="50" s="1"/>
  <c r="I13" i="50" s="1"/>
  <c r="I14" i="50" s="1"/>
  <c r="I15" i="50" s="1"/>
  <c r="I16" i="50" s="1"/>
  <c r="I17" i="50" s="1"/>
  <c r="I18" i="50" s="1"/>
  <c r="G12" i="38" l="1"/>
  <c r="F12" i="38"/>
  <c r="E12" i="38"/>
  <c r="D12" i="38"/>
  <c r="E11" i="38"/>
  <c r="G11" i="38"/>
  <c r="D11" i="38"/>
  <c r="F11" i="38"/>
  <c r="D11" i="40"/>
  <c r="D11" i="41"/>
  <c r="F11" i="41"/>
  <c r="G11" i="41"/>
  <c r="E11" i="41"/>
  <c r="E11" i="50"/>
  <c r="E12" i="37" s="1"/>
  <c r="D11" i="50"/>
  <c r="G12" i="39"/>
  <c r="F12" i="39"/>
  <c r="E12" i="39"/>
  <c r="D12" i="39"/>
  <c r="D4" i="40"/>
  <c r="D4" i="41"/>
  <c r="D4" i="50"/>
  <c r="D4" i="39"/>
  <c r="D4" i="34"/>
  <c r="D4" i="44"/>
  <c r="D4" i="38"/>
  <c r="E39" i="37" l="1"/>
  <c r="D12" i="37"/>
  <c r="O36" i="44"/>
  <c r="O37" i="44"/>
  <c r="O38" i="44"/>
  <c r="O39" i="44"/>
  <c r="O40" i="44"/>
  <c r="O41" i="44"/>
  <c r="O42" i="44"/>
  <c r="O31" i="44"/>
  <c r="O32" i="44"/>
  <c r="O33" i="44"/>
  <c r="O34" i="44"/>
  <c r="O35" i="44"/>
  <c r="O27" i="44"/>
  <c r="O28" i="44"/>
  <c r="O29" i="44"/>
  <c r="O30" i="44"/>
  <c r="D14" i="1" l="1"/>
  <c r="D15" i="1" s="1"/>
  <c r="D17" i="1" s="1"/>
  <c r="D18" i="1" s="1"/>
  <c r="D19" i="1" s="1"/>
  <c r="D20" i="1" s="1"/>
  <c r="D21" i="1" s="1"/>
  <c r="D22" i="1" s="1"/>
  <c r="D76" i="1" l="1"/>
  <c r="D77" i="1" s="1"/>
  <c r="D78" i="1" s="1"/>
  <c r="D79" i="1" s="1"/>
  <c r="D80" i="1" s="1"/>
  <c r="D81" i="1" s="1"/>
  <c r="B4" i="50"/>
  <c r="T8" i="41"/>
  <c r="O19" i="44"/>
  <c r="O20" i="44"/>
  <c r="F12" i="41" l="1"/>
  <c r="F13" i="37" s="1"/>
  <c r="G12" i="41"/>
  <c r="G13" i="37" s="1"/>
  <c r="E12" i="41"/>
  <c r="E13" i="37" s="1"/>
  <c r="D12" i="41"/>
  <c r="D13" i="37" s="1"/>
  <c r="F15" i="40"/>
  <c r="G16" i="40"/>
  <c r="E15" i="40"/>
  <c r="D16" i="40"/>
  <c r="E16" i="40"/>
  <c r="G15" i="40"/>
  <c r="D15" i="40"/>
  <c r="F16" i="40"/>
  <c r="E12" i="50"/>
  <c r="G11" i="50"/>
  <c r="F11" i="50"/>
  <c r="G11" i="37" a="1"/>
  <c r="G11" i="37" s="1"/>
  <c r="F11" i="37" a="1"/>
  <c r="F11" i="37" s="1"/>
  <c r="F12" i="50" l="1"/>
  <c r="F12" i="37"/>
  <c r="E35" i="37"/>
  <c r="G12" i="50"/>
  <c r="G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M7" i="34"/>
  <c r="O28" i="48"/>
  <c r="D4" i="48"/>
  <c r="B4" i="48"/>
  <c r="O9" i="44"/>
  <c r="I7" i="44"/>
  <c r="I8" i="44" s="1"/>
  <c r="I9" i="44" s="1"/>
  <c r="I10" i="44" s="1"/>
  <c r="L30" i="48" l="1"/>
  <c r="K30" i="48"/>
  <c r="G16" i="48"/>
  <c r="D16" i="48"/>
  <c r="E16" i="48"/>
  <c r="F16" i="48" l="1"/>
  <c r="D42" i="1" l="1"/>
  <c r="D43" i="1" s="1"/>
  <c r="D47" i="1" s="1"/>
  <c r="D48" i="1" s="1"/>
  <c r="D49"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50" i="1" l="1"/>
  <c r="D51" i="1" s="1"/>
  <c r="D52" i="1" s="1"/>
  <c r="B10" i="38"/>
  <c r="D10" i="37" a="1"/>
  <c r="D10" i="37" s="1"/>
  <c r="D122" i="1"/>
  <c r="D123" i="1" s="1"/>
  <c r="D109" i="1"/>
  <c r="D63" i="1"/>
  <c r="D64" i="1" s="1"/>
  <c r="D65" i="1" s="1"/>
  <c r="D66" i="1" s="1"/>
  <c r="D67" i="1" s="1"/>
  <c r="D68" i="1" s="1"/>
  <c r="D69" i="1" s="1"/>
  <c r="D70" i="1" s="1"/>
  <c r="D71" i="1" s="1"/>
  <c r="D27" i="1"/>
  <c r="D28" i="1" s="1"/>
  <c r="D29" i="1" s="1"/>
  <c r="D30" i="1" s="1"/>
  <c r="D31"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B4" i="44"/>
  <c r="C7" i="43"/>
  <c r="C6" i="43"/>
  <c r="P13" i="43"/>
  <c r="N13" i="43"/>
  <c r="N12" i="43"/>
  <c r="L12" i="43"/>
  <c r="E12" i="43"/>
  <c r="X36" i="41"/>
  <c r="X35" i="41"/>
  <c r="X34" i="41"/>
  <c r="X33" i="41"/>
  <c r="X32" i="41"/>
  <c r="X31" i="41"/>
  <c r="X30" i="41"/>
  <c r="X29" i="41"/>
  <c r="X28" i="41"/>
  <c r="X27" i="41"/>
  <c r="X26" i="41"/>
  <c r="X25" i="41"/>
  <c r="X24" i="41"/>
  <c r="X23" i="41"/>
  <c r="X22" i="41"/>
  <c r="X21" i="41"/>
  <c r="X20" i="41"/>
  <c r="X19" i="41"/>
  <c r="X18" i="41"/>
  <c r="B4" i="41"/>
  <c r="B12" i="40"/>
  <c r="B13" i="40"/>
  <c r="B14" i="40"/>
  <c r="B11" i="40"/>
  <c r="B4" i="40"/>
  <c r="I10" i="38"/>
  <c r="G11" i="44" l="1"/>
  <c r="F11" i="44"/>
  <c r="D11" i="44"/>
  <c r="E11" i="44"/>
  <c r="E12" i="44"/>
  <c r="D12" i="44"/>
  <c r="F12" i="44"/>
  <c r="G12" i="44"/>
  <c r="G11" i="40"/>
  <c r="E11" i="40"/>
  <c r="F11" i="40"/>
  <c r="F14" i="40"/>
  <c r="G14" i="40"/>
  <c r="D14" i="40"/>
  <c r="E48" i="37" s="1"/>
  <c r="E14" i="40"/>
  <c r="G13" i="40"/>
  <c r="F13" i="40"/>
  <c r="D13" i="40"/>
  <c r="E13" i="40"/>
  <c r="G12" i="40"/>
  <c r="D12" i="40"/>
  <c r="E12" i="40"/>
  <c r="F12" i="40"/>
  <c r="D53" i="1"/>
  <c r="D54" i="1" s="1"/>
  <c r="D55" i="1" s="1"/>
  <c r="D56" i="1" s="1"/>
  <c r="D57" i="1" s="1"/>
  <c r="D58" i="1" s="1"/>
  <c r="E10" i="37" a="1"/>
  <c r="E10" i="37" s="1"/>
  <c r="F10" i="37" a="1"/>
  <c r="F10" i="37" s="1"/>
  <c r="G10" i="37" a="1"/>
  <c r="G10" i="37" s="1"/>
  <c r="I11" i="38"/>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I108" i="38" s="1"/>
  <c r="D32" i="1"/>
  <c r="D33" i="1" s="1"/>
  <c r="D34" i="1" s="1"/>
  <c r="D35" i="1" s="1"/>
  <c r="D36" i="1" s="1"/>
  <c r="D37" i="1" s="1"/>
  <c r="C47" i="37"/>
  <c r="C46" i="37"/>
  <c r="C45" i="37"/>
  <c r="C44" i="37"/>
  <c r="C27" i="37"/>
  <c r="E23" i="43" s="1"/>
  <c r="I23" i="43" s="1"/>
  <c r="C26" i="37"/>
  <c r="E22" i="43" s="1"/>
  <c r="I22" i="43" s="1"/>
  <c r="D26" i="37"/>
  <c r="G22" i="43" s="1"/>
  <c r="D27" i="37"/>
  <c r="G23" i="43" s="1"/>
  <c r="E14" i="38"/>
  <c r="G14" i="38"/>
  <c r="D14" i="38"/>
  <c r="F14" i="38"/>
  <c r="R30" i="39"/>
  <c r="R29" i="39"/>
  <c r="R28" i="39"/>
  <c r="R27" i="39"/>
  <c r="R26" i="39"/>
  <c r="R25" i="39"/>
  <c r="C12" i="34"/>
  <c r="D19" i="37" s="1"/>
  <c r="C13" i="34"/>
  <c r="D20" i="37" s="1"/>
  <c r="C14" i="34"/>
  <c r="D21" i="37" s="1"/>
  <c r="C15" i="34"/>
  <c r="D22" i="37" s="1"/>
  <c r="C11" i="34"/>
  <c r="D18" i="37" s="1"/>
  <c r="B12" i="34"/>
  <c r="B13" i="34"/>
  <c r="B14" i="34"/>
  <c r="B15" i="34"/>
  <c r="B11" i="34"/>
  <c r="D11" i="34" s="1"/>
  <c r="B4" i="39"/>
  <c r="E49" i="37" l="1"/>
  <c r="F14" i="37" a="1"/>
  <c r="F14" i="37" s="1"/>
  <c r="D14" i="37" a="1"/>
  <c r="D14" i="37" s="1"/>
  <c r="E14" i="37" a="1"/>
  <c r="E14" i="37" s="1"/>
  <c r="G14" i="37" a="1"/>
  <c r="G14" i="37" s="1"/>
  <c r="G9" i="37" a="1"/>
  <c r="G9" i="37" s="1"/>
  <c r="F9" i="37" a="1"/>
  <c r="F9" i="37" s="1"/>
  <c r="D9" i="37" a="1"/>
  <c r="D9" i="37" s="1"/>
  <c r="E9" i="37" a="1"/>
  <c r="E9" i="37" s="1"/>
  <c r="C20" i="37"/>
  <c r="E15" i="43" s="1"/>
  <c r="I15" i="43" s="1"/>
  <c r="E13" i="34"/>
  <c r="F13" i="34"/>
  <c r="G13" i="34"/>
  <c r="D13" i="34"/>
  <c r="C19" i="37"/>
  <c r="E14" i="43" s="1"/>
  <c r="I14" i="43" s="1"/>
  <c r="E12" i="34"/>
  <c r="G12" i="34"/>
  <c r="D12" i="34"/>
  <c r="F12" i="34"/>
  <c r="E11" i="34"/>
  <c r="F11" i="34"/>
  <c r="G11" i="34"/>
  <c r="C22" i="37"/>
  <c r="E17" i="43" s="1"/>
  <c r="I17" i="43" s="1"/>
  <c r="E15" i="34"/>
  <c r="G15" i="34"/>
  <c r="F15" i="34"/>
  <c r="D15" i="34"/>
  <c r="C21" i="37"/>
  <c r="E16" i="43" s="1"/>
  <c r="I16" i="43" s="1"/>
  <c r="F14" i="34"/>
  <c r="G14" i="34"/>
  <c r="D14" i="34"/>
  <c r="E14" i="34"/>
  <c r="G13" i="41"/>
  <c r="F13" i="41"/>
  <c r="C18" i="37"/>
  <c r="E13" i="43" s="1"/>
  <c r="I13" i="43" s="1"/>
  <c r="E40" i="37"/>
  <c r="E13" i="41"/>
  <c r="E46" i="37"/>
  <c r="E47" i="37"/>
  <c r="E44" i="37"/>
  <c r="E45" i="37"/>
  <c r="D13" i="41"/>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<sst xmlns="http://schemas.openxmlformats.org/spreadsheetml/2006/main" count="6874" uniqueCount="1496">
  <si>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</si>
  <si>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</si>
  <si>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</si>
  <si>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</si>
  <si>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</si>
  <si>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</si>
  <si>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</si>
  <si>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</si>
  <si>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</si>
  <si>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</si>
  <si>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</si>
  <si>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</si>
  <si>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</si>
  <si>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</si>
  <si>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</si>
  <si>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</si>
  <si>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</si>
  <si>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</si>
  <si>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</si>
  <si>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</si>
  <si>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</si>
  <si>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</si>
  <si>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</si>
  <si>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</si>
  <si>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</si>
  <si>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</si>
  <si>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</si>
  <si>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</si>
  <si>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</si>
  <si>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</si>
  <si>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</si>
  <si>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</si>
  <si>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</si>
  <si>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</si>
  <si>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</si>
  <si>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</si>
  <si>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Facility Type</t>
  </si>
  <si>
    <r>
      <t xml:space="preserve">Facility Type can either be </t>
    </r>
    <r>
      <rPr>
        <b/>
        <sz val="11"/>
        <color theme="1"/>
        <rFont val="Calibri"/>
        <family val="2"/>
        <scheme val="minor"/>
      </rPr>
      <t xml:space="preserve">office building </t>
    </r>
    <r>
      <rPr>
        <sz val="11"/>
        <color theme="1"/>
        <rFont val="Calibri"/>
        <family val="2"/>
        <scheme val="minor"/>
      </rPr>
      <t xml:space="preserve">or </t>
    </r>
    <r>
      <rPr>
        <b/>
        <sz val="11"/>
        <color theme="1"/>
        <rFont val="Calibri"/>
        <family val="2"/>
        <scheme val="minor"/>
      </rPr>
      <t>production area</t>
    </r>
  </si>
  <si>
    <t>Office</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</si>
  <si>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</si>
  <si>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</si>
  <si>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</si>
  <si>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</si>
  <si>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</si>
  <si>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</si>
  <si>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</si>
  <si>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</si>
  <si>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</si>
  <si>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</si>
  <si>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</si>
  <si>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</si>
  <si>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</si>
  <si>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</si>
  <si>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</si>
  <si>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</si>
  <si>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</si>
  <si>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</si>
  <si>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</si>
  <si>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</si>
  <si>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</si>
  <si>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</si>
  <si>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</si>
  <si>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</si>
  <si>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</si>
  <si>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</si>
  <si>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</si>
  <si>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</si>
  <si>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</si>
  <si>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</si>
  <si>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</si>
  <si>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</si>
  <si>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</si>
  <si>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</si>
  <si>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</si>
  <si>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</si>
  <si>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</si>
  <si>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</si>
  <si>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</si>
  <si>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</si>
  <si>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</si>
  <si>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</si>
  <si>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</si>
  <si>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</si>
  <si>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</si>
  <si>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</si>
  <si>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</si>
  <si>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</si>
  <si>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</si>
  <si>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</si>
  <si>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</si>
  <si>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</si>
  <si>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</si>
  <si>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</si>
  <si>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</si>
  <si>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</si>
  <si>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</si>
  <si>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</si>
  <si>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</si>
  <si>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</si>
  <si>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</si>
  <si>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</si>
  <si>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</si>
  <si>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</si>
  <si>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</si>
  <si>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</si>
  <si>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</si>
  <si>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</si>
  <si>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</si>
  <si>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</si>
  <si>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</si>
  <si>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</si>
  <si>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</si>
  <si>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</si>
  <si>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</si>
  <si>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</si>
  <si>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</si>
  <si>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</si>
  <si>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</si>
  <si>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</si>
  <si>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</si>
  <si>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</si>
  <si>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</si>
  <si>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</si>
  <si>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</si>
  <si>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</si>
  <si>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</si>
  <si>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</si>
  <si>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</si>
  <si>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</si>
  <si>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</si>
  <si>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</si>
  <si>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</si>
  <si>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</si>
  <si>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</si>
  <si>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</si>
  <si>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</si>
  <si>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</si>
  <si>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</si>
  <si>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</si>
  <si>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</si>
  <si>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</si>
  <si>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scheme val="minor"/>
      </rPr>
      <t xml:space="preserve">Categorization of waste:
</t>
    </r>
    <r>
      <rPr>
        <sz val="11"/>
        <color rgb="FF000000"/>
        <rFont val="Calibri"/>
        <family val="2"/>
        <scheme val="minor"/>
      </rPr>
      <t xml:space="preserve">1. </t>
    </r>
    <r>
      <rPr>
        <b/>
        <sz val="11"/>
        <color rgb="FF000000"/>
        <rFont val="Calibri"/>
        <family val="2"/>
        <scheme val="minor"/>
      </rPr>
      <t xml:space="preserve">Compostable </t>
    </r>
    <r>
      <rPr>
        <sz val="11"/>
        <color rgb="FF000000"/>
        <rFont val="Calibri"/>
        <family val="2"/>
        <scheme val="minor"/>
      </rPr>
      <t xml:space="preserve">- organic waste that can be broken down to compost such as leftover foods, twigs, and leaves
2. </t>
    </r>
    <r>
      <rPr>
        <b/>
        <sz val="11"/>
        <color rgb="FF000000"/>
        <rFont val="Calibri"/>
        <family val="2"/>
        <scheme val="minor"/>
      </rPr>
      <t>Recyclable</t>
    </r>
    <r>
      <rPr>
        <sz val="11"/>
        <color rgb="FF000000"/>
        <rFont val="Calibri"/>
        <family val="2"/>
        <scheme val="minor"/>
      </rPr>
      <t xml:space="preserve"> - waste that are either saleable, or non-saleable but can be processed and reused
3.</t>
    </r>
    <r>
      <rPr>
        <b/>
        <sz val="11"/>
        <color rgb="FF000000"/>
        <rFont val="Calibri"/>
        <family val="2"/>
        <scheme val="minor"/>
      </rPr>
      <t xml:space="preserve"> Security</t>
    </r>
    <r>
      <rPr>
        <sz val="11"/>
        <color rgb="FF000000"/>
        <rFont val="Calibri"/>
        <family val="2"/>
        <scheme val="minor"/>
      </rPr>
      <t xml:space="preserve"> - non-hazardous waste generated from currency production operations
4. </t>
    </r>
    <r>
      <rPr>
        <b/>
        <sz val="11"/>
        <color rgb="FF000000"/>
        <rFont val="Calibri"/>
        <family val="2"/>
        <scheme val="minor"/>
      </rPr>
      <t>Hazardou</t>
    </r>
    <r>
      <rPr>
        <sz val="11"/>
        <color rgb="FF000000"/>
        <rFont val="Calibri"/>
        <family val="2"/>
        <scheme val="minor"/>
      </rPr>
      <t xml:space="preserve">s - wastes containing hazardous substances that are no longer recyclable such as inks and ink-contamindated materials, and waste from electrical and electronic equipment
5. </t>
    </r>
    <r>
      <rPr>
        <b/>
        <sz val="11"/>
        <color rgb="FF000000"/>
        <rFont val="Calibri"/>
        <family val="2"/>
        <scheme val="minor"/>
      </rPr>
      <t>Infectious</t>
    </r>
    <r>
      <rPr>
        <sz val="11"/>
        <color rgb="FF000000"/>
        <rFont val="Calibri"/>
        <family val="2"/>
        <scheme val="minor"/>
      </rPr>
      <t xml:space="preserve"> - contaminated health care wastes
6. </t>
    </r>
    <r>
      <rPr>
        <b/>
        <sz val="11"/>
        <color rgb="FF000000"/>
        <rFont val="Calibri"/>
        <family val="2"/>
        <scheme val="minor"/>
      </rPr>
      <t>Residual</t>
    </r>
    <r>
      <rPr>
        <sz val="11"/>
        <color rgb="FF000000"/>
        <rFont val="Calibri"/>
        <family val="2"/>
        <scheme val="minor"/>
      </rPr>
      <t>/</t>
    </r>
    <r>
      <rPr>
        <b/>
        <sz val="11"/>
        <color rgb="FF000000"/>
        <rFont val="Calibri"/>
        <family val="2"/>
        <scheme val="minor"/>
      </rPr>
      <t>Landfill</t>
    </r>
    <r>
      <rPr>
        <sz val="11"/>
        <color rgb="FF000000"/>
        <rFont val="Calibri"/>
        <family val="2"/>
        <scheme val="minor"/>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</si>
  <si>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</si>
  <si>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</si>
  <si>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</si>
  <si>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</si>
  <si>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</si>
  <si>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</si>
  <si>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</si>
  <si>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</si>
  <si>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</si>
  <si>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Security Plant Complex</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</si>
  <si>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</si>
  <si>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</si>
  <si>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</si>
  <si>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</si>
  <si>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</si>
  <si>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</si>
  <si>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</si>
  <si>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</si>
  <si>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</si>
  <si>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</si>
  <si>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</si>
  <si>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</si>
  <si>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</si>
  <si>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</si>
  <si>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</si>
  <si>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</si>
  <si>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</si>
  <si>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</si>
  <si>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</si>
  <si>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</si>
  <si>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</si>
  <si>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</si>
  <si>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</si>
  <si>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</si>
  <si>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</si>
  <si>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</si>
  <si>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</si>
  <si>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Production area</t>
  </si>
  <si>
    <t>Mar</t>
  </si>
  <si>
    <t>SPC - Main Complex</t>
  </si>
  <si>
    <t>SPC- Mint Plant</t>
  </si>
  <si>
    <t>Jun</t>
  </si>
  <si>
    <t>Sep</t>
  </si>
  <si>
    <t>Dec</t>
  </si>
  <si>
    <t>Text input</t>
  </si>
  <si>
    <t>Dropdown input</t>
  </si>
  <si>
    <t>Automated / No input</t>
  </si>
  <si>
    <t>add more rows if necessary</t>
  </si>
  <si>
    <t>Monthly Fuel Consumption - Fuel (Additional note/s)</t>
  </si>
  <si>
    <t>Total kilometers travelled (all vehicles)</t>
  </si>
  <si>
    <t xml:space="preserve">Van  </t>
  </si>
  <si>
    <t>Jan</t>
  </si>
  <si>
    <t>Multi-Purpose Vehicle</t>
  </si>
  <si>
    <t>Others</t>
  </si>
  <si>
    <t>Apr</t>
  </si>
  <si>
    <t>May</t>
  </si>
  <si>
    <t>Jul</t>
  </si>
  <si>
    <t>Oct</t>
  </si>
  <si>
    <t>Nov</t>
  </si>
  <si>
    <t>Refrigerant Use  (Additional note/s)</t>
  </si>
  <si>
    <t>REFRIGERANTS</t>
  </si>
  <si>
    <t>New</t>
  </si>
  <si>
    <t>In Operation</t>
  </si>
  <si>
    <t>Month Purchased</t>
  </si>
  <si>
    <t>Recharge (kg)</t>
  </si>
  <si>
    <t>Capacity (kg)</t>
  </si>
  <si>
    <t>Chillers</t>
  </si>
  <si>
    <t>R134A</t>
  </si>
  <si>
    <t>In operation</t>
  </si>
  <si>
    <t>New installation</t>
  </si>
  <si>
    <t>No. of units</t>
  </si>
  <si>
    <t>SPC - Mint Plant</t>
  </si>
  <si>
    <t>R410A</t>
  </si>
  <si>
    <t>Residential and Commercial A/C, including Heat Pumps</t>
  </si>
  <si>
    <t>R22</t>
  </si>
  <si>
    <t>R141B</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</si>
  <si>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</si>
  <si>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</si>
  <si>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</si>
  <si>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</si>
  <si>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</si>
  <si>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</si>
  <si>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</si>
  <si>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Systems producing chilled water for cooling large spaces or industrial processes.</t>
  </si>
  <si>
    <t>Chillers in HVAC systems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</si>
  <si>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</si>
  <si>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</si>
  <si>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</si>
  <si>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</si>
  <si>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</si>
  <si>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</si>
  <si>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SEHA</t>
  </si>
  <si>
    <t>MARIKINA</t>
  </si>
  <si>
    <t>KAMUNING</t>
  </si>
  <si>
    <t>OLD PARKING</t>
  </si>
  <si>
    <t>Quantity</t>
  </si>
  <si>
    <t>Kilowatt-hour</t>
  </si>
  <si>
    <t>NEW MINT PLANT</t>
  </si>
  <si>
    <t>MOTORPOOL</t>
  </si>
  <si>
    <t>Renewable Energy Generation (Additional note/s)</t>
  </si>
  <si>
    <t>Accomplish this sheet only if the BSP facility has solar panels.</t>
  </si>
  <si>
    <t>RENEWABLE ENERGY</t>
  </si>
  <si>
    <t>Operational Energy Demand - One Shift (kWH)</t>
  </si>
  <si>
    <t>Summary of Solar Energy Generated</t>
  </si>
  <si>
    <t>Water (Additional note/s)</t>
  </si>
  <si>
    <t>If billing/metering period covers 2 months, input Month 1.</t>
  </si>
  <si>
    <t>Example: Mar 15-Apr 14, input Mar. You may indicate in the remarks column the full billing/metering period.</t>
  </si>
  <si>
    <t>SPC2 (11192773)</t>
  </si>
  <si>
    <t>Summary of Water Use</t>
  </si>
  <si>
    <t>Cubic meters</t>
  </si>
  <si>
    <t>PARKING (15198411)</t>
  </si>
  <si>
    <t>MOTORPOOL (15335932)</t>
  </si>
  <si>
    <t>SEHA (13347684)</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</si>
  <si>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</si>
  <si>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</si>
  <si>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</si>
  <si>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</si>
  <si>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</si>
  <si>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</si>
  <si>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</si>
  <si>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</si>
  <si>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</si>
  <si>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</si>
  <si>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</si>
  <si>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</si>
  <si>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</si>
  <si>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</si>
  <si>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</si>
  <si>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</si>
  <si>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</si>
  <si>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</si>
  <si>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</si>
  <si>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</si>
  <si>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</si>
  <si>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</si>
  <si>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</si>
  <si>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</si>
  <si>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</si>
  <si>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</si>
  <si>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</si>
  <si>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</si>
  <si>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</si>
  <si>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</si>
  <si>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</si>
  <si>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</si>
  <si>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</si>
  <si>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</si>
  <si>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</si>
  <si>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</si>
  <si>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</si>
  <si>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</si>
  <si>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</si>
  <si>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</si>
  <si>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</si>
  <si>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</si>
  <si>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</si>
  <si>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</si>
  <si>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</si>
  <si>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</si>
  <si>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</si>
  <si>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</si>
  <si>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</si>
  <si>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</si>
  <si>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</si>
  <si>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</si>
  <si>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</si>
  <si>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</si>
  <si>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</si>
  <si>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</si>
  <si>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</si>
  <si>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</si>
  <si>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</si>
  <si>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</si>
  <si>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</si>
  <si>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</si>
  <si>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Hazardous</t>
  </si>
  <si>
    <t>Waste treatment company</t>
  </si>
  <si>
    <t>Third-party contract; DENR-accredited</t>
  </si>
  <si>
    <t>Kilograms</t>
  </si>
  <si>
    <t>Residual/Landfill</t>
  </si>
  <si>
    <t>Infectious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</si>
  <si>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</si>
  <si>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</si>
  <si>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</si>
  <si>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</si>
  <si>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</si>
  <si>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</si>
  <si>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</si>
  <si>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</si>
  <si>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</si>
  <si>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</si>
  <si>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</si>
  <si>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</si>
  <si>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</si>
  <si>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</si>
  <si>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</si>
  <si>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</si>
  <si>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</si>
  <si>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</si>
  <si>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</si>
  <si>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</si>
  <si>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</si>
  <si>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</si>
  <si>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</si>
  <si>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</si>
  <si>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</si>
  <si>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</si>
  <si>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</si>
  <si>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</si>
  <si>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</si>
  <si>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</si>
  <si>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</si>
  <si>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</si>
  <si>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</si>
  <si>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</si>
  <si>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</si>
  <si>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</si>
  <si>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</si>
  <si>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</si>
  <si>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</si>
  <si>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</si>
  <si>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</si>
  <si>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</si>
  <si>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</si>
  <si>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</si>
  <si>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</si>
  <si>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</si>
  <si>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</si>
  <si>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</si>
  <si>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</si>
  <si>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</si>
  <si>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</si>
  <si>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</si>
  <si>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Yes</t>
  </si>
  <si>
    <t>Onsite Treatment Facility</t>
  </si>
  <si>
    <t>Y</t>
  </si>
  <si>
    <t>Armored Vehicle</t>
  </si>
  <si>
    <t>ABRECO</t>
  </si>
  <si>
    <t>R</t>
  </si>
  <si>
    <t>Composting</t>
  </si>
  <si>
    <t>Offsite</t>
  </si>
  <si>
    <t>Batac Branch</t>
  </si>
  <si>
    <t>North Luzon</t>
  </si>
  <si>
    <t>N</t>
  </si>
  <si>
    <t>Sedan</t>
  </si>
  <si>
    <t>AEC</t>
  </si>
  <si>
    <t>Recycling Service Provider</t>
  </si>
  <si>
    <t>In-house recycling/repurposing</t>
  </si>
  <si>
    <t>Butuan Branch</t>
  </si>
  <si>
    <t>Mindanao</t>
  </si>
  <si>
    <t>Gasoline - Others</t>
  </si>
  <si>
    <t>AKELCO</t>
  </si>
  <si>
    <t>Security</t>
  </si>
  <si>
    <t>Incineration with energy recovery</t>
  </si>
  <si>
    <t>Cabanatuan Branch</t>
  </si>
  <si>
    <t>LPG - Heating and cooking</t>
  </si>
  <si>
    <t>R32</t>
  </si>
  <si>
    <t>Industrial Process Water</t>
  </si>
  <si>
    <t>Sport Utility Vehicle  (SUV)</t>
  </si>
  <si>
    <t>ALECO/APEC</t>
  </si>
  <si>
    <t>In-house recyling/repurposing</t>
  </si>
  <si>
    <t>Cagayan De Oro Branch</t>
  </si>
  <si>
    <t>Compressed natural gas</t>
  </si>
  <si>
    <t>ANECO</t>
  </si>
  <si>
    <t>Auction/Donation</t>
  </si>
  <si>
    <t>Cotabato Branch</t>
  </si>
  <si>
    <t>Mini Bus/Coaster</t>
  </si>
  <si>
    <t>ANTECO</t>
  </si>
  <si>
    <t>Dagupan Branch</t>
  </si>
  <si>
    <t>Hybrid-Sedan</t>
  </si>
  <si>
    <t>ASELCO</t>
  </si>
  <si>
    <t>Dumaguete Branch</t>
  </si>
  <si>
    <t>Hybrid-SUV</t>
  </si>
  <si>
    <t>AURELCO</t>
  </si>
  <si>
    <t>General Santos Branch</t>
  </si>
  <si>
    <t>BANELCO</t>
  </si>
  <si>
    <t>Metro Manila</t>
  </si>
  <si>
    <t>BASELCO</t>
  </si>
  <si>
    <t>Iloilo Branch</t>
  </si>
  <si>
    <t>Fuel Type - Mobile</t>
  </si>
  <si>
    <t>BATANELCO</t>
  </si>
  <si>
    <t>La Union Branch</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</si>
  <si>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</si>
  <si>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</si>
  <si>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</si>
  <si>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</si>
  <si>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</si>
  <si>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</si>
  <si>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</si>
  <si>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</si>
  <si>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</si>
  <si>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</si>
  <si>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</si>
  <si>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</si>
  <si>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</si>
  <si>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</si>
  <si>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</si>
  <si>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</si>
  <si>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</si>
  <si>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</si>
  <si>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</si>
  <si>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</si>
  <si>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</si>
  <si>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</si>
  <si>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</si>
  <si>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</si>
  <si>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</si>
  <si>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</si>
  <si>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</si>
  <si>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</si>
  <si>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</si>
  <si>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</si>
  <si>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</si>
  <si>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</si>
  <si>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</si>
  <si>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</si>
  <si>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</si>
  <si>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</si>
  <si>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</si>
  <si>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</si>
  <si>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</si>
  <si>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</si>
  <si>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</si>
  <si>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</si>
  <si>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</si>
  <si>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</si>
  <si>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</si>
  <si>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</si>
  <si>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</si>
  <si>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</si>
  <si>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</si>
  <si>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</si>
  <si>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</si>
  <si>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</si>
  <si>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</si>
  <si>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</si>
  <si>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</si>
  <si>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</si>
  <si>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</si>
  <si>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</si>
  <si>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</si>
  <si>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</si>
  <si>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</si>
  <si>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</si>
  <si>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</si>
  <si>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</si>
  <si>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</si>
  <si>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</si>
  <si>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</si>
  <si>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</si>
  <si>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</si>
  <si>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</si>
  <si>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</si>
  <si>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</si>
  <si>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</si>
  <si>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</si>
  <si>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</si>
  <si>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</si>
  <si>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</si>
  <si>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</si>
  <si>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</si>
  <si>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</si>
  <si>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</si>
  <si>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</si>
  <si>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</si>
  <si>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</si>
  <si>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</si>
  <si>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</si>
  <si>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</si>
  <si>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</si>
  <si>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</si>
  <si>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</si>
  <si>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</si>
  <si>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</si>
  <si>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</si>
  <si>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</si>
  <si>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</si>
  <si>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</si>
  <si>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</si>
  <si>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</si>
  <si>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</si>
  <si>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</si>
  <si>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</si>
  <si>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</si>
  <si>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</si>
  <si>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</si>
  <si>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</si>
  <si>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</si>
  <si>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</si>
  <si>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</si>
  <si>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</si>
  <si>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</si>
  <si>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</si>
  <si>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</si>
  <si>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</si>
  <si>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</si>
  <si>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</si>
  <si>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</si>
  <si>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</si>
  <si>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</si>
  <si>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</si>
  <si>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</si>
  <si>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</si>
  <si>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</si>
  <si>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</si>
  <si>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</si>
  <si>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</si>
  <si>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</si>
  <si>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</si>
  <si>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</si>
  <si>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</si>
  <si>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</si>
  <si>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</si>
  <si>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</si>
  <si>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</si>
  <si>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</si>
  <si>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</si>
  <si>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</si>
  <si>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</si>
  <si>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</si>
  <si>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</si>
  <si>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</si>
  <si>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</si>
  <si>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</si>
  <si>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</si>
  <si>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</si>
  <si>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</si>
  <si>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</si>
  <si>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</si>
  <si>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</si>
  <si>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</si>
  <si>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</si>
  <si>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</si>
  <si>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</si>
  <si>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</si>
  <si>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</si>
  <si>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</si>
  <si>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</si>
  <si>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</si>
  <si>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</si>
  <si>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</si>
  <si>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</si>
  <si>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</si>
  <si>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</si>
  <si>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</si>
  <si>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</si>
  <si>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</si>
  <si>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</si>
  <si>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</si>
  <si>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</si>
  <si>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</si>
  <si>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</si>
  <si>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</si>
  <si>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</si>
  <si>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</si>
  <si>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</si>
  <si>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</si>
  <si>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</si>
  <si>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</si>
  <si>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</si>
  <si>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</si>
  <si>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</si>
  <si>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</si>
  <si>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</si>
  <si>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</si>
  <si>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</si>
  <si>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</si>
  <si>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</si>
  <si>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</si>
  <si>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</si>
  <si>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</si>
  <si>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</si>
  <si>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</si>
  <si>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</si>
  <si>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</si>
  <si>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</si>
  <si>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</si>
  <si>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</si>
  <si>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</si>
  <si>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</si>
  <si>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</si>
  <si>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</si>
  <si>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</si>
  <si>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</si>
  <si>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</si>
  <si>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</si>
  <si>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</si>
  <si>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</si>
  <si>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</si>
  <si>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</si>
  <si>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</si>
  <si>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</si>
  <si>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</si>
  <si>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</si>
  <si>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</si>
  <si>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</si>
  <si>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</si>
  <si>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</si>
  <si>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</si>
  <si>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</si>
  <si>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</si>
  <si>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</si>
  <si>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</si>
  <si>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</si>
  <si>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</si>
  <si>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</si>
  <si>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</si>
  <si>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</si>
  <si>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</si>
  <si>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</si>
  <si>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</si>
  <si>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</si>
  <si>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</si>
  <si>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</si>
  <si>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</si>
  <si>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</si>
  <si>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</si>
  <si>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</si>
  <si>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</si>
  <si>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</si>
  <si>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</si>
  <si>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</si>
  <si>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</si>
  <si>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</si>
  <si>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</si>
  <si>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</si>
  <si>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</si>
  <si>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</si>
  <si>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</si>
  <si>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</si>
  <si>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</si>
  <si>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</si>
  <si>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</si>
  <si>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</si>
  <si>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</si>
  <si>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</si>
  <si>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</si>
  <si>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</si>
  <si>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</si>
  <si>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</si>
  <si>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</si>
  <si>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</si>
  <si>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</si>
  <si>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</si>
  <si>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</si>
  <si>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</si>
  <si>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</si>
  <si>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</si>
  <si>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</si>
  <si>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</si>
  <si>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</si>
  <si>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</si>
  <si>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</si>
  <si>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</si>
  <si>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</si>
  <si>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</si>
  <si>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</si>
  <si>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</si>
  <si>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</si>
  <si>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</si>
  <si>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</si>
  <si>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</si>
  <si>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</si>
  <si>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</si>
  <si>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</si>
  <si>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</si>
  <si>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</si>
  <si>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</si>
  <si>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</si>
  <si>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</si>
  <si>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</si>
  <si>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</si>
  <si>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</si>
  <si>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</si>
  <si>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</si>
  <si>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</si>
  <si>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</si>
  <si>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</si>
  <si>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</si>
  <si>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</si>
  <si>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</si>
  <si>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</si>
  <si>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</si>
  <si>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</si>
  <si>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</si>
  <si>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</si>
  <si>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</si>
  <si>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</si>
  <si>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</si>
  <si>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</si>
  <si>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</si>
  <si>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</si>
  <si>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</si>
  <si>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</si>
  <si>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</si>
  <si>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</si>
  <si>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</si>
  <si>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</si>
  <si>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</si>
  <si>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</si>
  <si>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</si>
  <si>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</si>
  <si>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</si>
  <si>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</si>
  <si>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</si>
  <si>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</si>
  <si>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</si>
  <si>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</si>
  <si>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</si>
  <si>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</si>
  <si>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</si>
  <si>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</si>
  <si>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</si>
  <si>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</si>
  <si>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</si>
  <si>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</si>
  <si>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</si>
  <si>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</si>
  <si>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</si>
  <si>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</si>
  <si>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</si>
  <si>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</si>
  <si>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</si>
  <si>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</si>
  <si>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</si>
  <si>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</si>
  <si>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</si>
  <si>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</si>
  <si>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</si>
  <si>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</si>
  <si>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</si>
  <si>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</si>
  <si>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</si>
  <si>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</si>
  <si>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</si>
  <si>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</si>
  <si>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</si>
  <si>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</si>
  <si>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</si>
  <si>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</si>
  <si>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</si>
  <si>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</si>
  <si>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</si>
  <si>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</si>
  <si>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</si>
  <si>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</si>
  <si>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</si>
  <si>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</si>
  <si>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</si>
  <si>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</si>
  <si>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</si>
  <si>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</si>
  <si>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</si>
  <si>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</si>
  <si>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</si>
  <si>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</si>
  <si>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</si>
  <si>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</si>
  <si>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</si>
  <si>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</si>
  <si>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</si>
  <si>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</si>
  <si>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</si>
  <si>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</si>
  <si>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</si>
  <si>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</si>
  <si>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</si>
  <si>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</si>
  <si>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</si>
  <si>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</si>
  <si>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</si>
  <si>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</si>
  <si>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</si>
  <si>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</si>
  <si>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</si>
  <si>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</si>
  <si>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</si>
  <si>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</si>
  <si>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</si>
  <si>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</si>
  <si>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</si>
  <si>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</si>
  <si>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</si>
  <si>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</si>
  <si>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</si>
  <si>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</si>
  <si>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</si>
  <si>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</si>
  <si>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</si>
  <si>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</si>
  <si>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</si>
  <si>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</si>
  <si>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</si>
  <si>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</si>
  <si>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</si>
  <si>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</si>
  <si>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</si>
  <si>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</si>
  <si>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</si>
  <si>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</si>
  <si>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</si>
  <si>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</si>
  <si>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</si>
  <si>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</si>
  <si>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</si>
  <si>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</si>
  <si>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</si>
  <si>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</si>
  <si>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</si>
  <si>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</si>
  <si>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</si>
  <si>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</si>
  <si>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</si>
  <si>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</si>
  <si>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</si>
  <si>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</si>
  <si>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</si>
  <si>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</si>
  <si>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</si>
  <si>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</si>
  <si>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</si>
  <si>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</si>
  <si>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</si>
  <si>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</si>
  <si>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</si>
  <si>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</si>
  <si>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</si>
  <si>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</si>
  <si>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</si>
  <si>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</si>
  <si>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</si>
  <si>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</si>
  <si>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</si>
  <si>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</si>
  <si>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</si>
  <si>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</si>
  <si>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</si>
  <si>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</si>
  <si>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</si>
  <si>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</si>
  <si>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</si>
  <si>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</si>
  <si>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</si>
  <si>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</si>
  <si>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</si>
  <si>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</si>
  <si>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</si>
  <si>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</si>
  <si>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</si>
  <si>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</si>
  <si>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</si>
  <si>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</si>
  <si>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</si>
  <si>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</si>
  <si>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</si>
  <si>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</si>
  <si>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</si>
  <si>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</si>
  <si>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</si>
  <si>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</si>
  <si>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</si>
  <si>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</si>
  <si>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</si>
  <si>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</si>
  <si>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</si>
  <si>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</si>
  <si>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</si>
  <si>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</si>
  <si>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</si>
  <si>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</si>
  <si>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</si>
  <si>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</si>
  <si>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</si>
  <si>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</si>
  <si>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</si>
  <si>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</si>
  <si>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</si>
  <si>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</si>
  <si>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</si>
  <si>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</si>
  <si>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</si>
  <si>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</si>
  <si>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</si>
  <si>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</si>
  <si>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</si>
  <si>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</si>
  <si>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</si>
  <si>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</si>
  <si>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</si>
  <si>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</si>
  <si>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</si>
  <si>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</si>
  <si>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</si>
  <si>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</si>
  <si>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</si>
  <si>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</si>
  <si>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</si>
  <si>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</si>
  <si>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</si>
  <si>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</si>
  <si>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</si>
  <si>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</si>
  <si>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</si>
  <si>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</si>
  <si>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</si>
  <si>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</si>
  <si>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</si>
  <si>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</si>
  <si>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</si>
  <si>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</si>
  <si>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</si>
  <si>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</si>
  <si>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</si>
  <si>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</si>
  <si>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</si>
  <si>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</si>
  <si>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</si>
  <si>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</si>
  <si>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</si>
  <si>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</si>
  <si>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</si>
  <si>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</si>
  <si>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</si>
  <si>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</si>
  <si>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</si>
  <si>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</si>
  <si>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</si>
  <si>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</si>
  <si>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</si>
  <si>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</si>
  <si>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</si>
  <si>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</si>
  <si>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</si>
  <si>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</si>
  <si>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</si>
  <si>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</si>
  <si>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</si>
  <si>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</si>
  <si>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</si>
  <si>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</si>
  <si>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</si>
  <si>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</si>
  <si>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</si>
  <si>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</si>
  <si>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</si>
  <si>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</si>
  <si>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</si>
  <si>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</si>
  <si>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</si>
  <si>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</si>
  <si>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</si>
  <si>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</si>
  <si>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</si>
  <si>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</si>
  <si>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</si>
  <si>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</si>
  <si>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</si>
  <si>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</si>
  <si>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</si>
  <si>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</si>
  <si>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</si>
  <si>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</si>
  <si>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</si>
  <si>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</si>
  <si>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</si>
  <si>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</si>
  <si>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</si>
  <si>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</si>
  <si>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</si>
  <si>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</si>
  <si>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</si>
  <si>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</si>
  <si>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</si>
  <si>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</si>
  <si>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</si>
  <si>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</si>
  <si>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</si>
  <si>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</si>
  <si>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</si>
  <si>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</si>
  <si>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</si>
  <si>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</si>
  <si>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</si>
  <si>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</si>
  <si>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</si>
  <si>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</si>
  <si>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</si>
  <si>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</si>
  <si>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</si>
  <si>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</si>
  <si>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</si>
  <si>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</si>
  <si>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</si>
  <si>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</si>
  <si>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</si>
  <si>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</si>
  <si>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</si>
  <si>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</si>
  <si>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</si>
  <si>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</si>
  <si>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</si>
  <si>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</si>
  <si>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</si>
  <si>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</si>
  <si>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</si>
  <si>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</si>
  <si>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</si>
  <si>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</si>
  <si>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</si>
  <si>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</si>
  <si>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</si>
  <si>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</si>
  <si>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</si>
  <si>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</si>
  <si>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</si>
  <si>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</si>
  <si>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</si>
  <si>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</si>
  <si>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</si>
  <si>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</si>
  <si>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</si>
  <si>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</si>
  <si>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</si>
  <si>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</si>
  <si>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</si>
  <si>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</si>
  <si>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</si>
  <si>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</si>
  <si>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</si>
  <si>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</si>
  <si>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</si>
  <si>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</si>
  <si>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</si>
  <si>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</si>
  <si>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</si>
  <si>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</si>
  <si>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</si>
  <si>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</si>
  <si>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</si>
  <si>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</si>
  <si>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</si>
  <si>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</si>
  <si>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</si>
  <si>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</si>
  <si>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</si>
  <si>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</si>
  <si>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</si>
  <si>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</si>
  <si>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</si>
  <si>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</si>
  <si>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</si>
  <si>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</si>
  <si>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</si>
  <si>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</si>
  <si>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</si>
  <si>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</si>
  <si>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</si>
  <si>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</si>
  <si>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</si>
  <si>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</si>
  <si>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</si>
  <si>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</si>
  <si>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</si>
  <si>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</si>
  <si>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</si>
  <si>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</si>
  <si>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</si>
  <si>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</si>
  <si>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</si>
  <si>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</si>
  <si>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</si>
  <si>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</si>
  <si>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</si>
  <si>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</si>
  <si>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</si>
  <si>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</si>
  <si>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</si>
  <si>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</si>
  <si>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</si>
  <si>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</si>
  <si>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</si>
  <si>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</si>
  <si>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</si>
  <si>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</si>
  <si>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</si>
  <si>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</si>
  <si>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</si>
  <si>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</si>
  <si>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</si>
  <si>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</si>
  <si>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</si>
  <si>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</si>
  <si>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</si>
  <si>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</si>
  <si>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</si>
  <si>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</si>
  <si>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</si>
  <si>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</si>
  <si>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</si>
  <si>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</si>
  <si>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</si>
  <si>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</si>
  <si>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</si>
  <si>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</si>
  <si>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</si>
  <si>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</si>
  <si>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</si>
  <si>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</si>
  <si>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</si>
  <si>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</si>
  <si>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</si>
  <si>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</si>
  <si>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</si>
  <si>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</si>
  <si>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</si>
  <si>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</si>
  <si>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</si>
  <si>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</si>
  <si>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</si>
  <si>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</si>
  <si>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</si>
  <si>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</si>
  <si>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</si>
  <si>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</si>
  <si>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</si>
  <si>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</si>
  <si>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</si>
  <si>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</si>
  <si>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</si>
  <si>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</si>
  <si>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</si>
  <si>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</si>
  <si>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</si>
  <si>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</si>
  <si>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</si>
  <si>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</si>
  <si>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</si>
  <si>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</si>
  <si>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</si>
  <si>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</si>
  <si>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</si>
  <si>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</si>
  <si>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$F$68</t>
  </si>
  <si>
    <t>$F$95</t>
  </si>
  <si>
    <t>$F$102</t>
  </si>
  <si>
    <t>$D$73</t>
  </si>
  <si>
    <t>$B$9</t>
  </si>
  <si>
    <t>$12:$12</t>
  </si>
  <si>
    <t>$C$12</t>
  </si>
  <si>
    <t>$D$12</t>
  </si>
  <si>
    <t>$D$12:$G$12</t>
  </si>
  <si>
    <t>$32:$36</t>
  </si>
  <si>
    <t>$37:$37</t>
  </si>
  <si>
    <t>$E$35</t>
  </si>
  <si>
    <t>$C$48:$E$48</t>
  </si>
  <si>
    <t>$C$49:$E$49</t>
  </si>
  <si>
    <t>Landfill</t>
  </si>
  <si>
    <t>$J$9</t>
  </si>
  <si>
    <t>$J$9:$K$9</t>
  </si>
  <si>
    <t>$110:$110</t>
  </si>
  <si>
    <t>$E$109</t>
  </si>
  <si>
    <t>$E$43</t>
  </si>
  <si>
    <t>Disposed/Recovered</t>
  </si>
  <si>
    <t>$I$3</t>
  </si>
  <si>
    <t>$I$4</t>
  </si>
  <si>
    <t>Example: Mar 15-Apr 14, input Mar. Indicate in remarks full billing/metering period.</t>
  </si>
  <si>
    <t>Select the waste disposal/recovery method:
1. LGU garbage collection
2. Waste treatment company
3. Recycling service provider
4. Composting
5. In-house recycling/repurposing
6. Auction/Donation
7. Others</t>
  </si>
  <si>
    <t>$B$12:$B$15</t>
  </si>
  <si>
    <t>$B$12</t>
  </si>
  <si>
    <t>LEGEND</t>
  </si>
  <si>
    <t>$A$27:$C$33</t>
  </si>
  <si>
    <t>$C$35</t>
  </si>
  <si>
    <t>$D$35</t>
  </si>
  <si>
    <t>$C$34</t>
  </si>
  <si>
    <t>$D$34</t>
  </si>
  <si>
    <t>$D$3:$G$3</t>
  </si>
  <si>
    <t>$B$10</t>
  </si>
  <si>
    <t>$B$6</t>
  </si>
  <si>
    <t>$B$7</t>
  </si>
  <si>
    <t>$L$17</t>
  </si>
  <si>
    <t>$I$9:$X$9</t>
  </si>
  <si>
    <t>$N$15</t>
  </si>
  <si>
    <t>$X$9</t>
  </si>
  <si>
    <t>2.1b Fuel - Mobile</t>
  </si>
  <si>
    <t>$B$23:$G$33</t>
  </si>
  <si>
    <t>$B$5:$B$12</t>
  </si>
  <si>
    <t>2.1b Fuel - Vehicle</t>
  </si>
  <si>
    <t>$D$3</t>
  </si>
  <si>
    <t>Romella B. Chiu</t>
  </si>
  <si>
    <t>$D$2</t>
  </si>
  <si>
    <t>$J$8</t>
  </si>
  <si>
    <t>$J$13</t>
  </si>
  <si>
    <t>$J$14</t>
  </si>
  <si>
    <t>$J$15</t>
  </si>
  <si>
    <t>$L$15</t>
  </si>
  <si>
    <t>$L$16</t>
  </si>
  <si>
    <t>$L$18</t>
  </si>
  <si>
    <t>$L$19</t>
  </si>
  <si>
    <t>$N$11</t>
  </si>
  <si>
    <t>$N$12</t>
  </si>
  <si>
    <t>$N$13</t>
  </si>
  <si>
    <t>$N$14</t>
  </si>
  <si>
    <t>$N$16</t>
  </si>
  <si>
    <t>$N$17</t>
  </si>
  <si>
    <t>$N$18</t>
  </si>
  <si>
    <t>$N$19</t>
  </si>
  <si>
    <t>$O$9</t>
  </si>
  <si>
    <t>$O$11</t>
  </si>
  <si>
    <t>$O$13</t>
  </si>
  <si>
    <t>$O$14</t>
  </si>
  <si>
    <t>$O$15</t>
  </si>
  <si>
    <t>$O$16</t>
  </si>
  <si>
    <t>$O$17</t>
  </si>
  <si>
    <t>$O$18</t>
  </si>
  <si>
    <t>$O$19</t>
  </si>
  <si>
    <t>$M$8</t>
  </si>
  <si>
    <t>$L$20</t>
  </si>
  <si>
    <t>$M$20</t>
  </si>
  <si>
    <t>17.5.</t>
  </si>
  <si>
    <t>$M$15</t>
  </si>
  <si>
    <t>$M$17</t>
  </si>
  <si>
    <t>$M$18</t>
  </si>
  <si>
    <t>$M$19</t>
  </si>
  <si>
    <t>$L$21</t>
  </si>
  <si>
    <t>$M$21</t>
  </si>
  <si>
    <t>$J$22</t>
  </si>
  <si>
    <t>$L$22</t>
  </si>
  <si>
    <t>$M$22</t>
  </si>
  <si>
    <t>$N$20:$N$22</t>
  </si>
  <si>
    <t>$O$20</t>
  </si>
  <si>
    <t>$O$21</t>
  </si>
  <si>
    <t>$O$22</t>
  </si>
  <si>
    <t>$E$48</t>
  </si>
  <si>
    <t>Kristine Tyrol Z. Rosales</t>
  </si>
  <si>
    <t>$J$7:$L$13</t>
  </si>
  <si>
    <t>$N$7:$N$13</t>
  </si>
  <si>
    <t>$P$7:$P$13</t>
  </si>
  <si>
    <t>$J$9:$O$16</t>
  </si>
  <si>
    <t>$J$10:$O$17</t>
  </si>
  <si>
    <t>$P$14</t>
  </si>
  <si>
    <t>$Q$14</t>
  </si>
  <si>
    <t>$R$10:$S$13</t>
  </si>
  <si>
    <t>$R$15:$S$17</t>
  </si>
  <si>
    <t>$J$8:$K$79</t>
  </si>
  <si>
    <t>$M$8:$P$79</t>
  </si>
  <si>
    <t>$J$7:$J$18</t>
  </si>
  <si>
    <t>$L$7:$L$18</t>
  </si>
  <si>
    <t>$R$8:$S$55</t>
  </si>
  <si>
    <t>$U$8:$W$55</t>
  </si>
  <si>
    <t>$J$8:$K$55</t>
  </si>
  <si>
    <t>$M$8:$O$55</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</si>
  <si>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</si>
  <si>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</si>
  <si>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</si>
  <si>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</si>
  <si>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</si>
  <si>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</si>
  <si>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</si>
  <si>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</si>
  <si>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</si>
  <si>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</si>
  <si>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</si>
  <si>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</si>
  <si>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</si>
  <si>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</si>
  <si>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</si>
  <si>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</si>
  <si>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</si>
  <si>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</si>
  <si>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</si>
  <si>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</si>
  <si>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</si>
  <si>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</si>
  <si>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</si>
  <si>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</si>
  <si>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</si>
  <si>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</si>
  <si>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</si>
  <si>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</si>
  <si>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</si>
  <si>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</si>
  <si>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</si>
  <si>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</si>
  <si>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</si>
  <si>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</si>
  <si>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</si>
  <si>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</si>
  <si>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</si>
  <si>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</si>
  <si>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</si>
  <si>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</si>
  <si>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</si>
  <si>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</si>
  <si>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</si>
  <si>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</si>
  <si>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</si>
  <si>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</si>
  <si>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</si>
  <si>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</si>
  <si>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</si>
  <si>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</si>
  <si>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</si>
  <si>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</si>
  <si>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</si>
  <si>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</si>
  <si>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</si>
  <si>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</si>
  <si>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</si>
  <si>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</si>
  <si>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</si>
  <si>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</si>
  <si>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</si>
  <si>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</si>
  <si>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</si>
  <si>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</si>
  <si>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</si>
  <si>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</si>
  <si>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</si>
  <si>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</si>
  <si>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</si>
  <si>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</si>
  <si>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</si>
  <si>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</si>
  <si>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</si>
  <si>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</si>
  <si>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</si>
  <si>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</si>
  <si>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</si>
  <si>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</si>
  <si>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</si>
  <si>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</si>
  <si>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</si>
  <si>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</si>
  <si>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</si>
  <si>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</si>
  <si>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</si>
  <si>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</si>
  <si>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</si>
  <si>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</si>
  <si>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</si>
  <si>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</si>
  <si>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</si>
  <si>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</si>
  <si>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</si>
  <si>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</si>
  <si>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</si>
  <si>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</si>
  <si>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</si>
  <si>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</si>
  <si>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</si>
  <si>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</si>
  <si>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</si>
  <si>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</si>
  <si>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</si>
  <si>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</si>
  <si>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</si>
  <si>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</si>
  <si>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</si>
  <si>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</si>
  <si>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</si>
  <si>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</si>
  <si>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</si>
  <si>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</si>
  <si>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</si>
  <si>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</si>
  <si>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</si>
  <si>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</si>
  <si>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</si>
  <si>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</si>
  <si>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</si>
  <si>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</si>
  <si>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</si>
  <si>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</si>
  <si>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</si>
  <si>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</si>
  <si>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</si>
  <si>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</si>
  <si>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</si>
  <si>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</si>
  <si>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</si>
  <si>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</si>
  <si>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</si>
  <si>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</si>
  <si>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</si>
  <si>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</si>
  <si>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</si>
  <si>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</si>
  <si>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</si>
  <si>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</si>
  <si>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</si>
  <si>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</si>
  <si>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</si>
  <si>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</si>
  <si>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</si>
  <si>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</si>
  <si>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</si>
  <si>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</si>
  <si>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</si>
  <si>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</si>
  <si>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</si>
  <si>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</si>
  <si>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</si>
  <si>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</si>
  <si>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</si>
  <si>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</si>
  <si>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</si>
  <si>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</si>
  <si>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</si>
  <si>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</si>
  <si>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</si>
  <si>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</si>
  <si>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</si>
  <si>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</si>
  <si>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</si>
  <si>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</si>
  <si>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</si>
  <si>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</si>
  <si>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</si>
  <si>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</si>
  <si>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</si>
  <si>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</si>
  <si>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</si>
  <si>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</si>
  <si>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</si>
  <si>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</si>
  <si>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</si>
  <si>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</si>
  <si>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</si>
  <si>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</si>
  <si>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</si>
  <si>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</si>
  <si>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</si>
  <si>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</si>
  <si>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</si>
  <si>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</si>
  <si>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</si>
  <si>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</si>
  <si>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</si>
  <si>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</si>
  <si>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</si>
  <si>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</si>
  <si>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</si>
  <si>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</si>
  <si>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</si>
  <si>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</si>
  <si>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</si>
  <si>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</si>
  <si>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</si>
  <si>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</si>
  <si>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$A$27:$G$39</t>
  </si>
  <si>
    <t>$I$14:$P$106</t>
  </si>
  <si>
    <t>$R$6:$R$106</t>
  </si>
  <si>
    <t>$I$43:$R$106</t>
  </si>
  <si>
    <t>$A$27:$F$37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</si>
</sst>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0"/>
      <color rgb="FF000000"/>
      <name val="Calibri"/>
      <family val="2"/>
      <scheme val="minor"/>
    </font>
    <font>
      <sz val="10"/>
      <color rgb="FF000000"/>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dotted">
        <color rgb="FF000000"/>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4" fillId="0" borderId="0" applyFont="0" applyFill="0" applyBorder="0" applyAlignment="0" applyProtection="0"/>
  </cellStyleXfs>
  <cellXfs count="48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0" fontId="14" fillId="15" borderId="13" xfId="0" applyFont="1" applyFill="1" applyBorder="1" applyProtection="1">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12" fillId="4" borderId="5" xfId="0" applyFont="1" applyFill="1" applyBorder="1" applyAlignment="1" applyProtection="1">
      <alignment vertical="center"/>
      <protection locked="0"/>
    </xf>
    <xf numFmtId="0" fontId="8" fillId="15" borderId="13" xfId="0" applyFont="1" applyFill="1" applyBorder="1" applyProtection="1">
      <protection locked="0"/>
    </xf>
    <xf numFmtId="0" fontId="8" fillId="3" borderId="0" xfId="0" applyFont="1" applyFill="1" applyAlignment="1" applyProtection="1">
      <alignment horizontal="center" vertical="center"/>
      <protection locked="0"/>
    </xf>
    <xf numFmtId="4" fontId="12" fillId="4" borderId="5" xfId="0" applyNumberFormat="1" applyFont="1" applyFill="1" applyBorder="1" applyAlignment="1" applyProtection="1">
      <alignment horizontal="center" vertical="center" wrapText="1"/>
      <protection locked="0"/>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27" fillId="18" borderId="16" xfId="5" applyFont="1" applyFill="1" applyBorder="1" applyAlignment="1">
      <alignment vertical="top"/>
    </xf>
    <xf numFmtId="0" fontId="27" fillId="19" borderId="16" xfId="5" applyFont="1" applyFill="1" applyBorder="1" applyAlignment="1">
      <alignment vertical="top"/>
    </xf>
    <xf numFmtId="0" fontId="27" fillId="20" borderId="16" xfId="5" applyFont="1" applyFill="1" applyBorder="1" applyAlignment="1">
      <alignment vertical="top"/>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27" fillId="15" borderId="16" xfId="5" applyFont="1" applyFill="1" applyBorder="1" applyAlignment="1">
      <alignment vertical="top"/>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0" fontId="19" fillId="3" borderId="0" xfId="0"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7" fillId="21" borderId="16" xfId="5" applyFont="1" applyFill="1" applyBorder="1" applyAlignment="1">
      <alignment vertical="top"/>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9" fillId="17" borderId="18" xfId="0" applyFont="1" applyFill="1" applyBorder="1" applyAlignment="1">
      <alignment vertical="center"/>
    </xf>
    <xf numFmtId="0" fontId="28" fillId="17" borderId="19" xfId="0" applyFont="1" applyFill="1" applyBorder="1" applyAlignment="1">
      <alignment vertical="center"/>
    </xf>
    <xf numFmtId="0" fontId="28" fillId="17" borderId="19" xfId="0" applyFont="1" applyFill="1" applyBorder="1" applyAlignment="1">
      <alignment vertical="center" wrapText="1"/>
    </xf>
    <xf numFmtId="0" fontId="28"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30"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1" fillId="0" borderId="0" xfId="0" applyFont="1"/>
    <xf numFmtId="0" fontId="32" fillId="0" borderId="0" xfId="0" applyFont="1"/>
    <xf numFmtId="0" fontId="33"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5"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4" fontId="8" fillId="3" borderId="33" xfId="0" applyNumberFormat="1" applyFont="1" applyFill="1" applyBorder="1" applyProtection="1">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4" fontId="8" fillId="3" borderId="35" xfId="0" applyNumberFormat="1" applyFont="1" applyFill="1" applyBorder="1" applyProtection="1">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40"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8" fillId="3" borderId="47" xfId="0" applyFont="1" applyFill="1" applyBorder="1"/>
    <xf numFmtId="0" fontId="8" fillId="3" borderId="48" xfId="0" applyFont="1" applyFill="1" applyBorder="1"/>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4" xfId="0" applyFont="1" applyFill="1" applyBorder="1"/>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3" borderId="0" xfId="0" applyFont="1" applyFill="1" applyAlignment="1" applyProtection="1">
      <alignment horizontal="left"/>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2" fillId="3" borderId="14" xfId="0" applyFont="1" applyFill="1" applyBorder="1" applyAlignment="1">
      <alignment vertical="center" wrapText="1"/>
    </xf>
    <xf numFmtId="0" fontId="8" fillId="11" borderId="3" xfId="0" applyFont="1" applyFill="1" applyBorder="1" applyAlignment="1" applyProtection="1">
      <alignment horizontal="left"/>
      <protection locked="0"/>
    </xf>
    <xf numFmtId="0" fontId="8" fillId="11" borderId="7" xfId="0" applyFont="1" applyFill="1" applyBorder="1" applyAlignment="1" applyProtection="1">
      <alignment horizontal="left"/>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vertical="center"/>
    </xf>
    <xf numFmtId="0" fontId="44" fillId="7" borderId="63" xfId="0" applyFont="1" applyFill="1" applyBorder="1" applyAlignment="1">
      <alignment vertical="center"/>
    </xf>
    <xf numFmtId="0" fontId="44" fillId="7" borderId="63" xfId="0" applyFont="1" applyFill="1" applyBorder="1" applyAlignment="1">
      <alignment horizontal="center" vertical="center"/>
    </xf>
    <xf numFmtId="0" fontId="44" fillId="7" borderId="63" xfId="0" applyFont="1" applyFill="1" applyBorder="1" applyAlignment="1" applyProtection="1">
      <alignment horizontal="center" vertical="center"/>
      <protection locked="0"/>
    </xf>
    <xf numFmtId="0" fontId="44" fillId="7" borderId="59" xfId="0" applyFont="1" applyFill="1" applyBorder="1" applyAlignment="1" applyProtection="1">
      <alignment horizontal="center" vertical="center" wrapText="1"/>
      <protection locked="0"/>
    </xf>
    <xf numFmtId="3" fontId="44" fillId="7" borderId="59" xfId="0" applyNumberFormat="1" applyFont="1" applyFill="1" applyBorder="1" applyAlignment="1" applyProtection="1">
      <alignment horizontal="center" vertical="center"/>
      <protection locked="0"/>
    </xf>
    <xf numFmtId="4" fontId="44" fillId="7" borderId="58" xfId="0" applyNumberFormat="1" applyFont="1" applyFill="1" applyBorder="1" applyAlignment="1" applyProtection="1">
      <alignment horizontal="center" vertical="center" wrapText="1"/>
      <protection locked="0"/>
    </xf>
    <xf numFmtId="4" fontId="44" fillId="7" borderId="58" xfId="0" applyNumberFormat="1" applyFont="1" applyFill="1" applyBorder="1" applyAlignment="1" applyProtection="1">
      <alignment horizontal="center" vertical="center"/>
      <protection locked="0"/>
    </xf>
    <xf numFmtId="4" fontId="44" fillId="7" borderId="62" xfId="0" applyNumberFormat="1" applyFont="1" applyFill="1" applyBorder="1" applyAlignment="1" applyProtection="1">
      <alignment horizontal="center" vertical="center"/>
      <protection locked="0"/>
    </xf>
    <xf numFmtId="4" fontId="44" fillId="7" borderId="60" xfId="0" applyNumberFormat="1" applyFont="1" applyFill="1" applyBorder="1" applyAlignment="1" applyProtection="1">
      <alignment horizontal="center" vertical="center"/>
      <protection locked="0"/>
    </xf>
    <xf numFmtId="0" fontId="45" fillId="11" borderId="6" xfId="0" applyFont="1" applyFill="1" applyBorder="1" applyProtection="1">
      <protection locked="0"/>
    </xf>
    <xf numFmtId="0" fontId="45" fillId="3" borderId="6" xfId="0" applyFont="1" applyFill="1" applyBorder="1" applyProtection="1">
      <protection locked="0"/>
    </xf>
    <xf numFmtId="0" fontId="45" fillId="11" borderId="10" xfId="0" applyFont="1" applyFill="1" applyBorder="1" applyProtection="1">
      <protection locked="0"/>
    </xf>
    <xf numFmtId="0" fontId="45" fillId="11" borderId="61" xfId="0" applyFont="1" applyFill="1" applyBorder="1" applyProtection="1">
      <protection locked="0"/>
    </xf>
    <xf numFmtId="0" fontId="45" fillId="17" borderId="0" xfId="0" applyFont="1" applyFill="1" applyProtection="1">
      <protection locked="0"/>
    </xf>
    <xf numFmtId="3" fontId="45" fillId="17" borderId="0" xfId="0" applyNumberFormat="1" applyFont="1" applyFill="1" applyAlignment="1" applyProtection="1">
      <alignment horizontal="center"/>
      <protection locked="0"/>
    </xf>
    <xf numFmtId="0" fontId="45" fillId="17" borderId="0" xfId="0" applyFont="1" applyFill="1" applyAlignment="1" applyProtection="1">
      <alignment horizontal="center"/>
      <protection locked="0"/>
    </xf>
    <xf numFmtId="0" fontId="45" fillId="11" borderId="3" xfId="0" applyFont="1" applyFill="1" applyBorder="1" applyProtection="1">
      <protection locked="0"/>
    </xf>
    <xf numFmtId="0" fontId="45" fillId="3" borderId="3" xfId="0" applyFont="1" applyFill="1" applyBorder="1" applyProtection="1">
      <protection locked="0"/>
    </xf>
    <xf numFmtId="0" fontId="45" fillId="11" borderId="4" xfId="0" applyFont="1" applyFill="1" applyBorder="1" applyProtection="1">
      <protection locked="0"/>
    </xf>
    <xf numFmtId="0" fontId="45" fillId="11" borderId="59" xfId="0" applyFont="1" applyFill="1" applyBorder="1" applyProtection="1">
      <protection locked="0"/>
    </xf>
    <xf numFmtId="4" fontId="44" fillId="7" borderId="64" xfId="0" applyNumberFormat="1" applyFont="1" applyFill="1" applyBorder="1" applyAlignment="1" applyProtection="1">
      <alignment horizontal="center" vertical="center"/>
      <protection locked="0"/>
    </xf>
    <xf numFmtId="0" fontId="45" fillId="3" borderId="6" xfId="0" applyFont="1" applyFill="1" applyBorder="1" applyAlignment="1" applyProtection="1">
      <alignment horizontal="center"/>
      <protection locked="0"/>
    </xf>
    <xf numFmtId="0" fontId="45" fillId="3" borderId="3" xfId="0" applyFont="1" applyFill="1" applyBorder="1" applyAlignment="1" applyProtection="1">
      <alignment horizontal="center"/>
      <protection locked="0"/>
    </xf>
    <xf numFmtId="0" fontId="10" fillId="6" borderId="65" xfId="0" applyFont="1" applyFill="1" applyBorder="1" applyAlignment="1">
      <alignment horizontal="left" vertical="center"/>
    </xf>
    <xf numFmtId="0" fontId="24" fillId="24" borderId="4" xfId="0" applyFont="1" applyFill="1" applyBorder="1" applyAlignment="1">
      <alignment horizontal="center" vertical="center"/>
    </xf>
    <xf numFmtId="4" fontId="10" fillId="4" borderId="3" xfId="0" applyNumberFormat="1" applyFont="1" applyFill="1" applyBorder="1" applyAlignment="1">
      <alignment vertical="center"/>
    </xf>
    <xf numFmtId="0" fontId="42" fillId="0" borderId="14" xfId="0" applyFont="1" applyBorder="1" applyAlignment="1">
      <alignment vertical="center" wrapText="1"/>
    </xf>
    <xf numFmtId="0" fontId="0" fillId="0" borderId="21" xfId="0" applyBorder="1" applyAlignment="1">
      <alignment horizontal="left" vertical="center" wrapText="1" indent="3"/>
    </xf>
    <xf numFmtId="0" fontId="10" fillId="4" borderId="3" xfId="0" applyFont="1" applyFill="1" applyBorder="1" applyAlignment="1">
      <alignment vertical="center" wrapText="1"/>
    </xf>
    <xf numFmtId="0" fontId="8" fillId="0" borderId="0" xfId="0" applyFont="1" applyAlignment="1" applyProtection="1">
      <alignment horizontal="center"/>
      <protection locked="0"/>
    </xf>
    <xf numFmtId="0" fontId="8" fillId="15" borderId="5" xfId="0" applyFont="1" applyFill="1" applyBorder="1" applyProtection="1">
      <protection locked="0"/>
    </xf>
    <xf numFmtId="3" fontId="0" fillId="9" borderId="3" xfId="0" applyNumberFormat="1" applyFill="1" applyBorder="1" applyAlignment="1">
      <alignment horizontal="center"/>
    </xf>
    <xf numFmtId="0" fontId="45" fillId="11" borderId="3" xfId="0" applyFont="1" applyFill="1" applyBorder="1" applyAlignment="1" applyProtection="1">
      <alignment horizontal="center" vertical="center"/>
      <protection locked="0"/>
    </xf>
    <xf numFmtId="0" fontId="45" fillId="3" borderId="3" xfId="0" applyFont="1" applyFill="1" applyBorder="1" applyAlignment="1" applyProtection="1">
      <alignment horizontal="center" vertical="center"/>
      <protection locked="0"/>
    </xf>
    <xf numFmtId="0" fontId="45" fillId="11" borderId="4" xfId="0" applyFont="1" applyFill="1" applyBorder="1" applyAlignment="1" applyProtection="1">
      <alignment horizontal="center" vertical="center"/>
      <protection locked="0"/>
    </xf>
    <xf numFmtId="0" fontId="45" fillId="11" borderId="59" xfId="0" applyFont="1" applyFill="1" applyBorder="1" applyAlignment="1" applyProtection="1">
      <alignment horizontal="center" vertical="center"/>
      <protection locked="0"/>
    </xf>
    <xf numFmtId="0" fontId="45" fillId="17" borderId="0" xfId="0" applyFont="1" applyFill="1" applyAlignment="1" applyProtection="1">
      <alignment horizontal="center" vertical="center" wrapText="1"/>
      <protection locked="0"/>
    </xf>
    <xf numFmtId="4" fontId="45" fillId="17" borderId="0" xfId="0" applyNumberFormat="1" applyFont="1" applyFill="1" applyAlignment="1" applyProtection="1">
      <alignment horizontal="center" vertical="center" wrapText="1"/>
      <protection locked="0"/>
    </xf>
    <xf numFmtId="4" fontId="45" fillId="17" borderId="0" xfId="0" applyNumberFormat="1" applyFont="1" applyFill="1" applyAlignment="1" applyProtection="1">
      <alignment horizontal="center"/>
      <protection locked="0"/>
    </xf>
    <xf numFmtId="4" fontId="45" fillId="4" borderId="12" xfId="0" applyNumberFormat="1" applyFont="1" applyFill="1" applyBorder="1" applyAlignment="1">
      <alignment horizontal="center"/>
    </xf>
    <xf numFmtId="4" fontId="45" fillId="3" borderId="0" xfId="0" applyNumberFormat="1" applyFont="1" applyFill="1" applyAlignment="1" applyProtection="1">
      <alignment horizontal="center"/>
      <protection locked="0"/>
    </xf>
    <xf numFmtId="0" fontId="45" fillId="11" borderId="3" xfId="0" applyFont="1" applyFill="1" applyBorder="1" applyAlignment="1" applyProtection="1">
      <alignment horizontal="center"/>
      <protection locked="0"/>
    </xf>
    <xf numFmtId="0" fontId="45" fillId="3" borderId="6" xfId="0" applyFont="1" applyFill="1" applyBorder="1" applyAlignment="1" applyProtection="1">
      <alignment horizontal="left"/>
      <protection locked="0"/>
    </xf>
    <xf numFmtId="0" fontId="45" fillId="9" borderId="3" xfId="0" applyFont="1" applyFill="1" applyBorder="1" applyAlignment="1">
      <alignment horizontal="center"/>
    </xf>
    <xf numFmtId="0" fontId="45" fillId="9" borderId="6" xfId="0" applyFont="1" applyFill="1" applyBorder="1" applyAlignment="1">
      <alignment horizontal="center"/>
    </xf>
    <xf numFmtId="0" fontId="45" fillId="4" borderId="12" xfId="0" applyFont="1" applyFill="1" applyBorder="1" applyAlignment="1">
      <alignment horizontal="center"/>
    </xf>
    <xf numFmtId="0" fontId="27" fillId="17" borderId="15" xfId="5" applyFont="1" applyFill="1" applyBorder="1" applyAlignment="1">
      <alignment vertical="top"/>
    </xf>
    <xf numFmtId="0" fontId="8" fillId="11" borderId="5" xfId="0" applyFont="1" applyFill="1" applyBorder="1" applyAlignment="1" applyProtection="1">
      <alignment horizontal="center"/>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8" fillId="3" borderId="39" xfId="0" applyFont="1" applyFill="1" applyBorder="1" applyAlignment="1" applyProtection="1">
      <alignment horizontal="left"/>
      <protection locked="0"/>
    </xf>
    <xf numFmtId="0" fontId="8" fillId="3" borderId="40" xfId="0" applyFont="1" applyFill="1" applyBorder="1" applyAlignment="1" applyProtection="1">
      <alignment horizontal="left"/>
      <protection locked="0"/>
    </xf>
    <xf numFmtId="0" fontId="8" fillId="3" borderId="41" xfId="0" applyFont="1" applyFill="1" applyBorder="1" applyAlignment="1" applyProtection="1">
      <alignment horizontal="left"/>
      <protection locked="0"/>
    </xf>
    <xf numFmtId="0" fontId="8" fillId="3" borderId="44" xfId="0" applyFont="1" applyFill="1" applyBorder="1" applyAlignment="1" applyProtection="1">
      <alignment horizontal="left"/>
      <protection locked="0"/>
    </xf>
    <xf numFmtId="0" fontId="8" fillId="3" borderId="45" xfId="0" applyFont="1" applyFill="1" applyBorder="1" applyAlignment="1" applyProtection="1">
      <alignment horizontal="left"/>
      <protection locked="0"/>
    </xf>
    <xf numFmtId="0" fontId="8" fillId="3" borderId="46" xfId="0" applyFont="1" applyFill="1" applyBorder="1" applyAlignment="1" applyProtection="1">
      <alignment horizontal="left"/>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22">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3" tint="0.7999816888943144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color rgb="FF000000"/>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tint="4.9989318521683403E-2"/>
      </font>
      <fill>
        <patternFill patternType="solid">
          <bgColor theme="1" tint="4.9989318521683403E-2"/>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pivotCacheDefinition" Target="pivotCache/pivotCacheDefinition2.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07/relationships/slicerCache" Target="slicerCaches/slicerCache2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6/relationships/vbaProject" Target="vbaProject.bin"/><Relationship Id="rId20" Type="http://schemas.openxmlformats.org/officeDocument/2006/relationships/pivotCacheDefinition" Target="pivotCache/pivotCacheDefinition1.xml"/><Relationship Id="rId41" Type="http://schemas.microsoft.com/office/2007/relationships/slicerCache" Target="slicerCaches/slicerCache1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osaleskz/Downloads/Annex%20A.%202025%200901%20SPC-DGS_Data%20collection%20template_ME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1. Data Info and Summary"/>
      <sheetName val="2.1a Fuel - Buildings"/>
      <sheetName val="2.1b Fuel - Vehicles"/>
      <sheetName val="2.2 Refrigerants"/>
      <sheetName val="2.2 Refrigerants (2025)"/>
      <sheetName val="2.3a Electricity"/>
      <sheetName val="2.3a2 Electricity(2025)"/>
      <sheetName val="2.3b RE - Solar"/>
      <sheetName val="2.4 Water"/>
      <sheetName val="2.7 Waste Gases"/>
      <sheetName val="2.4 Water (2)"/>
      <sheetName val="2.5 Waste"/>
      <sheetName val="3. Emissions Summary"/>
      <sheetName val="4. Dashboard"/>
      <sheetName val="dropdown"/>
      <sheetName val="Emission_Factors"/>
      <sheetName val="Change Log"/>
      <sheetName val="Sheet2"/>
      <sheetName val="Metrics"/>
      <sheetName val="Annex A"/>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53557870368" createdVersion="8" refreshedVersion="8" minRefreshableVersion="3" recordCount="36" xr:uid="{BFBC6139-342C-514F-B55F-1DDBC71546E0}">
  <cacheSource type="worksheet">
    <worksheetSource name="Fuel_Veh"/>
  </cacheSource>
  <cacheFields count="10">
    <cacheField name="No." numFmtId="0">
      <sharedItems containsSemiMixedTypes="0" containsString="0" containsNumber="1" containsInteger="1" minValue="1" maxValue="36"/>
    </cacheField>
    <cacheField name="Vehicle Type" numFmtId="0">
      <sharedItems containsBlank="1" count="13">
        <s v="Van  "/>
        <s v="Multi-Purpose Vehicle"/>
        <s v="Others"/>
        <m u="1"/>
        <s v="Armored Vehicles" u="1"/>
        <s v="Motorbike" u="1"/>
        <s v="Passenger Car" u="1"/>
        <s v="Service Vehicles" u="1"/>
        <s v="BEV" u="1"/>
        <s v="Large Truck" u="1"/>
        <s v="Small Truck" u="1"/>
        <s v="Large Bus" u="1"/>
        <s v="Armored Vehicle" u="1"/>
      </sharedItems>
    </cacheField>
    <cacheField name="Fuel Type" numFmtId="0">
      <sharedItems containsBlank="1" count="4">
        <s v="Diesel - Transport vehicles"/>
        <m u="1"/>
        <s v="Gasoline - Transport vehicles" u="1"/>
        <s v="LPG" u="1"/>
      </sharedItems>
    </cacheField>
    <cacheField name="Month" numFmtId="0">
      <sharedItems containsBlank="1" count="13">
        <s v="Jan"/>
        <s v="Feb"/>
        <s v="Mar"/>
        <s v="Apr"/>
        <s v="May"/>
        <s v="Jun"/>
        <s v="Jul"/>
        <s v="Aug"/>
        <s v="Sep"/>
        <s v="Oct"/>
        <s v="Nov"/>
        <s v="Dec"/>
        <m u="1"/>
      </sharedItems>
    </cacheField>
    <cacheField name="Quarter" numFmtId="0">
      <sharedItems containsBlank="1" count="6">
        <s v="Q1"/>
        <s v="Q2"/>
        <s v="Q3"/>
        <s v="Q4"/>
        <s v="" u="1"/>
        <m u="1"/>
      </sharedItems>
    </cacheField>
    <cacheField name="Consumption" numFmtId="4">
      <sharedItems containsSemiMixedTypes="0" containsString="0" containsNumber="1" minValue="100" maxValue="550"/>
    </cacheField>
    <cacheField name="Unit" numFmtId="0">
      <sharedItems containsBlank="1"/>
    </cacheField>
    <cacheField name="Total kilometers travelled (all vehicles)" numFmtId="4">
      <sharedItems containsSemiMixedTypes="0" containsString="0" containsNumber="1" containsInteger="1" minValue="328" maxValue="3816"/>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1"/>
    <x v="0"/>
    <x v="0"/>
    <x v="0"/>
    <x v="0"/>
    <n v="130"/>
    <s v="Liters"/>
    <n v="619"/>
    <s v="Kilometers"/>
    <m/>
  </r>
  <r>
    <n v="2"/>
    <x v="1"/>
    <x v="0"/>
    <x v="0"/>
    <x v="0"/>
    <n v="435"/>
    <m/>
    <n v="2810"/>
    <s v="Kilometers"/>
    <m/>
  </r>
  <r>
    <n v="3"/>
    <x v="2"/>
    <x v="0"/>
    <x v="0"/>
    <x v="0"/>
    <n v="195"/>
    <s v="Liters"/>
    <n v="725"/>
    <s v="Kilometers"/>
    <m/>
  </r>
  <r>
    <n v="4"/>
    <x v="0"/>
    <x v="0"/>
    <x v="1"/>
    <x v="0"/>
    <n v="220"/>
    <s v="Liters"/>
    <n v="805"/>
    <s v="Kilometers"/>
    <m/>
  </r>
  <r>
    <n v="5"/>
    <x v="1"/>
    <x v="0"/>
    <x v="1"/>
    <x v="0"/>
    <n v="475"/>
    <s v="Liters"/>
    <n v="3816"/>
    <s v="Kilometers"/>
    <m/>
  </r>
  <r>
    <n v="6"/>
    <x v="2"/>
    <x v="0"/>
    <x v="1"/>
    <x v="0"/>
    <n v="195"/>
    <s v="Liters"/>
    <n v="565"/>
    <s v="Kilometers"/>
    <m/>
  </r>
  <r>
    <n v="7"/>
    <x v="0"/>
    <x v="0"/>
    <x v="2"/>
    <x v="0"/>
    <n v="110"/>
    <s v="Liters"/>
    <n v="449"/>
    <s v="Kilometers"/>
    <m/>
  </r>
  <r>
    <n v="8"/>
    <x v="1"/>
    <x v="0"/>
    <x v="2"/>
    <x v="0"/>
    <n v="529.13"/>
    <s v="Liters"/>
    <n v="3106"/>
    <s v="Kilometers"/>
    <m/>
  </r>
  <r>
    <n v="9"/>
    <x v="2"/>
    <x v="0"/>
    <x v="2"/>
    <x v="0"/>
    <n v="230"/>
    <s v="Liters"/>
    <n v="614"/>
    <s v="Kilometers"/>
    <m/>
  </r>
  <r>
    <n v="10"/>
    <x v="0"/>
    <x v="0"/>
    <x v="3"/>
    <x v="1"/>
    <n v="135"/>
    <s v="Liters"/>
    <n v="575"/>
    <s v="Kilometers"/>
    <m/>
  </r>
  <r>
    <n v="11"/>
    <x v="1"/>
    <x v="0"/>
    <x v="3"/>
    <x v="1"/>
    <n v="395"/>
    <s v="Liters"/>
    <n v="2716"/>
    <s v="Kilometers"/>
    <m/>
  </r>
  <r>
    <n v="12"/>
    <x v="2"/>
    <x v="0"/>
    <x v="3"/>
    <x v="1"/>
    <n v="210"/>
    <s v="Liters"/>
    <n v="755"/>
    <s v="Kilometers"/>
    <m/>
  </r>
  <r>
    <n v="13"/>
    <x v="0"/>
    <x v="0"/>
    <x v="4"/>
    <x v="1"/>
    <n v="550"/>
    <s v="Liters"/>
    <n v="2716"/>
    <s v="Kilometers"/>
    <m/>
  </r>
  <r>
    <n v="14"/>
    <x v="1"/>
    <x v="0"/>
    <x v="4"/>
    <x v="1"/>
    <n v="545"/>
    <s v="Liters"/>
    <n v="3623"/>
    <s v="Kilometers"/>
    <m/>
  </r>
  <r>
    <n v="15"/>
    <x v="2"/>
    <x v="0"/>
    <x v="4"/>
    <x v="1"/>
    <n v="200"/>
    <s v="Liters"/>
    <n v="522"/>
    <s v="Kilometers"/>
    <m/>
  </r>
  <r>
    <n v="16"/>
    <x v="0"/>
    <x v="0"/>
    <x v="5"/>
    <x v="1"/>
    <n v="340"/>
    <s v="Liters"/>
    <n v="2242"/>
    <s v="Kilometers"/>
    <m/>
  </r>
  <r>
    <n v="17"/>
    <x v="1"/>
    <x v="0"/>
    <x v="5"/>
    <x v="1"/>
    <n v="441.32"/>
    <s v="Liters"/>
    <n v="3232"/>
    <s v="Kilometers"/>
    <m/>
  </r>
  <r>
    <n v="18"/>
    <x v="2"/>
    <x v="0"/>
    <x v="5"/>
    <x v="1"/>
    <n v="200"/>
    <s v="Liters"/>
    <n v="328"/>
    <s v="Kilometers"/>
    <m/>
  </r>
  <r>
    <n v="19"/>
    <x v="0"/>
    <x v="0"/>
    <x v="6"/>
    <x v="2"/>
    <n v="283.17"/>
    <s v="Liters"/>
    <n v="958"/>
    <s v="Kilometers"/>
    <m/>
  </r>
  <r>
    <n v="20"/>
    <x v="1"/>
    <x v="0"/>
    <x v="6"/>
    <x v="2"/>
    <n v="428.62"/>
    <s v="Liters"/>
    <n v="2385"/>
    <s v="Kilometers"/>
    <m/>
  </r>
  <r>
    <n v="21"/>
    <x v="2"/>
    <x v="0"/>
    <x v="6"/>
    <x v="2"/>
    <n v="100"/>
    <s v="Liters"/>
    <n v="366"/>
    <s v="Kilometers"/>
    <m/>
  </r>
  <r>
    <n v="22"/>
    <x v="0"/>
    <x v="0"/>
    <x v="7"/>
    <x v="2"/>
    <n v="302.19"/>
    <s v="Liters"/>
    <n v="1206"/>
    <s v="Kilometers"/>
    <m/>
  </r>
  <r>
    <n v="23"/>
    <x v="1"/>
    <x v="0"/>
    <x v="7"/>
    <x v="2"/>
    <n v="350.01"/>
    <s v="Liters"/>
    <n v="2676"/>
    <s v="Kilometers"/>
    <m/>
  </r>
  <r>
    <n v="24"/>
    <x v="2"/>
    <x v="0"/>
    <x v="7"/>
    <x v="2"/>
    <n v="190"/>
    <s v="Liters"/>
    <n v="654"/>
    <s v="Kilometers"/>
    <m/>
  </r>
  <r>
    <n v="25"/>
    <x v="0"/>
    <x v="0"/>
    <x v="8"/>
    <x v="2"/>
    <n v="199.24"/>
    <s v="Liters"/>
    <n v="1430"/>
    <s v="Kilometers"/>
    <m/>
  </r>
  <r>
    <n v="26"/>
    <x v="1"/>
    <x v="0"/>
    <x v="8"/>
    <x v="2"/>
    <n v="340.31"/>
    <s v="Liters"/>
    <n v="2600"/>
    <s v="Kilometers"/>
    <m/>
  </r>
  <r>
    <n v="27"/>
    <x v="2"/>
    <x v="0"/>
    <x v="8"/>
    <x v="2"/>
    <n v="245"/>
    <s v="Liters"/>
    <n v="468"/>
    <s v="Kilometers"/>
    <m/>
  </r>
  <r>
    <n v="28"/>
    <x v="0"/>
    <x v="0"/>
    <x v="9"/>
    <x v="3"/>
    <n v="330"/>
    <s v="Liters"/>
    <n v="1127"/>
    <s v="Kilometers"/>
    <m/>
  </r>
  <r>
    <n v="29"/>
    <x v="1"/>
    <x v="0"/>
    <x v="9"/>
    <x v="3"/>
    <n v="516.30999999999995"/>
    <s v="Liters"/>
    <n v="3121"/>
    <s v="Kilometers"/>
    <m/>
  </r>
  <r>
    <n v="30"/>
    <x v="2"/>
    <x v="0"/>
    <x v="9"/>
    <x v="3"/>
    <n v="150"/>
    <s v="Liters"/>
    <n v="503"/>
    <s v="Kilometers"/>
    <m/>
  </r>
  <r>
    <n v="31"/>
    <x v="0"/>
    <x v="0"/>
    <x v="10"/>
    <x v="3"/>
    <n v="268.45999999999998"/>
    <s v="Liters"/>
    <n v="2011"/>
    <s v="Kilometers"/>
    <m/>
  </r>
  <r>
    <n v="32"/>
    <x v="1"/>
    <x v="0"/>
    <x v="10"/>
    <x v="3"/>
    <n v="480"/>
    <s v="Liters"/>
    <n v="3127"/>
    <s v="Kilometers"/>
    <m/>
  </r>
  <r>
    <n v="33"/>
    <x v="2"/>
    <x v="0"/>
    <x v="10"/>
    <x v="3"/>
    <n v="180"/>
    <s v="Liters"/>
    <n v="383"/>
    <s v="Kilometers"/>
    <m/>
  </r>
  <r>
    <n v="34"/>
    <x v="0"/>
    <x v="0"/>
    <x v="11"/>
    <x v="3"/>
    <n v="350"/>
    <s v="Liters"/>
    <n v="2107"/>
    <s v="Kilometers"/>
    <m/>
  </r>
  <r>
    <n v="35"/>
    <x v="1"/>
    <x v="0"/>
    <x v="11"/>
    <x v="3"/>
    <n v="310"/>
    <s v="Liters"/>
    <n v="2351"/>
    <s v="Kilometers"/>
    <m/>
  </r>
  <r>
    <n v="36"/>
    <x v="2"/>
    <x v="0"/>
    <x v="11"/>
    <x v="3"/>
    <n v="190"/>
    <s v="Liters"/>
    <n v="442"/>
    <s v="Kilometer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2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F37" firstHeaderRow="1" firstDataRow="2" firstDataCol="1" rowPageCount="1" colPageCount="1"/>
  <pivotFields count="10">
    <pivotField showAll="0"/>
    <pivotField axis="axisRow" showAll="0">
      <items count="14">
        <item m="1" x="4"/>
        <item m="1" x="7"/>
        <item m="1" x="3"/>
        <item m="1" x="6"/>
        <item m="1" x="10"/>
        <item m="1" x="11"/>
        <item m="1" x="9"/>
        <item m="1" x="5"/>
        <item m="1" x="12"/>
        <item m="1" x="8"/>
        <item x="0"/>
        <item x="1"/>
        <item x="2"/>
        <item t="default"/>
      </items>
    </pivotField>
    <pivotField axis="axisRow" showAll="0">
      <items count="5">
        <item x="0"/>
        <item m="1" x="2"/>
        <item m="1" x="1"/>
        <item m="1" x="3"/>
        <item t="default"/>
      </items>
    </pivotField>
    <pivotField axis="axisPage" showAll="0">
      <items count="14">
        <item x="0"/>
        <item x="1"/>
        <item x="9"/>
        <item m="1" x="12"/>
        <item x="4"/>
        <item x="8"/>
        <item x="2"/>
        <item x="3"/>
        <item x="5"/>
        <item x="6"/>
        <item x="7"/>
        <item x="10"/>
        <item x="11"/>
        <item t="default"/>
      </items>
    </pivotField>
    <pivotField axis="axisCol" showAll="0">
      <items count="7">
        <item m="1" x="4"/>
        <item x="0"/>
        <item x="3"/>
        <item x="1"/>
        <item x="2"/>
        <item m="1" x="5"/>
        <item t="default"/>
      </items>
    </pivotField>
    <pivotField dataField="1" showAll="0"/>
    <pivotField showAll="0"/>
    <pivotField showAll="0"/>
    <pivotField showAll="0"/>
    <pivotField showAll="0"/>
  </pivotFields>
  <rowFields count="2">
    <field x="1"/>
    <field x="2"/>
  </rowFields>
  <rowItems count="7">
    <i>
      <x v="10"/>
    </i>
    <i r="1">
      <x/>
    </i>
    <i>
      <x v="11"/>
    </i>
    <i r="1">
      <x/>
    </i>
    <i>
      <x v="12"/>
    </i>
    <i r="1">
      <x/>
    </i>
    <i t="grand">
      <x/>
    </i>
  </rowItems>
  <colFields count="1">
    <field x="4"/>
  </colFields>
  <colItems count="5">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3">
        <i x="1" s="1"/>
        <i x="2" s="1"/>
        <i x="0" s="1"/>
        <i x="12" s="1" nd="1"/>
        <i x="4" s="1" nd="1"/>
        <i x="8" s="1" nd="1"/>
        <i x="11" s="1" nd="1"/>
        <i x="9" s="1" nd="1"/>
        <i x="5" s="1" nd="1"/>
        <i x="6" s="1" nd="1"/>
        <i x="7" s="1" nd="1"/>
        <i x="10"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P13" totalsRowShown="0" headerRowDxfId="121" dataDxfId="119" headerRowBorderDxfId="120" tableBorderDxfId="118">
  <autoFilter ref="I6:P13" xr:uid="{5D54EA1C-BF56-1C41-A397-8FB104BB2C69}"/>
  <tableColumns count="8">
    <tableColumn id="1" xr3:uid="{0736B116-FD52-4F4F-884D-77C731445CFF}" name="No." dataDxfId="117">
      <calculatedColumnFormula>IF(#REF!="","",$I7+1)</calculatedColumnFormula>
    </tableColumn>
    <tableColumn id="2" xr3:uid="{4751581D-92E4-437E-A436-720F0B3CD92E}" name="Facility Type" dataDxfId="116"/>
    <tableColumn id="5" xr3:uid="{C603CCC2-2764-574B-B616-B1F220EFF63F}" name="Fuel Type" dataDxfId="115"/>
    <tableColumn id="6" xr3:uid="{29E6127A-1BBD-4D42-8A5A-1FA1E160EC19}" name="Month" dataDxfId="114"/>
    <tableColumn id="7" xr3:uid="{AAB63BD1-C28A-2145-9671-756792E786E6}" name="Quarter" dataDxfId="113">
      <calculatedColumnFormula>IF(Fuel_Blg[[#This Row],[Month]]&lt;&gt;"",VLOOKUP(Fuel_Blg[[#This Row],[Month]], dropdown!$S$4:$T$15, 2, FALSE),"")</calculatedColumnFormula>
    </tableColumn>
    <tableColumn id="8" xr3:uid="{2659C633-FEE7-7446-91C8-0ACAADD03760}" name="Consumption" dataDxfId="112"/>
    <tableColumn id="9" xr3:uid="{83261790-77E9-A84F-890F-8F209571520F}" name="Unit" dataDxfId="111">
      <calculatedColumnFormula>IF($K7="","",VLOOKUP($K7,dropdown!$P$3:$Q$8,2,FALSE))</calculatedColumnFormula>
    </tableColumn>
    <tableColumn id="10" xr3:uid="{ADF20B56-6D74-6149-B0C0-FB9AA3F5AC8E}" name="Remarks" dataDxfId="1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42" totalsRowShown="0" headerRowDxfId="107" dataDxfId="105" headerRowBorderDxfId="106" tableBorderDxfId="104" totalsRowBorderDxfId="103">
  <autoFilter ref="I6:R42" xr:uid="{A85D45EB-1572-A543-812E-815536D59C14}"/>
  <tableColumns count="10">
    <tableColumn id="1" xr3:uid="{CA340CBE-9D85-6C42-9CA1-DDAD368521C3}" name="No." dataDxfId="102">
      <calculatedColumnFormula>IF($J7="","",$I6+1)</calculatedColumnFormula>
    </tableColumn>
    <tableColumn id="2" xr3:uid="{CFAD3D96-F137-044A-AE4C-49E5188E1144}" name="Vehicle Type" dataDxfId="101"/>
    <tableColumn id="3" xr3:uid="{5A421D87-7A43-B14E-BA71-EABB4924A663}" name="Fuel Type" dataDxfId="100"/>
    <tableColumn id="4" xr3:uid="{9C4094CC-7613-9147-BAF8-A31087280A9A}" name="Month" dataDxfId="99"/>
    <tableColumn id="10" xr3:uid="{5211A67F-348D-494D-AD2E-AD4A362BCD78}" name="Quarter" dataDxfId="98">
      <calculatedColumnFormula>IF(Fuel_Veh[[#This Row],[Month]]&lt;&gt;"",VLOOKUP(Fuel_Veh[[#This Row],[Month]], dropdown!$S$4:$T$15, 2, FALSE),"")</calculatedColumnFormula>
    </tableColumn>
    <tableColumn id="5" xr3:uid="{6EDA12F9-55D0-694A-BAB9-B15BDE58CA76}" name="Consumption" dataDxfId="97"/>
    <tableColumn id="7" xr3:uid="{E7761959-51F4-954F-B8FB-F46DCC54C53F}" name="Unit" dataDxfId="96">
      <calculatedColumnFormula>IF($K7="","",VLOOKUP($K7,dropdown!$P$14:$Q$18,2,FALSE))</calculatedColumnFormula>
    </tableColumn>
    <tableColumn id="8" xr3:uid="{AD5D0247-3B56-D146-B22E-45D44E44A249}" name="Total kilometers travelled (all vehicles)" dataDxfId="95"/>
    <tableColumn id="6" xr3:uid="{97981BF0-C2AF-416A-B072-1DB557433D8A}" name="Unit2" dataDxfId="94">
      <calculatedColumnFormula>IF($P7="","","Kilometers")</calculatedColumnFormula>
    </tableColumn>
    <tableColumn id="9" xr3:uid="{3C24034E-2544-5447-B927-0F565A869F60}" name="Remarks"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D0FA22-C14E-41EE-92D2-DC8EB39501C3}" name="Table1" displayName="Table1" ref="I8:X108" totalsRowShown="0" headerRowDxfId="80" dataDxfId="79">
  <autoFilter ref="I8:X108" xr:uid="{B4D0FA22-C14E-41EE-92D2-DC8EB39501C3}"/>
  <tableColumns count="16">
    <tableColumn id="1" xr3:uid="{7B99F949-24AD-470C-884F-2746EC735279}" name="No" dataDxfId="78">
      <calculatedColumnFormula>IF($L9="","",$I8+1)</calculatedColumnFormula>
    </tableColumn>
    <tableColumn id="2" xr3:uid="{9FC5B4C4-88DB-470E-A419-7F1B010FFA2D}" name="Location" dataDxfId="77"/>
    <tableColumn id="3" xr3:uid="{6AFAB60B-6A31-47C5-86B5-34B2B84268DC}" name="Facility Type" dataDxfId="76"/>
    <tableColumn id="4" xr3:uid="{7DA7E05E-1B7A-4F0B-8577-B212C6751F6C}" name="Equipment Category" dataDxfId="75"/>
    <tableColumn id="5" xr3:uid="{3E033780-5B7A-498E-AD02-62E6A99C1EF0}" name="No. of Units" dataDxfId="74"/>
    <tableColumn id="6" xr3:uid="{77A9413E-FFC6-48D3-8957-4C465D1AA27A}" name="Refrigerant" dataDxfId="73"/>
    <tableColumn id="7" xr3:uid="{B6ABAC2B-5B78-4652-BE74-D4DC807A722F}" name="Equipment Status" dataDxfId="72"/>
    <tableColumn id="8" xr3:uid="{3F4588FD-97F2-478B-BA2B-8B26687A4A08}" name="Month Purchased" dataDxfId="71"/>
    <tableColumn id="9" xr3:uid="{0FCE73AC-96EF-438A-AE96-EA5C818B06FF}" name="Charge (kg)" dataDxfId="70"/>
    <tableColumn id="10" xr3:uid="{4AE0D938-3E5F-4AB2-9636-8EB1B310291B}" name="Month Recharged" dataDxfId="69"/>
    <tableColumn id="11" xr3:uid="{D375500D-D2C7-4764-8CD4-5567107FAE82}" name="Recharge (kg)" dataDxfId="68"/>
    <tableColumn id="12" xr3:uid="{E0A31290-5BFD-45A8-9BF3-693ACCF72C2F}" name="Month Disposed" dataDxfId="67"/>
    <tableColumn id="13" xr3:uid="{0E7E3726-0D70-47E0-9080-009EFDEEFAE8}" name="Capacity (kg)" dataDxfId="66"/>
    <tableColumn id="14" xr3:uid="{A57ED35C-FDB1-4468-97A9-64C26AEE3499}" name="Recovered (kg)" dataDxfId="65"/>
    <tableColumn id="15" xr3:uid="{7BB85EE3-81C6-4366-A989-5094851A63DA}" name="Quarter" dataDxfId="64">
      <calculatedColumnFormula>IFERROR(VLOOKUP($P9, dropdown!$S$4:$T$15, 2, FALSE),
 IFERROR(VLOOKUP($R9, dropdown!$S$4:$T$15, 2, FALSE),
 IFERROR(VLOOKUP($T9, dropdown!$S$4:$T$15, 2, FALSE),
 "")))</calculatedColumnFormula>
    </tableColumn>
    <tableColumn id="16" xr3:uid="{0B6F6E69-76C9-458A-BCA2-ABAFFB42B8A6}" name="Remarks" dataDxfId="6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P107" totalsRowShown="0" headerRowDxfId="62" tableBorderDxfId="61">
  <autoFilter ref="I7:P107" xr:uid="{4E808252-F12F-E841-AB57-6A82E4759C1A}"/>
  <tableColumns count="8">
    <tableColumn id="1" xr3:uid="{D5D30AA3-E573-734B-B6AB-3BC327F8D967}" name="No." dataDxfId="60"/>
    <tableColumn id="2" xr3:uid="{750B6B2F-D743-45FF-BB5C-13778FCF4823}" name="Facility Type" dataDxfId="59"/>
    <tableColumn id="3" xr3:uid="{E49E940C-A64E-A446-B958-9A58950DBA26}" name="Month" dataDxfId="58"/>
    <tableColumn id="8" xr3:uid="{A32745C6-53F1-AF48-B40D-2062538BA76C}" name="Quarter" dataDxfId="57">
      <calculatedColumnFormula>IF(Electricity[[#This Row],[Month]]&lt;&gt;"",VLOOKUP(Electricity[[#This Row],[Month]], dropdown!$S$4:$T$15, 2, FALSE),"")</calculatedColumnFormula>
    </tableColumn>
    <tableColumn id="4" xr3:uid="{7BDA3B9E-E331-A040-8D00-68C0D245C2DD}" name="Consumption (kWh)" dataDxfId="56"/>
    <tableColumn id="5" xr3:uid="{4597EC97-806C-4E41-8BA3-E789252B06C0}" name="Cost (PHP)" dataDxfId="55"/>
    <tableColumn id="6" xr3:uid="{4139C44D-830B-F247-8F9C-494AF4CBED3A}" name="Utility Provider" dataDxfId="54"/>
    <tableColumn id="7" xr3:uid="{A1E305CA-3F3B-AC45-B4A9-903D25ED562F}" name="Remarks"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RE_solar" displayName="RE_solar" ref="I6:N106" totalsRowShown="0" headerRowDxfId="52" tableBorderDxfId="51">
  <autoFilter ref="I6:N106" xr:uid="{4E808252-F12F-E841-AB57-6A82E4759C1A}"/>
  <tableColumns count="6">
    <tableColumn id="1" xr3:uid="{96892042-DA4D-554E-B6C0-56CC2E778BE0}" name="No." dataDxfId="50">
      <calculatedColumnFormula>IF(RE_solar[[#This Row],[Month]]="","",1)</calculatedColumnFormula>
    </tableColumn>
    <tableColumn id="3" xr3:uid="{4D461598-2D62-B244-9F61-EF4079251355}" name="Month" dataDxfId="49"/>
    <tableColumn id="8" xr3:uid="{45DB6F9E-A541-A04C-BEB7-D0FD16821599}" name="Quarter" dataDxfId="48">
      <calculatedColumnFormula>IF(RE_solar[[#This Row],[Month]]&lt;&gt;"",VLOOKUP(RE_solar[[#This Row],[Month]], dropdown!$S$4:$T$15, 2, FALSE),"")</calculatedColumnFormula>
    </tableColumn>
    <tableColumn id="4" xr3:uid="{2384A887-6797-9D45-A82F-AD87B1CEA514}" name="Solar Energy Generated (kWh)" dataDxfId="47"/>
    <tableColumn id="6" xr3:uid="{C0C5600A-2A4F-42FA-A171-A7D77002B82E}" name="Operational Energy Demand - One Shift (kWH)" dataDxfId="46"/>
    <tableColumn id="7" xr3:uid="{0E49F2FA-DF95-494F-B55D-59E5FA7DFB31}" name="Remarks"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O107" totalsRowShown="0" headerRowDxfId="44" dataDxfId="42" headerRowBorderDxfId="43" tableBorderDxfId="41" totalsRowBorderDxfId="40">
  <autoFilter ref="I7:O107" xr:uid="{D1C0C9B2-779D-1649-AFF9-2DC747BD8D8E}"/>
  <tableColumns count="7">
    <tableColumn id="1" xr3:uid="{98251D21-9B72-FF46-855C-29CDFC3F8C49}" name="No." dataDxfId="39">
      <calculatedColumnFormula>IF(#REF!="","",$I7+1)</calculatedColumnFormula>
    </tableColumn>
    <tableColumn id="9" xr3:uid="{0BB11A8C-FBC1-4A02-9219-9898C483AFC8}" name="Facility Type" dataDxfId="38"/>
    <tableColumn id="3" xr3:uid="{79584AA0-F1B7-3B41-BB42-77B2A9F16C14}" name="Month" dataDxfId="37"/>
    <tableColumn id="4" xr3:uid="{A3CA35C2-DBF2-C44A-8453-C1C3204D173D}" name="Quarter" dataDxfId="36">
      <calculatedColumnFormula>IF(water_in[[#This Row],[Month]]&lt;&gt;"",VLOOKUP(water_in[[#This Row],[Month]], dropdown!$S$4:$T$15, 2, FALSE),"")</calculatedColumnFormula>
    </tableColumn>
    <tableColumn id="5" xr3:uid="{94E41BA5-FE14-7A42-A566-007A23C80527}" name="Source" dataDxfId="35"/>
    <tableColumn id="6" xr3:uid="{06C9DE83-99A6-6E42-BFF6-BBB009F75383}" name="Volume (m3)" dataDxfId="34"/>
    <tableColumn id="7" xr3:uid="{76D3A7A4-7A71-A740-A5FE-E0978AE0D14C}" name="Remarks" dataDxfId="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Q7:W107" totalsRowShown="0" headerRowDxfId="32" dataDxfId="30" headerRowBorderDxfId="31" tableBorderDxfId="29" totalsRowBorderDxfId="28">
  <autoFilter ref="Q7:W107" xr:uid="{417FDA8E-3E35-E54B-B144-32DD667BE400}"/>
  <tableColumns count="7">
    <tableColumn id="1" xr3:uid="{C13D90C4-D898-7E42-BF11-5CEB6AE3F508}" name="No." dataDxfId="27">
      <calculatedColumnFormula>IF(#REF!="","",$Q7+1)</calculatedColumnFormula>
    </tableColumn>
    <tableColumn id="7" xr3:uid="{5AA4D5DB-1A90-41F0-87D7-D60A7126C471}" name="Facility Type" dataDxfId="26"/>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5" xr3:uid="{FF3677FA-A1F9-8E44-9C89-A477FE9EB202}" name="Volume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calculatedColumnFormula>IF(Waste[[#This Row],[Month]]="","",1)</calculatedColumnFormula>
    </tableColumn>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20" totalsRowShown="0" headerRowDxfId="1">
  <autoFilter ref="A1:E1020"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23"/>
  <sheetViews>
    <sheetView showGridLines="0" zoomScale="85" zoomScaleNormal="85" workbookViewId="0">
      <selection activeCell="B2" sqref="B2"/>
    </sheetView>
  </sheetViews>
  <sheetFormatPr baseColWidth="10" defaultColWidth="8.83203125" defaultRowHeight="15" x14ac:dyDescent="0.2"/>
  <cols>
    <col min="1" max="1" width="2.83203125" customWidth="1"/>
    <col min="2" max="2" width="48.5" bestFit="1" customWidth="1"/>
    <col min="3" max="3" width="2" customWidth="1"/>
    <col min="4" max="4" width="6.6640625" style="9" customWidth="1"/>
    <col min="5" max="5" width="27.83203125" style="9" customWidth="1"/>
    <col min="6" max="6" width="68.83203125" style="100" customWidth="1"/>
    <col min="7" max="7" width="27.1640625" style="9" bestFit="1" customWidth="1"/>
    <col min="8" max="8" width="27.1640625" style="101" bestFit="1" customWidth="1"/>
    <col min="10" max="10" width="44.83203125" customWidth="1"/>
  </cols>
  <sheetData>
    <row r="2" spans="2:8" ht="24" x14ac:dyDescent="0.3">
      <c r="B2" s="142" t="s">
        <v>0</v>
      </c>
    </row>
    <row r="4" spans="2:8" ht="16" x14ac:dyDescent="0.2">
      <c r="B4" s="85" t="s">
        <v>1</v>
      </c>
      <c r="D4" s="154" t="s">
        <v>2</v>
      </c>
      <c r="E4" s="155"/>
      <c r="F4" s="156"/>
      <c r="G4" s="155"/>
      <c r="H4" s="157"/>
    </row>
    <row r="5" spans="2:8" ht="16" x14ac:dyDescent="0.2">
      <c r="B5" s="454" t="s">
        <v>2</v>
      </c>
      <c r="D5" s="158" t="s">
        <v>3</v>
      </c>
      <c r="E5" s="159" t="s">
        <v>4</v>
      </c>
      <c r="F5" s="160" t="s">
        <v>5</v>
      </c>
      <c r="G5" s="159" t="s">
        <v>6</v>
      </c>
      <c r="H5" s="161" t="s">
        <v>7</v>
      </c>
    </row>
    <row r="6" spans="2:8" ht="16" x14ac:dyDescent="0.2">
      <c r="B6" s="87" t="s">
        <v>8</v>
      </c>
      <c r="D6" s="91">
        <v>1</v>
      </c>
      <c r="E6" s="96" t="s">
        <v>9</v>
      </c>
      <c r="F6" s="97" t="s">
        <v>10</v>
      </c>
      <c r="G6" s="98" t="s">
        <v>11</v>
      </c>
      <c r="H6" s="99" t="s">
        <v>12</v>
      </c>
    </row>
    <row r="7" spans="2:8" ht="16" x14ac:dyDescent="0.2">
      <c r="B7" s="87" t="s">
        <v>13</v>
      </c>
      <c r="D7" s="91">
        <f>D6+1</f>
        <v>2</v>
      </c>
      <c r="E7" s="96" t="s">
        <v>14</v>
      </c>
      <c r="F7" s="97" t="s">
        <v>15</v>
      </c>
      <c r="G7" s="98" t="s">
        <v>16</v>
      </c>
      <c r="H7" s="99">
        <v>2024</v>
      </c>
    </row>
    <row r="8" spans="2:8" ht="16" x14ac:dyDescent="0.2">
      <c r="B8" s="88" t="s">
        <v>17</v>
      </c>
      <c r="D8" s="385">
        <f>D7+1</f>
        <v>3</v>
      </c>
      <c r="E8" s="391" t="s">
        <v>18</v>
      </c>
      <c r="F8" s="392" t="s">
        <v>19</v>
      </c>
      <c r="G8" s="386" t="s">
        <v>20</v>
      </c>
      <c r="H8" s="387" t="s">
        <v>21</v>
      </c>
    </row>
    <row r="9" spans="2:8" ht="16" x14ac:dyDescent="0.2">
      <c r="B9" s="89" t="s">
        <v>22</v>
      </c>
      <c r="D9" s="91">
        <f>D8+1</f>
        <v>4</v>
      </c>
      <c r="E9" s="97" t="s">
        <v>23</v>
      </c>
      <c r="F9" s="97" t="s">
        <v>24</v>
      </c>
      <c r="G9" s="163" t="s">
        <v>25</v>
      </c>
      <c r="H9" s="164" t="s">
        <v>26</v>
      </c>
    </row>
    <row r="10" spans="2:8" x14ac:dyDescent="0.2">
      <c r="B10" s="89" t="s">
        <v>27</v>
      </c>
      <c r="D10" s="388"/>
      <c r="E10" s="389"/>
      <c r="F10" s="389"/>
      <c r="G10" s="179"/>
      <c r="H10" s="390"/>
    </row>
    <row r="11" spans="2:8" ht="16" x14ac:dyDescent="0.2">
      <c r="B11" s="93" t="s">
        <v>28</v>
      </c>
      <c r="D11" s="86" t="s">
        <v>8</v>
      </c>
      <c r="E11" s="102"/>
      <c r="F11" s="103"/>
      <c r="G11" s="102"/>
      <c r="H11" s="104"/>
    </row>
    <row r="12" spans="2:8" ht="16" x14ac:dyDescent="0.2">
      <c r="B12" s="135" t="s">
        <v>29</v>
      </c>
      <c r="D12" s="158" t="s">
        <v>3</v>
      </c>
      <c r="E12" s="159" t="s">
        <v>4</v>
      </c>
      <c r="F12" s="160" t="s">
        <v>5</v>
      </c>
      <c r="G12" s="159" t="s">
        <v>6</v>
      </c>
      <c r="H12" s="161" t="s">
        <v>7</v>
      </c>
    </row>
    <row r="13" spans="2:8" ht="16" x14ac:dyDescent="0.2">
      <c r="D13" s="91">
        <v>1</v>
      </c>
      <c r="E13" s="96" t="s">
        <v>30</v>
      </c>
      <c r="F13" s="97" t="s">
        <v>31</v>
      </c>
      <c r="G13" s="163" t="s">
        <v>32</v>
      </c>
      <c r="H13" s="164" t="s">
        <v>33</v>
      </c>
    </row>
    <row r="14" spans="2:8" ht="16" x14ac:dyDescent="0.2">
      <c r="D14" s="91">
        <f t="shared" ref="D14:D22" si="0">D13+1</f>
        <v>2</v>
      </c>
      <c r="E14" s="97" t="s">
        <v>34</v>
      </c>
      <c r="F14" s="97" t="s">
        <v>24</v>
      </c>
      <c r="G14" s="163" t="s">
        <v>25</v>
      </c>
      <c r="H14" s="164" t="s">
        <v>26</v>
      </c>
    </row>
    <row r="15" spans="2:8" ht="16" x14ac:dyDescent="0.2">
      <c r="D15" s="91">
        <f t="shared" si="0"/>
        <v>3</v>
      </c>
      <c r="E15" s="96" t="s">
        <v>35</v>
      </c>
      <c r="F15" s="97" t="s">
        <v>24</v>
      </c>
      <c r="G15" s="163" t="s">
        <v>25</v>
      </c>
      <c r="H15" s="164">
        <v>1</v>
      </c>
    </row>
    <row r="16" spans="2:8" ht="16" x14ac:dyDescent="0.2">
      <c r="D16" s="91">
        <v>5</v>
      </c>
      <c r="E16" s="97" t="s">
        <v>36</v>
      </c>
      <c r="F16" s="97" t="s">
        <v>37</v>
      </c>
      <c r="G16" s="98" t="s">
        <v>11</v>
      </c>
      <c r="H16" s="105" t="s">
        <v>38</v>
      </c>
    </row>
    <row r="17" spans="2:8" ht="112" x14ac:dyDescent="0.2">
      <c r="D17" s="91">
        <f>D15+1</f>
        <v>4</v>
      </c>
      <c r="E17" s="96" t="s">
        <v>39</v>
      </c>
      <c r="F17" s="97" t="s">
        <v>40</v>
      </c>
      <c r="G17" s="98" t="s">
        <v>11</v>
      </c>
      <c r="H17" s="105" t="s">
        <v>41</v>
      </c>
    </row>
    <row r="18" spans="2:8" ht="16" x14ac:dyDescent="0.2">
      <c r="B18" s="84" t="s">
        <v>42</v>
      </c>
      <c r="D18" s="91">
        <f t="shared" si="0"/>
        <v>5</v>
      </c>
      <c r="E18" s="96" t="s">
        <v>43</v>
      </c>
      <c r="F18" s="97" t="s">
        <v>44</v>
      </c>
      <c r="G18" s="98" t="s">
        <v>11</v>
      </c>
      <c r="H18" s="99" t="s">
        <v>45</v>
      </c>
    </row>
    <row r="19" spans="2:8" ht="16" x14ac:dyDescent="0.2">
      <c r="B19" s="162" t="s">
        <v>46</v>
      </c>
      <c r="D19" s="91">
        <f t="shared" si="0"/>
        <v>6</v>
      </c>
      <c r="E19" s="96" t="s">
        <v>47</v>
      </c>
      <c r="F19" s="97" t="s">
        <v>48</v>
      </c>
      <c r="G19" s="163" t="s">
        <v>20</v>
      </c>
      <c r="H19" s="163" t="s">
        <v>49</v>
      </c>
    </row>
    <row r="20" spans="2:8" ht="16" x14ac:dyDescent="0.2">
      <c r="B20" s="83" t="s">
        <v>50</v>
      </c>
      <c r="D20" s="91">
        <f t="shared" si="0"/>
        <v>7</v>
      </c>
      <c r="E20" s="96" t="s">
        <v>51</v>
      </c>
      <c r="F20" s="97" t="s">
        <v>52</v>
      </c>
      <c r="G20" s="96" t="s">
        <v>53</v>
      </c>
      <c r="H20" s="95">
        <v>400.24</v>
      </c>
    </row>
    <row r="21" spans="2:8" ht="16" x14ac:dyDescent="0.2">
      <c r="B21" s="165" t="s">
        <v>54</v>
      </c>
      <c r="D21" s="91">
        <f t="shared" si="0"/>
        <v>8</v>
      </c>
      <c r="E21" s="96" t="s">
        <v>55</v>
      </c>
      <c r="F21" s="97" t="s">
        <v>56</v>
      </c>
      <c r="G21" s="163" t="s">
        <v>20</v>
      </c>
      <c r="H21" s="164" t="s">
        <v>57</v>
      </c>
    </row>
    <row r="22" spans="2:8" ht="32" x14ac:dyDescent="0.2">
      <c r="D22" s="91">
        <f t="shared" si="0"/>
        <v>9</v>
      </c>
      <c r="E22" s="96" t="s">
        <v>58</v>
      </c>
      <c r="F22" s="97" t="s">
        <v>59</v>
      </c>
      <c r="G22" s="96" t="s">
        <v>60</v>
      </c>
      <c r="H22" s="106" t="s">
        <v>61</v>
      </c>
    </row>
    <row r="23" spans="2:8" x14ac:dyDescent="0.2">
      <c r="D23" s="148"/>
      <c r="E23" s="149"/>
      <c r="F23" s="150"/>
      <c r="G23" s="149"/>
      <c r="H23" s="151"/>
    </row>
    <row r="24" spans="2:8" ht="16" x14ac:dyDescent="0.2">
      <c r="D24" s="86" t="s">
        <v>13</v>
      </c>
      <c r="E24" s="102"/>
      <c r="F24" s="103"/>
      <c r="G24" s="102"/>
      <c r="H24" s="104"/>
    </row>
    <row r="25" spans="2:8" ht="16" x14ac:dyDescent="0.2">
      <c r="D25" s="158" t="s">
        <v>3</v>
      </c>
      <c r="E25" s="159" t="s">
        <v>4</v>
      </c>
      <c r="F25" s="160" t="s">
        <v>5</v>
      </c>
      <c r="G25" s="159" t="s">
        <v>6</v>
      </c>
      <c r="H25" s="161" t="s">
        <v>7</v>
      </c>
    </row>
    <row r="26" spans="2:8" ht="16" x14ac:dyDescent="0.2">
      <c r="D26" s="91">
        <v>1</v>
      </c>
      <c r="E26" s="96" t="s">
        <v>30</v>
      </c>
      <c r="F26" s="97" t="s">
        <v>31</v>
      </c>
      <c r="G26" s="163" t="s">
        <v>32</v>
      </c>
      <c r="H26" s="164" t="s">
        <v>33</v>
      </c>
    </row>
    <row r="27" spans="2:8" ht="16" x14ac:dyDescent="0.2">
      <c r="D27" s="91">
        <f t="shared" ref="D27:D37" si="1">D26+1</f>
        <v>2</v>
      </c>
      <c r="E27" s="97" t="s">
        <v>34</v>
      </c>
      <c r="F27" s="97" t="s">
        <v>24</v>
      </c>
      <c r="G27" s="163" t="s">
        <v>25</v>
      </c>
      <c r="H27" s="164" t="s">
        <v>26</v>
      </c>
    </row>
    <row r="28" spans="2:8" ht="16" x14ac:dyDescent="0.2">
      <c r="D28" s="91">
        <f t="shared" si="1"/>
        <v>3</v>
      </c>
      <c r="E28" s="96" t="s">
        <v>35</v>
      </c>
      <c r="F28" s="97" t="s">
        <v>24</v>
      </c>
      <c r="G28" s="163" t="s">
        <v>25</v>
      </c>
      <c r="H28" s="164">
        <v>1</v>
      </c>
    </row>
    <row r="29" spans="2:8" ht="168" customHeight="1" x14ac:dyDescent="0.2">
      <c r="D29" s="91">
        <f t="shared" si="1"/>
        <v>4</v>
      </c>
      <c r="E29" s="97" t="s">
        <v>62</v>
      </c>
      <c r="F29" s="434" t="s">
        <v>63</v>
      </c>
      <c r="G29" s="98" t="s">
        <v>11</v>
      </c>
      <c r="H29" s="105" t="s">
        <v>64</v>
      </c>
    </row>
    <row r="30" spans="2:8" ht="64" x14ac:dyDescent="0.2">
      <c r="D30" s="91">
        <f t="shared" si="1"/>
        <v>5</v>
      </c>
      <c r="E30" s="96" t="s">
        <v>39</v>
      </c>
      <c r="F30" s="97" t="s">
        <v>65</v>
      </c>
      <c r="G30" s="98" t="s">
        <v>11</v>
      </c>
      <c r="H30" s="105" t="s">
        <v>66</v>
      </c>
    </row>
    <row r="31" spans="2:8" ht="16" x14ac:dyDescent="0.2">
      <c r="D31" s="91">
        <f t="shared" si="1"/>
        <v>6</v>
      </c>
      <c r="E31" s="96" t="s">
        <v>43</v>
      </c>
      <c r="F31" s="97" t="s">
        <v>44</v>
      </c>
      <c r="G31" s="98" t="s">
        <v>11</v>
      </c>
      <c r="H31" s="99" t="s">
        <v>45</v>
      </c>
    </row>
    <row r="32" spans="2:8" ht="16" x14ac:dyDescent="0.2">
      <c r="D32" s="91">
        <f t="shared" si="1"/>
        <v>7</v>
      </c>
      <c r="E32" s="96" t="s">
        <v>47</v>
      </c>
      <c r="F32" s="97" t="s">
        <v>48</v>
      </c>
      <c r="G32" s="163" t="s">
        <v>20</v>
      </c>
      <c r="H32" s="163" t="s">
        <v>49</v>
      </c>
    </row>
    <row r="33" spans="4:8" ht="16" x14ac:dyDescent="0.2">
      <c r="D33" s="91">
        <f t="shared" si="1"/>
        <v>8</v>
      </c>
      <c r="E33" s="96" t="s">
        <v>51</v>
      </c>
      <c r="F33" s="97" t="s">
        <v>52</v>
      </c>
      <c r="G33" s="96" t="s">
        <v>53</v>
      </c>
      <c r="H33" s="95">
        <v>400.24</v>
      </c>
    </row>
    <row r="34" spans="4:8" ht="16" x14ac:dyDescent="0.2">
      <c r="D34" s="91">
        <f t="shared" si="1"/>
        <v>9</v>
      </c>
      <c r="E34" s="96" t="s">
        <v>55</v>
      </c>
      <c r="F34" s="97" t="s">
        <v>56</v>
      </c>
      <c r="G34" s="163" t="s">
        <v>20</v>
      </c>
      <c r="H34" s="164" t="s">
        <v>57</v>
      </c>
    </row>
    <row r="35" spans="4:8" ht="16" x14ac:dyDescent="0.2">
      <c r="D35" s="91">
        <f t="shared" si="1"/>
        <v>10</v>
      </c>
      <c r="E35" s="97" t="s">
        <v>67</v>
      </c>
      <c r="F35" s="97" t="s">
        <v>68</v>
      </c>
      <c r="G35" s="143" t="s">
        <v>69</v>
      </c>
      <c r="H35" s="95">
        <v>58.96</v>
      </c>
    </row>
    <row r="36" spans="4:8" ht="16" x14ac:dyDescent="0.2">
      <c r="D36" s="91">
        <f t="shared" si="1"/>
        <v>11</v>
      </c>
      <c r="E36" s="97" t="s">
        <v>70</v>
      </c>
      <c r="F36" s="97" t="s">
        <v>71</v>
      </c>
      <c r="G36" s="163" t="s">
        <v>20</v>
      </c>
      <c r="H36" s="164" t="s">
        <v>72</v>
      </c>
    </row>
    <row r="37" spans="4:8" ht="32" x14ac:dyDescent="0.2">
      <c r="D37" s="91">
        <f t="shared" si="1"/>
        <v>12</v>
      </c>
      <c r="E37" s="96" t="s">
        <v>58</v>
      </c>
      <c r="F37" s="97" t="s">
        <v>73</v>
      </c>
      <c r="G37" s="96" t="s">
        <v>60</v>
      </c>
      <c r="H37" s="106" t="s">
        <v>26</v>
      </c>
    </row>
    <row r="39" spans="4:8" ht="16" x14ac:dyDescent="0.2">
      <c r="D39" s="82" t="s">
        <v>17</v>
      </c>
      <c r="E39" s="107"/>
      <c r="F39" s="108"/>
      <c r="G39" s="107"/>
      <c r="H39" s="109"/>
    </row>
    <row r="40" spans="4:8" ht="16" x14ac:dyDescent="0.2">
      <c r="D40" s="158" t="s">
        <v>3</v>
      </c>
      <c r="E40" s="159" t="s">
        <v>4</v>
      </c>
      <c r="F40" s="160" t="s">
        <v>5</v>
      </c>
      <c r="G40" s="159" t="s">
        <v>6</v>
      </c>
      <c r="H40" s="161" t="s">
        <v>7</v>
      </c>
    </row>
    <row r="41" spans="4:8" ht="16" x14ac:dyDescent="0.2">
      <c r="D41" s="91">
        <v>1</v>
      </c>
      <c r="E41" s="96" t="s">
        <v>30</v>
      </c>
      <c r="F41" s="97" t="s">
        <v>31</v>
      </c>
      <c r="G41" s="163" t="s">
        <v>32</v>
      </c>
      <c r="H41" s="164" t="s">
        <v>33</v>
      </c>
    </row>
    <row r="42" spans="4:8" ht="16" x14ac:dyDescent="0.2">
      <c r="D42" s="91">
        <f>D41+1</f>
        <v>2</v>
      </c>
      <c r="E42" s="96" t="s">
        <v>74</v>
      </c>
      <c r="F42" s="97" t="s">
        <v>24</v>
      </c>
      <c r="G42" s="163" t="s">
        <v>25</v>
      </c>
      <c r="H42" s="164" t="s">
        <v>26</v>
      </c>
    </row>
    <row r="43" spans="4:8" ht="16" x14ac:dyDescent="0.2">
      <c r="D43" s="91">
        <f t="shared" ref="D43:D50" si="2">D42+1</f>
        <v>3</v>
      </c>
      <c r="E43" s="96" t="s">
        <v>35</v>
      </c>
      <c r="F43" s="97" t="s">
        <v>24</v>
      </c>
      <c r="G43" s="163" t="s">
        <v>25</v>
      </c>
      <c r="H43" s="164">
        <v>1</v>
      </c>
    </row>
    <row r="44" spans="4:8" ht="16" x14ac:dyDescent="0.2">
      <c r="D44" s="91">
        <v>4</v>
      </c>
      <c r="E44" s="96" t="s">
        <v>75</v>
      </c>
      <c r="F44" s="97" t="s">
        <v>76</v>
      </c>
      <c r="G44" s="143" t="s">
        <v>60</v>
      </c>
      <c r="H44" s="106" t="s">
        <v>77</v>
      </c>
    </row>
    <row r="45" spans="4:8" ht="16" x14ac:dyDescent="0.2">
      <c r="D45" s="91">
        <v>5</v>
      </c>
      <c r="E45" s="97" t="s">
        <v>36</v>
      </c>
      <c r="F45" s="97" t="s">
        <v>37</v>
      </c>
      <c r="G45" s="98" t="s">
        <v>11</v>
      </c>
      <c r="H45" s="105" t="s">
        <v>38</v>
      </c>
    </row>
    <row r="46" spans="4:8" ht="162" customHeight="1" x14ac:dyDescent="0.2">
      <c r="D46" s="91">
        <f>D44+1</f>
        <v>5</v>
      </c>
      <c r="E46" s="96" t="s">
        <v>78</v>
      </c>
      <c r="F46" s="97" t="s">
        <v>79</v>
      </c>
      <c r="G46" s="98" t="s">
        <v>11</v>
      </c>
      <c r="H46" s="105" t="s">
        <v>80</v>
      </c>
    </row>
    <row r="47" spans="4:8" ht="16" x14ac:dyDescent="0.2">
      <c r="D47" s="91">
        <f t="shared" si="2"/>
        <v>6</v>
      </c>
      <c r="E47" s="96" t="s">
        <v>81</v>
      </c>
      <c r="F47" s="97" t="s">
        <v>82</v>
      </c>
      <c r="G47" s="143" t="s">
        <v>83</v>
      </c>
      <c r="H47" s="144">
        <v>9</v>
      </c>
    </row>
    <row r="48" spans="4:8" ht="16" x14ac:dyDescent="0.2">
      <c r="D48" s="91">
        <f t="shared" si="2"/>
        <v>7</v>
      </c>
      <c r="E48" s="96" t="s">
        <v>84</v>
      </c>
      <c r="F48" s="97" t="s">
        <v>85</v>
      </c>
      <c r="G48" s="98" t="s">
        <v>11</v>
      </c>
      <c r="H48" s="99" t="s">
        <v>86</v>
      </c>
    </row>
    <row r="49" spans="4:8" ht="80" x14ac:dyDescent="0.2">
      <c r="D49" s="91">
        <f t="shared" si="2"/>
        <v>8</v>
      </c>
      <c r="E49" s="97" t="s">
        <v>87</v>
      </c>
      <c r="F49" s="97" t="s">
        <v>88</v>
      </c>
      <c r="G49" s="98" t="s">
        <v>11</v>
      </c>
      <c r="H49" s="99" t="s">
        <v>89</v>
      </c>
    </row>
    <row r="50" spans="4:8" ht="16" x14ac:dyDescent="0.2">
      <c r="D50" s="91">
        <f t="shared" si="2"/>
        <v>9</v>
      </c>
      <c r="E50" s="167" t="s">
        <v>90</v>
      </c>
      <c r="F50" s="167" t="s">
        <v>91</v>
      </c>
      <c r="G50" s="98" t="s">
        <v>11</v>
      </c>
      <c r="H50" s="99" t="s">
        <v>92</v>
      </c>
    </row>
    <row r="51" spans="4:8" ht="48" x14ac:dyDescent="0.2">
      <c r="D51" s="91">
        <f>D50+1</f>
        <v>10</v>
      </c>
      <c r="E51" s="167" t="s">
        <v>93</v>
      </c>
      <c r="F51" s="167" t="s">
        <v>94</v>
      </c>
      <c r="G51" s="143" t="s">
        <v>69</v>
      </c>
      <c r="H51" s="145">
        <v>13.4</v>
      </c>
    </row>
    <row r="52" spans="4:8" ht="16" x14ac:dyDescent="0.2">
      <c r="D52" s="91">
        <f t="shared" ref="D52:D58" si="3">D51+1</f>
        <v>11</v>
      </c>
      <c r="E52" s="143" t="s">
        <v>95</v>
      </c>
      <c r="F52" s="401" t="s">
        <v>96</v>
      </c>
      <c r="G52" s="98" t="s">
        <v>11</v>
      </c>
      <c r="H52" s="99" t="s">
        <v>92</v>
      </c>
    </row>
    <row r="53" spans="4:8" ht="16" x14ac:dyDescent="0.2">
      <c r="D53" s="91">
        <f t="shared" si="3"/>
        <v>12</v>
      </c>
      <c r="E53" s="143" t="s">
        <v>97</v>
      </c>
      <c r="F53" s="167" t="s">
        <v>98</v>
      </c>
      <c r="G53" s="143" t="s">
        <v>69</v>
      </c>
      <c r="H53" s="145">
        <v>13.4</v>
      </c>
    </row>
    <row r="54" spans="4:8" ht="16" x14ac:dyDescent="0.2">
      <c r="D54" s="91">
        <f t="shared" si="3"/>
        <v>13</v>
      </c>
      <c r="E54" s="167" t="s">
        <v>99</v>
      </c>
      <c r="F54" s="167" t="s">
        <v>100</v>
      </c>
      <c r="G54" s="98" t="s">
        <v>11</v>
      </c>
      <c r="H54" s="99" t="s">
        <v>45</v>
      </c>
    </row>
    <row r="55" spans="4:8" ht="16" x14ac:dyDescent="0.2">
      <c r="D55" s="91">
        <f t="shared" si="3"/>
        <v>14</v>
      </c>
      <c r="E55" s="167" t="s">
        <v>101</v>
      </c>
      <c r="F55" s="167" t="s">
        <v>102</v>
      </c>
      <c r="G55" s="143" t="s">
        <v>69</v>
      </c>
      <c r="H55" s="145">
        <v>13.4</v>
      </c>
    </row>
    <row r="56" spans="4:8" ht="16" x14ac:dyDescent="0.2">
      <c r="D56" s="91">
        <f t="shared" si="3"/>
        <v>15</v>
      </c>
      <c r="E56" s="143" t="s">
        <v>103</v>
      </c>
      <c r="F56" s="167" t="s">
        <v>104</v>
      </c>
      <c r="G56" s="143" t="s">
        <v>69</v>
      </c>
      <c r="H56" s="144">
        <v>5.67</v>
      </c>
    </row>
    <row r="57" spans="4:8" ht="16" x14ac:dyDescent="0.2">
      <c r="D57" s="91">
        <f t="shared" si="3"/>
        <v>16</v>
      </c>
      <c r="E57" s="96" t="s">
        <v>47</v>
      </c>
      <c r="F57" s="97" t="s">
        <v>48</v>
      </c>
      <c r="G57" s="163" t="s">
        <v>20</v>
      </c>
      <c r="H57" s="163" t="s">
        <v>49</v>
      </c>
    </row>
    <row r="58" spans="4:8" ht="32" x14ac:dyDescent="0.2">
      <c r="D58" s="91">
        <f t="shared" si="3"/>
        <v>17</v>
      </c>
      <c r="E58" s="143" t="s">
        <v>58</v>
      </c>
      <c r="F58" s="167" t="s">
        <v>73</v>
      </c>
      <c r="G58" s="143" t="s">
        <v>60</v>
      </c>
      <c r="H58" s="106" t="s">
        <v>105</v>
      </c>
    </row>
    <row r="59" spans="4:8" x14ac:dyDescent="0.2">
      <c r="D59" s="10"/>
      <c r="E59" s="110"/>
      <c r="F59" s="110"/>
      <c r="G59" s="110"/>
      <c r="H59" s="110"/>
    </row>
    <row r="60" spans="4:8" ht="16" x14ac:dyDescent="0.2">
      <c r="D60" s="90" t="s">
        <v>106</v>
      </c>
      <c r="E60" s="111"/>
      <c r="F60" s="112"/>
      <c r="G60" s="111"/>
      <c r="H60" s="113"/>
    </row>
    <row r="61" spans="4:8" ht="16" x14ac:dyDescent="0.2">
      <c r="D61" s="158" t="s">
        <v>3</v>
      </c>
      <c r="E61" s="159" t="s">
        <v>4</v>
      </c>
      <c r="F61" s="160" t="s">
        <v>5</v>
      </c>
      <c r="G61" s="159" t="s">
        <v>6</v>
      </c>
      <c r="H61" s="161" t="s">
        <v>7</v>
      </c>
    </row>
    <row r="62" spans="4:8" ht="16" x14ac:dyDescent="0.2">
      <c r="D62" s="91">
        <v>1</v>
      </c>
      <c r="E62" s="96" t="s">
        <v>30</v>
      </c>
      <c r="F62" s="97" t="s">
        <v>31</v>
      </c>
      <c r="G62" s="163" t="s">
        <v>32</v>
      </c>
      <c r="H62" s="164" t="s">
        <v>33</v>
      </c>
    </row>
    <row r="63" spans="4:8" ht="32" x14ac:dyDescent="0.2">
      <c r="D63" s="91">
        <f t="shared" ref="D63:D71" si="4">D62+1</f>
        <v>2</v>
      </c>
      <c r="E63" s="97" t="s">
        <v>107</v>
      </c>
      <c r="F63" s="97" t="s">
        <v>24</v>
      </c>
      <c r="G63" s="163" t="s">
        <v>25</v>
      </c>
      <c r="H63" s="164" t="s">
        <v>26</v>
      </c>
    </row>
    <row r="64" spans="4:8" ht="16" x14ac:dyDescent="0.2">
      <c r="D64" s="91">
        <f t="shared" si="4"/>
        <v>3</v>
      </c>
      <c r="E64" s="96" t="s">
        <v>35</v>
      </c>
      <c r="F64" s="97" t="s">
        <v>24</v>
      </c>
      <c r="G64" s="163" t="s">
        <v>25</v>
      </c>
      <c r="H64" s="164">
        <v>1</v>
      </c>
    </row>
    <row r="65" spans="4:8" ht="16" x14ac:dyDescent="0.2">
      <c r="D65" s="91">
        <f t="shared" si="4"/>
        <v>4</v>
      </c>
      <c r="E65" s="97" t="s">
        <v>36</v>
      </c>
      <c r="F65" s="97" t="s">
        <v>37</v>
      </c>
      <c r="G65" s="98" t="s">
        <v>11</v>
      </c>
      <c r="H65" s="105" t="s">
        <v>38</v>
      </c>
    </row>
    <row r="66" spans="4:8" ht="16" x14ac:dyDescent="0.2">
      <c r="D66" s="91">
        <f t="shared" si="4"/>
        <v>5</v>
      </c>
      <c r="E66" s="97" t="s">
        <v>43</v>
      </c>
      <c r="F66" s="97" t="s">
        <v>108</v>
      </c>
      <c r="G66" s="98" t="s">
        <v>11</v>
      </c>
      <c r="H66" s="99" t="s">
        <v>45</v>
      </c>
    </row>
    <row r="67" spans="4:8" ht="16" x14ac:dyDescent="0.2">
      <c r="D67" s="91">
        <f t="shared" si="4"/>
        <v>6</v>
      </c>
      <c r="E67" s="96" t="s">
        <v>47</v>
      </c>
      <c r="F67" s="97" t="s">
        <v>48</v>
      </c>
      <c r="G67" s="163" t="s">
        <v>20</v>
      </c>
      <c r="H67" s="163" t="s">
        <v>49</v>
      </c>
    </row>
    <row r="68" spans="4:8" ht="16" x14ac:dyDescent="0.2">
      <c r="D68" s="91">
        <f t="shared" si="4"/>
        <v>7</v>
      </c>
      <c r="E68" s="97" t="s">
        <v>109</v>
      </c>
      <c r="F68" s="97" t="s">
        <v>110</v>
      </c>
      <c r="G68" s="143" t="s">
        <v>69</v>
      </c>
      <c r="H68" s="114">
        <v>1234.56</v>
      </c>
    </row>
    <row r="69" spans="4:8" ht="16" x14ac:dyDescent="0.2">
      <c r="D69" s="91">
        <f t="shared" si="4"/>
        <v>8</v>
      </c>
      <c r="E69" s="97" t="s">
        <v>111</v>
      </c>
      <c r="F69" s="97" t="s">
        <v>112</v>
      </c>
      <c r="G69" s="143" t="s">
        <v>69</v>
      </c>
      <c r="H69" s="114">
        <v>87654.32</v>
      </c>
    </row>
    <row r="70" spans="4:8" ht="16" x14ac:dyDescent="0.2">
      <c r="D70" s="91">
        <f t="shared" si="4"/>
        <v>9</v>
      </c>
      <c r="E70" s="97" t="s">
        <v>113</v>
      </c>
      <c r="F70" s="97" t="s">
        <v>114</v>
      </c>
      <c r="G70" s="98" t="s">
        <v>11</v>
      </c>
      <c r="H70" s="99" t="s">
        <v>115</v>
      </c>
    </row>
    <row r="71" spans="4:8" ht="32" x14ac:dyDescent="0.2">
      <c r="D71" s="91">
        <f t="shared" si="4"/>
        <v>10</v>
      </c>
      <c r="E71" s="95" t="s">
        <v>58</v>
      </c>
      <c r="F71" s="97" t="s">
        <v>73</v>
      </c>
      <c r="G71" s="96" t="s">
        <v>60</v>
      </c>
      <c r="H71" s="95" t="s">
        <v>116</v>
      </c>
    </row>
    <row r="72" spans="4:8" x14ac:dyDescent="0.2">
      <c r="D72" s="340"/>
      <c r="E72" s="339"/>
      <c r="F72" s="150"/>
      <c r="G72" s="149"/>
      <c r="H72" s="339"/>
    </row>
    <row r="73" spans="4:8" ht="16" x14ac:dyDescent="0.2">
      <c r="D73" s="90" t="s">
        <v>117</v>
      </c>
      <c r="E73" s="111"/>
      <c r="F73" s="112"/>
      <c r="G73" s="111"/>
      <c r="H73" s="113"/>
    </row>
    <row r="74" spans="4:8" ht="16" x14ac:dyDescent="0.2">
      <c r="D74" s="158" t="s">
        <v>3</v>
      </c>
      <c r="E74" s="159" t="s">
        <v>4</v>
      </c>
      <c r="F74" s="160" t="s">
        <v>5</v>
      </c>
      <c r="G74" s="159" t="s">
        <v>6</v>
      </c>
      <c r="H74" s="161" t="s">
        <v>7</v>
      </c>
    </row>
    <row r="75" spans="4:8" ht="16" x14ac:dyDescent="0.2">
      <c r="D75" s="91">
        <v>1</v>
      </c>
      <c r="E75" s="96" t="s">
        <v>30</v>
      </c>
      <c r="F75" s="97" t="s">
        <v>31</v>
      </c>
      <c r="G75" s="163" t="s">
        <v>32</v>
      </c>
      <c r="H75" s="164" t="s">
        <v>33</v>
      </c>
    </row>
    <row r="76" spans="4:8" ht="32" x14ac:dyDescent="0.2">
      <c r="D76" s="91">
        <f t="shared" ref="D76:D81" si="5">D75+1</f>
        <v>2</v>
      </c>
      <c r="E76" s="97" t="s">
        <v>107</v>
      </c>
      <c r="F76" s="97" t="s">
        <v>24</v>
      </c>
      <c r="G76" s="163" t="s">
        <v>25</v>
      </c>
      <c r="H76" s="164" t="s">
        <v>26</v>
      </c>
    </row>
    <row r="77" spans="4:8" ht="24" customHeight="1" x14ac:dyDescent="0.2">
      <c r="D77" s="91">
        <f t="shared" si="5"/>
        <v>3</v>
      </c>
      <c r="E77" s="96" t="s">
        <v>35</v>
      </c>
      <c r="F77" s="97" t="s">
        <v>24</v>
      </c>
      <c r="G77" s="163" t="s">
        <v>25</v>
      </c>
      <c r="H77" s="164">
        <v>1</v>
      </c>
    </row>
    <row r="78" spans="4:8" ht="27.75" customHeight="1" x14ac:dyDescent="0.2">
      <c r="D78" s="91">
        <f t="shared" si="5"/>
        <v>4</v>
      </c>
      <c r="E78" s="97" t="s">
        <v>43</v>
      </c>
      <c r="F78" s="97" t="s">
        <v>108</v>
      </c>
      <c r="G78" s="98" t="s">
        <v>11</v>
      </c>
      <c r="H78" s="99" t="s">
        <v>45</v>
      </c>
    </row>
    <row r="79" spans="4:8" ht="16" x14ac:dyDescent="0.2">
      <c r="D79" s="91">
        <f t="shared" si="5"/>
        <v>5</v>
      </c>
      <c r="E79" s="96" t="s">
        <v>47</v>
      </c>
      <c r="F79" s="97" t="s">
        <v>48</v>
      </c>
      <c r="G79" s="163" t="s">
        <v>20</v>
      </c>
      <c r="H79" s="163" t="s">
        <v>49</v>
      </c>
    </row>
    <row r="80" spans="4:8" ht="16" x14ac:dyDescent="0.2">
      <c r="D80" s="91">
        <f t="shared" si="5"/>
        <v>6</v>
      </c>
      <c r="E80" s="97" t="s">
        <v>118</v>
      </c>
      <c r="F80" s="97" t="s">
        <v>119</v>
      </c>
      <c r="G80" s="143" t="s">
        <v>69</v>
      </c>
      <c r="H80" s="114">
        <v>1234.56</v>
      </c>
    </row>
    <row r="81" spans="4:8" ht="16" x14ac:dyDescent="0.2">
      <c r="D81" s="91">
        <f t="shared" si="5"/>
        <v>7</v>
      </c>
      <c r="E81" s="97" t="s">
        <v>120</v>
      </c>
      <c r="F81" s="97" t="s">
        <v>121</v>
      </c>
      <c r="G81" s="143" t="s">
        <v>69</v>
      </c>
      <c r="H81" s="114">
        <v>1234.56</v>
      </c>
    </row>
    <row r="82" spans="4:8" ht="32" x14ac:dyDescent="0.2">
      <c r="D82" s="91">
        <v>9</v>
      </c>
      <c r="E82" s="95" t="s">
        <v>58</v>
      </c>
      <c r="F82" s="97" t="s">
        <v>73</v>
      </c>
      <c r="G82" s="96" t="s">
        <v>60</v>
      </c>
      <c r="H82" s="95" t="s">
        <v>116</v>
      </c>
    </row>
    <row r="84" spans="4:8" ht="16" x14ac:dyDescent="0.2">
      <c r="D84" s="92" t="s">
        <v>28</v>
      </c>
      <c r="E84" s="115"/>
      <c r="F84" s="116"/>
      <c r="G84" s="115"/>
      <c r="H84" s="117"/>
    </row>
    <row r="85" spans="4:8" ht="16" x14ac:dyDescent="0.2">
      <c r="D85" s="158" t="s">
        <v>3</v>
      </c>
      <c r="E85" s="159" t="s">
        <v>4</v>
      </c>
      <c r="F85" s="160" t="s">
        <v>5</v>
      </c>
      <c r="G85" s="159" t="s">
        <v>6</v>
      </c>
      <c r="H85" s="161" t="s">
        <v>7</v>
      </c>
    </row>
    <row r="86" spans="4:8" x14ac:dyDescent="0.2">
      <c r="D86" s="158"/>
      <c r="E86" s="159"/>
      <c r="F86" s="160"/>
      <c r="G86" s="159"/>
      <c r="H86" s="161"/>
    </row>
    <row r="87" spans="4:8" ht="16" x14ac:dyDescent="0.2">
      <c r="D87" s="91">
        <v>1</v>
      </c>
      <c r="E87" s="96" t="s">
        <v>30</v>
      </c>
      <c r="F87" s="97" t="s">
        <v>31</v>
      </c>
      <c r="G87" s="163" t="s">
        <v>32</v>
      </c>
      <c r="H87" s="164" t="s">
        <v>33</v>
      </c>
    </row>
    <row r="88" spans="4:8" ht="16" x14ac:dyDescent="0.2">
      <c r="D88" s="91">
        <v>2</v>
      </c>
      <c r="E88" s="97" t="s">
        <v>122</v>
      </c>
      <c r="F88" s="97" t="s">
        <v>24</v>
      </c>
      <c r="G88" s="163" t="s">
        <v>25</v>
      </c>
      <c r="H88" s="164" t="s">
        <v>26</v>
      </c>
    </row>
    <row r="89" spans="4:8" ht="16" x14ac:dyDescent="0.2">
      <c r="D89" s="91">
        <v>3</v>
      </c>
      <c r="E89" s="358" t="s">
        <v>123</v>
      </c>
      <c r="F89" s="359"/>
      <c r="G89" s="359"/>
      <c r="H89" s="360"/>
    </row>
    <row r="90" spans="4:8" ht="16" x14ac:dyDescent="0.2">
      <c r="D90" s="91"/>
      <c r="E90" s="121" t="s">
        <v>35</v>
      </c>
      <c r="F90" s="97" t="s">
        <v>24</v>
      </c>
      <c r="G90" s="163" t="s">
        <v>25</v>
      </c>
      <c r="H90" s="164">
        <v>1</v>
      </c>
    </row>
    <row r="91" spans="4:8" ht="16" x14ac:dyDescent="0.2">
      <c r="D91" s="91"/>
      <c r="E91" s="122" t="s">
        <v>36</v>
      </c>
      <c r="F91" s="97" t="s">
        <v>37</v>
      </c>
      <c r="G91" s="98" t="s">
        <v>11</v>
      </c>
      <c r="H91" s="105" t="s">
        <v>38</v>
      </c>
    </row>
    <row r="92" spans="4:8" ht="16" x14ac:dyDescent="0.2">
      <c r="D92" s="91"/>
      <c r="E92" s="122" t="s">
        <v>43</v>
      </c>
      <c r="F92" s="97" t="s">
        <v>124</v>
      </c>
      <c r="G92" s="98" t="s">
        <v>11</v>
      </c>
      <c r="H92" s="99" t="s">
        <v>45</v>
      </c>
    </row>
    <row r="93" spans="4:8" ht="16" x14ac:dyDescent="0.2">
      <c r="D93" s="91"/>
      <c r="E93" s="121" t="s">
        <v>47</v>
      </c>
      <c r="F93" s="97" t="s">
        <v>48</v>
      </c>
      <c r="G93" s="163" t="s">
        <v>20</v>
      </c>
      <c r="H93" s="163" t="s">
        <v>49</v>
      </c>
    </row>
    <row r="94" spans="4:8" ht="112" x14ac:dyDescent="0.2">
      <c r="D94" s="91"/>
      <c r="E94" s="122" t="s">
        <v>125</v>
      </c>
      <c r="F94" s="97" t="s">
        <v>126</v>
      </c>
      <c r="G94" s="98" t="s">
        <v>11</v>
      </c>
      <c r="H94" s="99" t="s">
        <v>127</v>
      </c>
    </row>
    <row r="95" spans="4:8" ht="16" x14ac:dyDescent="0.2">
      <c r="D95" s="91"/>
      <c r="E95" s="122" t="s">
        <v>128</v>
      </c>
      <c r="F95" s="97" t="s">
        <v>129</v>
      </c>
      <c r="G95" s="143" t="s">
        <v>69</v>
      </c>
      <c r="H95" s="114">
        <v>678.89</v>
      </c>
    </row>
    <row r="96" spans="4:8" ht="32" x14ac:dyDescent="0.2">
      <c r="D96" s="91"/>
      <c r="E96" s="122" t="s">
        <v>58</v>
      </c>
      <c r="F96" s="97" t="s">
        <v>73</v>
      </c>
      <c r="G96" s="96" t="s">
        <v>60</v>
      </c>
      <c r="H96" s="114" t="s">
        <v>130</v>
      </c>
    </row>
    <row r="97" spans="4:8" ht="16" x14ac:dyDescent="0.2">
      <c r="D97" s="91">
        <v>4</v>
      </c>
      <c r="E97" s="358" t="s">
        <v>131</v>
      </c>
      <c r="F97" s="359"/>
      <c r="G97" s="359"/>
      <c r="H97" s="360"/>
    </row>
    <row r="98" spans="4:8" ht="16" x14ac:dyDescent="0.2">
      <c r="D98" s="91"/>
      <c r="E98" s="121" t="s">
        <v>35</v>
      </c>
      <c r="F98" s="97" t="s">
        <v>24</v>
      </c>
      <c r="G98" s="163" t="s">
        <v>25</v>
      </c>
      <c r="H98" s="164">
        <v>1</v>
      </c>
    </row>
    <row r="99" spans="4:8" ht="16" x14ac:dyDescent="0.2">
      <c r="D99" s="91"/>
      <c r="E99" s="122" t="s">
        <v>36</v>
      </c>
      <c r="F99" s="97" t="s">
        <v>37</v>
      </c>
      <c r="G99" s="98" t="s">
        <v>11</v>
      </c>
      <c r="H99" s="105" t="s">
        <v>38</v>
      </c>
    </row>
    <row r="100" spans="4:8" ht="16" x14ac:dyDescent="0.2">
      <c r="D100" s="91"/>
      <c r="E100" s="122" t="s">
        <v>43</v>
      </c>
      <c r="F100" s="97" t="s">
        <v>132</v>
      </c>
      <c r="G100" s="98" t="s">
        <v>11</v>
      </c>
      <c r="H100" s="99" t="s">
        <v>45</v>
      </c>
    </row>
    <row r="101" spans="4:8" ht="16" x14ac:dyDescent="0.2">
      <c r="D101" s="91"/>
      <c r="E101" s="121" t="s">
        <v>47</v>
      </c>
      <c r="F101" s="97" t="s">
        <v>48</v>
      </c>
      <c r="G101" s="163" t="s">
        <v>20</v>
      </c>
      <c r="H101" s="163" t="s">
        <v>49</v>
      </c>
    </row>
    <row r="102" spans="4:8" ht="16" x14ac:dyDescent="0.2">
      <c r="D102" s="91"/>
      <c r="E102" s="122" t="s">
        <v>128</v>
      </c>
      <c r="F102" s="97" t="s">
        <v>133</v>
      </c>
      <c r="G102" s="143" t="s">
        <v>69</v>
      </c>
      <c r="H102" s="114">
        <v>678.89</v>
      </c>
    </row>
    <row r="103" spans="4:8" ht="80" x14ac:dyDescent="0.2">
      <c r="D103" s="91"/>
      <c r="E103" s="122" t="s">
        <v>134</v>
      </c>
      <c r="F103" s="97" t="s">
        <v>135</v>
      </c>
      <c r="G103" s="98" t="s">
        <v>11</v>
      </c>
      <c r="H103" s="99" t="s">
        <v>136</v>
      </c>
    </row>
    <row r="104" spans="4:8" ht="32" x14ac:dyDescent="0.2">
      <c r="D104" s="91"/>
      <c r="E104" s="121" t="s">
        <v>58</v>
      </c>
      <c r="F104" s="97" t="s">
        <v>73</v>
      </c>
      <c r="G104" s="96" t="s">
        <v>60</v>
      </c>
      <c r="H104" s="95"/>
    </row>
    <row r="106" spans="4:8" ht="16" x14ac:dyDescent="0.2">
      <c r="D106" s="94" t="s">
        <v>29</v>
      </c>
      <c r="E106" s="118"/>
      <c r="F106" s="119"/>
      <c r="G106" s="118"/>
      <c r="H106" s="120"/>
    </row>
    <row r="107" spans="4:8" ht="16" x14ac:dyDescent="0.2">
      <c r="D107" s="158" t="s">
        <v>3</v>
      </c>
      <c r="E107" s="159" t="s">
        <v>4</v>
      </c>
      <c r="F107" s="160" t="s">
        <v>5</v>
      </c>
      <c r="G107" s="159" t="s">
        <v>6</v>
      </c>
      <c r="H107" s="161" t="s">
        <v>7</v>
      </c>
    </row>
    <row r="108" spans="4:8" ht="16" x14ac:dyDescent="0.2">
      <c r="D108" s="91">
        <v>1</v>
      </c>
      <c r="E108" s="96" t="s">
        <v>30</v>
      </c>
      <c r="F108" s="97" t="s">
        <v>31</v>
      </c>
      <c r="G108" s="163" t="s">
        <v>32</v>
      </c>
      <c r="H108" s="164" t="s">
        <v>33</v>
      </c>
    </row>
    <row r="109" spans="4:8" ht="32" x14ac:dyDescent="0.2">
      <c r="D109" s="91">
        <f>D108+1</f>
        <v>2</v>
      </c>
      <c r="E109" s="97" t="s">
        <v>137</v>
      </c>
      <c r="F109" s="97" t="s">
        <v>24</v>
      </c>
      <c r="G109" s="163" t="s">
        <v>25</v>
      </c>
      <c r="H109" s="164" t="s">
        <v>26</v>
      </c>
    </row>
    <row r="110" spans="4:8" ht="16" x14ac:dyDescent="0.2">
      <c r="D110" s="91">
        <v>4</v>
      </c>
      <c r="E110" s="97" t="s">
        <v>138</v>
      </c>
      <c r="F110" s="97"/>
      <c r="G110" s="163"/>
      <c r="H110" s="164"/>
    </row>
    <row r="111" spans="4:8" ht="16" x14ac:dyDescent="0.2">
      <c r="D111" s="91"/>
      <c r="E111" s="121" t="s">
        <v>35</v>
      </c>
      <c r="F111" s="97" t="s">
        <v>24</v>
      </c>
      <c r="G111" s="163" t="s">
        <v>25</v>
      </c>
      <c r="H111" s="164">
        <v>1</v>
      </c>
    </row>
    <row r="112" spans="4:8" ht="16" x14ac:dyDescent="0.2">
      <c r="D112" s="91"/>
      <c r="E112" s="122" t="s">
        <v>43</v>
      </c>
      <c r="F112" s="97" t="s">
        <v>139</v>
      </c>
      <c r="G112" s="98" t="s">
        <v>11</v>
      </c>
      <c r="H112" s="99" t="s">
        <v>45</v>
      </c>
    </row>
    <row r="113" spans="4:8" ht="16" x14ac:dyDescent="0.2">
      <c r="D113" s="91"/>
      <c r="E113" s="121" t="s">
        <v>47</v>
      </c>
      <c r="F113" s="97" t="s">
        <v>48</v>
      </c>
      <c r="G113" s="163" t="s">
        <v>20</v>
      </c>
      <c r="H113" s="163" t="s">
        <v>49</v>
      </c>
    </row>
    <row r="114" spans="4:8" ht="176" x14ac:dyDescent="0.2">
      <c r="D114" s="91"/>
      <c r="E114" s="122" t="s">
        <v>140</v>
      </c>
      <c r="F114" s="434" t="s">
        <v>141</v>
      </c>
      <c r="G114" s="98" t="s">
        <v>11</v>
      </c>
      <c r="H114" s="99" t="s">
        <v>142</v>
      </c>
    </row>
    <row r="115" spans="4:8" ht="16" x14ac:dyDescent="0.2">
      <c r="D115" s="91"/>
      <c r="E115" s="122" t="s">
        <v>143</v>
      </c>
      <c r="F115" s="97" t="s">
        <v>144</v>
      </c>
      <c r="G115" s="143" t="s">
        <v>69</v>
      </c>
      <c r="H115" s="114">
        <v>456.98</v>
      </c>
    </row>
    <row r="116" spans="4:8" ht="144" x14ac:dyDescent="0.2">
      <c r="D116" s="91"/>
      <c r="E116" s="435" t="s">
        <v>145</v>
      </c>
      <c r="F116" s="434" t="s">
        <v>146</v>
      </c>
      <c r="G116" s="98" t="s">
        <v>11</v>
      </c>
      <c r="H116" s="99" t="s">
        <v>147</v>
      </c>
    </row>
    <row r="117" spans="4:8" ht="32" x14ac:dyDescent="0.2">
      <c r="D117" s="91"/>
      <c r="E117" s="400" t="s">
        <v>58</v>
      </c>
      <c r="F117" s="97" t="s">
        <v>73</v>
      </c>
      <c r="G117" s="96" t="s">
        <v>60</v>
      </c>
      <c r="H117" s="95"/>
    </row>
    <row r="118" spans="4:8" x14ac:dyDescent="0.2">
      <c r="D118" s="10"/>
    </row>
    <row r="119" spans="4:8" ht="16" hidden="1" x14ac:dyDescent="0.2">
      <c r="D119" s="131" t="s">
        <v>148</v>
      </c>
      <c r="E119" s="132"/>
      <c r="F119" s="133"/>
      <c r="G119" s="132"/>
      <c r="H119" s="134"/>
    </row>
    <row r="120" spans="4:8" ht="16" hidden="1" x14ac:dyDescent="0.2">
      <c r="D120" s="158" t="s">
        <v>3</v>
      </c>
      <c r="E120" s="159" t="s">
        <v>4</v>
      </c>
      <c r="F120" s="160" t="s">
        <v>5</v>
      </c>
      <c r="G120" s="159" t="s">
        <v>6</v>
      </c>
      <c r="H120" s="161" t="s">
        <v>7</v>
      </c>
    </row>
    <row r="121" spans="4:8" ht="16" hidden="1" x14ac:dyDescent="0.2">
      <c r="D121" s="91">
        <v>1</v>
      </c>
      <c r="E121" s="96" t="s">
        <v>9</v>
      </c>
      <c r="F121" s="97" t="s">
        <v>31</v>
      </c>
      <c r="G121" s="163" t="s">
        <v>32</v>
      </c>
      <c r="H121" s="164" t="s">
        <v>12</v>
      </c>
    </row>
    <row r="122" spans="4:8" ht="16" hidden="1" x14ac:dyDescent="0.2">
      <c r="D122" s="91">
        <f t="shared" ref="D122:D123" si="6">D121+1</f>
        <v>2</v>
      </c>
      <c r="E122" s="97" t="s">
        <v>14</v>
      </c>
      <c r="F122" s="97" t="s">
        <v>24</v>
      </c>
      <c r="G122" s="163" t="s">
        <v>25</v>
      </c>
      <c r="H122" s="164">
        <v>2024</v>
      </c>
    </row>
    <row r="123" spans="4:8" ht="32" hidden="1" x14ac:dyDescent="0.2">
      <c r="D123" s="91">
        <f t="shared" si="6"/>
        <v>3</v>
      </c>
      <c r="E123" s="97" t="s">
        <v>149</v>
      </c>
      <c r="F123" s="97" t="s">
        <v>150</v>
      </c>
      <c r="G123" s="163" t="s">
        <v>25</v>
      </c>
      <c r="H123" s="164" t="s">
        <v>26</v>
      </c>
    </row>
  </sheetData>
  <hyperlinks>
    <hyperlink ref="B5" location="Instructions!D4" display="1. Data Info and Summary" xr:uid="{7C9514BF-75EB-0948-AD6C-400F59A85051}"/>
    <hyperlink ref="B8" location="Instructions!D39" display="2.2 Refrigerants" xr:uid="{9FC3F456-55B7-DC4C-A6AF-7DFDBBC9EF4E}"/>
    <hyperlink ref="B7" location="Instructions!D24" display="2.1b Fuel - Vehicles" xr:uid="{AE1EB999-39E0-AF44-9FD2-A96F7980BC70}"/>
    <hyperlink ref="B9" location="Instructions!D60" display="2.3 Electricity" xr:uid="{62900E98-1451-7840-81FE-A2C420292697}"/>
    <hyperlink ref="B11" location="Instructions!D84" display="2.4 Water" xr:uid="{47C9E336-DF1A-9A42-B630-CC61D018ABD9}"/>
    <hyperlink ref="B12" location="Instructions!D106" display="2.5 Waste" xr:uid="{B9F843FC-54E3-D543-BFC5-5254C35578EF}"/>
    <hyperlink ref="B6" location="Instructions!D11" display="2.1a Fuel - Stationary" xr:uid="{7418B0EC-6F35-7D45-A793-A002330F7C52}"/>
    <hyperlink ref="B10" location="Instructions!D73" display="2.3b RE - Solar" xr:uid="{B6DD71F7-AB12-2F4A-A0F3-EA4FFCBEF4DE}"/>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1" zoomScale="88" zoomScaleNormal="60" workbookViewId="0">
      <selection activeCell="I50" sqref="I50"/>
    </sheetView>
  </sheetViews>
  <sheetFormatPr baseColWidth="10" defaultColWidth="10.83203125" defaultRowHeight="19" x14ac:dyDescent="0.2"/>
  <cols>
    <col min="1" max="1" width="4.83203125" style="124" customWidth="1"/>
    <col min="2" max="2" width="3.1640625" style="51" customWidth="1"/>
    <col min="3" max="3" width="43" style="51" bestFit="1" customWidth="1"/>
    <col min="4" max="7" width="17" style="51" customWidth="1"/>
    <col min="8" max="16384" width="10.83203125" style="51"/>
  </cols>
  <sheetData>
    <row r="2" spans="3:7" x14ac:dyDescent="0.2">
      <c r="C2" s="123" t="s">
        <v>9</v>
      </c>
      <c r="D2" s="457" t="s">
        <v>151</v>
      </c>
      <c r="E2" s="458"/>
      <c r="F2" s="458"/>
      <c r="G2" s="459"/>
    </row>
    <row r="3" spans="3:7" x14ac:dyDescent="0.2">
      <c r="C3" s="123" t="s">
        <v>14</v>
      </c>
      <c r="D3" s="457">
        <v>2024</v>
      </c>
      <c r="E3" s="458"/>
      <c r="F3" s="458"/>
      <c r="G3" s="459"/>
    </row>
    <row r="5" spans="3:7" ht="19" customHeight="1" x14ac:dyDescent="0.2">
      <c r="C5" s="456" t="s">
        <v>152</v>
      </c>
      <c r="D5" s="456"/>
      <c r="E5" s="456"/>
      <c r="F5" s="456"/>
      <c r="G5" s="456"/>
    </row>
    <row r="7" spans="3:7" x14ac:dyDescent="0.2">
      <c r="C7" s="182" t="s">
        <v>18</v>
      </c>
      <c r="D7" s="183" t="s">
        <v>49</v>
      </c>
      <c r="E7" s="183" t="s">
        <v>153</v>
      </c>
      <c r="F7" s="183" t="s">
        <v>154</v>
      </c>
      <c r="G7" s="183" t="s">
        <v>155</v>
      </c>
    </row>
    <row r="8" spans="3:7" x14ac:dyDescent="0.2">
      <c r="C8" s="184" t="s">
        <v>156</v>
      </c>
      <c r="D8" s="185" t="str" cm="1">
        <f t="array" ref="D8">IF(SUMPRODUCT(--('2.1a Fuel - Buildings'!D11:D15&gt;0))&gt;0, "x", "")</f>
        <v>x</v>
      </c>
      <c r="E8" s="185" t="str" cm="1">
        <f t="array" ref="E8">IF(SUMPRODUCT(--('2.1a Fuel - Buildings'!E11:E15&gt;0))&gt;0, "x", "")</f>
        <v>x</v>
      </c>
      <c r="F8" s="185" t="str" cm="1">
        <f t="array" ref="F8">IF(SUMPRODUCT(--('2.1a Fuel - Buildings'!F11:F15&gt;0))&gt;0, "x", "")</f>
        <v>x</v>
      </c>
      <c r="G8" s="185" t="str" cm="1">
        <f t="array" ref="G8">IF(SUMPRODUCT(--('2.1a Fuel - Buildings'!G11:G15&gt;0))&gt;0, "x", "")</f>
        <v>x</v>
      </c>
    </row>
    <row r="9" spans="3:7" x14ac:dyDescent="0.2">
      <c r="C9" s="186" t="s">
        <v>157</v>
      </c>
      <c r="D9" s="187" t="str" cm="1">
        <f t="array" ref="D9">IF(SUMPRODUCT(--('2.1b Fuel - Vehicles'!D11:D12&gt;0))&gt;0, "x", "")</f>
        <v>x</v>
      </c>
      <c r="E9" s="187" t="str" cm="1">
        <f t="array" ref="E9">IF(SUMPRODUCT(--('2.1b Fuel - Vehicles'!E11:E12&gt;0))&gt;0, "x", "")</f>
        <v>x</v>
      </c>
      <c r="F9" s="187" t="str" cm="1">
        <f t="array" ref="F9">IF(SUMPRODUCT(--('2.1b Fuel - Vehicles'!F11:F12&gt;0))&gt;0, "x", "")</f>
        <v>x</v>
      </c>
      <c r="G9" s="187" t="str" cm="1">
        <f t="array" ref="G9">IF(SUMPRODUCT(--('2.1b Fuel - Vehicles'!G11:G12&gt;0))&gt;0, "x", "")</f>
        <v>x</v>
      </c>
    </row>
    <row r="10" spans="3:7" x14ac:dyDescent="0.2">
      <c r="C10" s="186" t="s">
        <v>158</v>
      </c>
      <c r="D10" s="187" t="str" cm="1">
        <f t="array" ref="D10">IF(SUMPRODUCT(--('2.2 Refrigerants'!D11:D13&gt;0))&gt;0, "x", "")</f>
        <v>x</v>
      </c>
      <c r="E10" s="187" t="str" cm="1">
        <f t="array" ref="E10">IF(SUMPRODUCT(--('2.2 Refrigerants'!E11:E13&gt;0))&gt;0, "x", "")</f>
        <v>x</v>
      </c>
      <c r="F10" s="187" t="str" cm="1">
        <f t="array" ref="F10">IF(SUMPRODUCT(--('2.2 Refrigerants'!F11:F13&gt;0))&gt;0, "x", "")</f>
        <v>x</v>
      </c>
      <c r="G10" s="187" t="str" cm="1">
        <f t="array" ref="G10">IF(SUMPRODUCT(--('2.2 Refrigerants'!G11:G13&gt;0))&gt;0, "x", "")</f>
        <v>x</v>
      </c>
    </row>
    <row r="11" spans="3:7" x14ac:dyDescent="0.2">
      <c r="C11" s="186" t="s">
        <v>159</v>
      </c>
      <c r="D11" s="187" t="str" cm="1">
        <f t="array" ref="D11">IF(SUMPRODUCT(--('2.3a Electricity'!D12:D12&gt;0))&gt;0, "x", "")</f>
        <v>x</v>
      </c>
      <c r="E11" s="187" t="str" cm="1">
        <f t="array" ref="E11">IF(SUMPRODUCT(--('2.3a Electricity'!E12:E12&gt;0))&gt;0, "x", "")</f>
        <v>x</v>
      </c>
      <c r="F11" s="187" t="str" cm="1">
        <f t="array" ref="F11">IF(SUMPRODUCT(--('2.3a Electricity'!F12:F12&gt;0))&gt;0, "x", "")</f>
        <v>x</v>
      </c>
      <c r="G11" s="187" t="str" cm="1">
        <f t="array" ref="G11">IF(SUMPRODUCT(--('2.3a Electricity'!G12:G12&gt;0))&gt;0, "x", "")</f>
        <v>x</v>
      </c>
    </row>
    <row r="12" spans="3:7" x14ac:dyDescent="0.2">
      <c r="C12" s="186" t="s">
        <v>160</v>
      </c>
      <c r="D12" s="187" t="str">
        <f>IF('2.3b RE - Solar'!D11&lt;&gt;0,"x","")</f>
        <v>x</v>
      </c>
      <c r="E12" s="187" t="str">
        <f>IF('2.3b RE - Solar'!E11&lt;&gt;0,"x","")</f>
        <v>x</v>
      </c>
      <c r="F12" s="187" t="str">
        <f>IF('2.3b RE - Solar'!F11&lt;&gt;0,"x","")</f>
        <v>x</v>
      </c>
      <c r="G12" s="187" t="str">
        <f>IF('2.3b RE - Solar'!G11&lt;&gt;0,"x","")</f>
        <v>x</v>
      </c>
    </row>
    <row r="13" spans="3:7" x14ac:dyDescent="0.2">
      <c r="C13" s="186" t="s">
        <v>161</v>
      </c>
      <c r="D13" s="187" t="str">
        <f>IF(SUM('2.4 Water'!D11:D12)&lt;&gt;0,"x","")</f>
        <v>x</v>
      </c>
      <c r="E13" s="187" t="str">
        <f>IF(SUM('2.4 Water'!E11:E12)&lt;&gt;0,"x","")</f>
        <v>x</v>
      </c>
      <c r="F13" s="187" t="str">
        <f>IF(SUM('2.4 Water'!F11:F12)&lt;&gt;0,"x","")</f>
        <v>x</v>
      </c>
      <c r="G13" s="187" t="str">
        <f>IF(SUM('2.4 Water'!G11:G12)&lt;&gt;0,"x","")</f>
        <v>x</v>
      </c>
    </row>
    <row r="14" spans="3:7" x14ac:dyDescent="0.2">
      <c r="C14" s="186" t="s">
        <v>162</v>
      </c>
      <c r="D14" s="187" t="str" cm="1">
        <f t="array" ref="D14">IF(SUMPRODUCT(--('2.5 Waste'!D11:D16&gt;0))&gt;0, "x", "")</f>
        <v>x</v>
      </c>
      <c r="E14" s="187" t="str" cm="1">
        <f t="array" ref="E14">IF(SUMPRODUCT(--('2.5 Waste'!E11:E16&gt;0))&gt;0, "x", "")</f>
        <v>x</v>
      </c>
      <c r="F14" s="187" t="str" cm="1">
        <f t="array" ref="F14">IF(SUMPRODUCT(--('2.5 Waste'!F11:F16&gt;0))&gt;0, "x", "")</f>
        <v>x</v>
      </c>
      <c r="G14" s="187" t="str" cm="1">
        <f t="array" ref="G14">IF(SUMPRODUCT(--('2.5 Waste'!G11:G16&gt;0))&gt;0, "x", "")</f>
        <v>x</v>
      </c>
    </row>
    <row r="16" spans="3:7" x14ac:dyDescent="0.2">
      <c r="C16" s="188" t="s">
        <v>163</v>
      </c>
      <c r="D16" s="189"/>
      <c r="E16" s="190"/>
    </row>
    <row r="17" spans="3:5" x14ac:dyDescent="0.2">
      <c r="C17" s="191" t="str">
        <f>'2.1a Fuel - Buildings'!B10</f>
        <v>Fuel Type</v>
      </c>
      <c r="D17" s="191" t="str">
        <f>'2.1a Fuel - Buildings'!C10</f>
        <v>Unit</v>
      </c>
      <c r="E17" s="192" t="s">
        <v>164</v>
      </c>
    </row>
    <row r="18" spans="3:5" x14ac:dyDescent="0.2">
      <c r="C18" s="193" t="str">
        <f>'2.1a Fuel - Buildings'!B11</f>
        <v>Diesel - Standby generator sets</v>
      </c>
      <c r="D18" s="193" t="str">
        <f>'2.1a Fuel - Buildings'!C11</f>
        <v>Liters</v>
      </c>
      <c r="E18" s="194">
        <f>SUM('2.1a Fuel - Buildings'!$D$11:$G$11)</f>
        <v>12135</v>
      </c>
    </row>
    <row r="19" spans="3:5" x14ac:dyDescent="0.2">
      <c r="C19" s="193" t="str">
        <f>'2.1a Fuel - Buildings'!B12</f>
        <v>Diesel - Others</v>
      </c>
      <c r="D19" s="193" t="str">
        <f>'2.1a Fuel - Buildings'!C12</f>
        <v>Liters</v>
      </c>
      <c r="E19" s="194">
        <f>SUM('2.1a Fuel - Buildings'!$D$12:$G$12)</f>
        <v>0</v>
      </c>
    </row>
    <row r="20" spans="3:5" x14ac:dyDescent="0.2">
      <c r="C20" s="193" t="str">
        <f>'2.1a Fuel - Buildings'!B13</f>
        <v>Gasoline - Others</v>
      </c>
      <c r="D20" s="193" t="str">
        <f>'2.1a Fuel - Buildings'!C13</f>
        <v>Liters</v>
      </c>
      <c r="E20" s="194">
        <f>SUM('2.1a Fuel - Buildings'!$D$13:$G$13)</f>
        <v>0</v>
      </c>
    </row>
    <row r="21" spans="3:5" x14ac:dyDescent="0.2">
      <c r="C21" s="193" t="str">
        <f>'2.1a Fuel - Buildings'!B14</f>
        <v>LPG - Heating and cooking</v>
      </c>
      <c r="D21" s="193" t="str">
        <f>'2.1a Fuel - Buildings'!C14</f>
        <v>Kilograms</v>
      </c>
      <c r="E21" s="194">
        <f>SUM('2.1a Fuel - Buildings'!$D$14:$G$14)</f>
        <v>0</v>
      </c>
    </row>
    <row r="22" spans="3:5" x14ac:dyDescent="0.2">
      <c r="C22" s="193" t="str">
        <f>'2.1a Fuel - Buildings'!B15</f>
        <v>Compressed natural gas</v>
      </c>
      <c r="D22" s="193" t="str">
        <f>'2.1a Fuel - Buildings'!C15</f>
        <v>Cubic meters</v>
      </c>
      <c r="E22" s="194">
        <f>SUM('2.1a Fuel - Buildings'!$D$15:$G$15)</f>
        <v>0</v>
      </c>
    </row>
    <row r="23" spans="3:5" x14ac:dyDescent="0.2">
      <c r="E23" s="71"/>
    </row>
    <row r="24" spans="3:5" x14ac:dyDescent="0.2">
      <c r="C24" s="188" t="s">
        <v>165</v>
      </c>
      <c r="D24" s="189"/>
      <c r="E24" s="190"/>
    </row>
    <row r="25" spans="3:5" x14ac:dyDescent="0.2">
      <c r="C25" s="191" t="str">
        <f>'2.1b Fuel - Vehicles'!B10</f>
        <v>Fuel Type</v>
      </c>
      <c r="D25" s="191" t="str">
        <f>'2.1b Fuel - Vehicles'!C10</f>
        <v>Unit</v>
      </c>
      <c r="E25" s="191" t="s">
        <v>164</v>
      </c>
    </row>
    <row r="26" spans="3:5" x14ac:dyDescent="0.2">
      <c r="C26" s="193" t="str">
        <f>'2.1b Fuel - Vehicles'!B11</f>
        <v>Diesel - Transport vehicles</v>
      </c>
      <c r="D26" s="193" t="str">
        <f>'2.1b Fuel - Vehicles'!C11</f>
        <v>Liters</v>
      </c>
      <c r="E26" s="195">
        <f>SUM('2.1b Fuel - Vehicles'!$D11:$G11)</f>
        <v>10748.76</v>
      </c>
    </row>
    <row r="27" spans="3:5" x14ac:dyDescent="0.2">
      <c r="C27" s="193" t="str">
        <f>'2.1b Fuel - Vehicles'!B12</f>
        <v>Gasoline - Transport vehicles</v>
      </c>
      <c r="D27" s="193" t="str">
        <f>'2.1b Fuel - Vehicles'!C12</f>
        <v>Liters</v>
      </c>
      <c r="E27" s="195">
        <f>SUM('2.1b Fuel - Vehicles'!$D12:$G12)</f>
        <v>0</v>
      </c>
    </row>
    <row r="28" spans="3:5" x14ac:dyDescent="0.2">
      <c r="E28" s="71"/>
    </row>
    <row r="29" spans="3:5" x14ac:dyDescent="0.2">
      <c r="C29" s="188" t="s">
        <v>166</v>
      </c>
      <c r="D29" s="189"/>
      <c r="E29" s="190"/>
    </row>
    <row r="30" spans="3:5" x14ac:dyDescent="0.2">
      <c r="C30" s="191" t="str">
        <f>'2.3a Electricity'!B11</f>
        <v>Electricity</v>
      </c>
      <c r="D30" s="191" t="str">
        <f>'2.3a Electricity'!C11</f>
        <v>Unit</v>
      </c>
      <c r="E30" s="196" t="s">
        <v>164</v>
      </c>
    </row>
    <row r="31" spans="3:5" x14ac:dyDescent="0.2">
      <c r="C31" s="193" t="str">
        <f>'2.3a Electricity'!B12</f>
        <v>Quantity</v>
      </c>
      <c r="D31" s="193" t="str">
        <f>'2.3a Electricity'!C12</f>
        <v>Kilowatt-hour</v>
      </c>
      <c r="E31" s="194">
        <f>SUM('2.3a Electricity'!$D$12:$G$12)</f>
        <v>18499617.59</v>
      </c>
    </row>
    <row r="32" spans="3:5" x14ac:dyDescent="0.2">
      <c r="E32" s="71"/>
    </row>
    <row r="33" spans="3:5" x14ac:dyDescent="0.2">
      <c r="C33" s="188" t="s">
        <v>167</v>
      </c>
      <c r="D33" s="189"/>
      <c r="E33" s="190"/>
    </row>
    <row r="34" spans="3:5" x14ac:dyDescent="0.2">
      <c r="C34" s="433" t="str">
        <f>'2.3b RE - Solar'!B9</f>
        <v>Summary of Solar Energy Generated</v>
      </c>
      <c r="D34" s="191" t="s">
        <v>55</v>
      </c>
      <c r="E34" s="196" t="s">
        <v>164</v>
      </c>
    </row>
    <row r="35" spans="3:5" x14ac:dyDescent="0.2">
      <c r="C35" s="193" t="str">
        <f>'2.3b RE - Solar'!B11</f>
        <v>Quantity</v>
      </c>
      <c r="D35" s="193" t="str">
        <f>'2.3b RE - Solar'!C11</f>
        <v>Kilowatt-hour</v>
      </c>
      <c r="E35" s="194">
        <f>SUM('2.3b RE - Solar'!D11:G11)</f>
        <v>346166.63</v>
      </c>
    </row>
    <row r="36" spans="3:5" x14ac:dyDescent="0.2">
      <c r="E36" s="71"/>
    </row>
    <row r="37" spans="3:5" x14ac:dyDescent="0.2">
      <c r="C37" s="188" t="s">
        <v>168</v>
      </c>
      <c r="D37" s="189"/>
      <c r="E37" s="190"/>
    </row>
    <row r="38" spans="3:5" x14ac:dyDescent="0.2">
      <c r="C38" s="191" t="str">
        <f>'2.4 Water'!B10</f>
        <v>Water</v>
      </c>
      <c r="D38" s="191" t="str">
        <f>'2.4 Water'!C10</f>
        <v>Unit</v>
      </c>
      <c r="E38" s="196" t="s">
        <v>164</v>
      </c>
    </row>
    <row r="39" spans="3:5" x14ac:dyDescent="0.2">
      <c r="C39" s="193" t="str">
        <f>'2.4 Water'!B11</f>
        <v>Water Intake</v>
      </c>
      <c r="D39" s="193" t="str">
        <f>'2.4 Water'!C11</f>
        <v>Cubic meters</v>
      </c>
      <c r="E39" s="194">
        <f>SUM('2.4 Water'!$D$11:$G$11)</f>
        <v>271288</v>
      </c>
    </row>
    <row r="40" spans="3:5" x14ac:dyDescent="0.2">
      <c r="C40" s="193" t="str">
        <f>'2.4 Water'!B12</f>
        <v>Water Discharge</v>
      </c>
      <c r="D40" s="193" t="str">
        <f>'2.4 Water'!C12</f>
        <v>Cubic meters</v>
      </c>
      <c r="E40" s="194">
        <f>SUM('2.4 Water'!$D$12:$G$12)</f>
        <v>0</v>
      </c>
    </row>
    <row r="42" spans="3:5" x14ac:dyDescent="0.2">
      <c r="C42" s="188" t="s">
        <v>169</v>
      </c>
      <c r="D42" s="189"/>
      <c r="E42" s="431"/>
    </row>
    <row r="43" spans="3:5" ht="40" x14ac:dyDescent="0.2">
      <c r="C43" s="191" t="str">
        <f>'2.5 Waste'!B10</f>
        <v>Waste Composition</v>
      </c>
      <c r="D43" s="191" t="str">
        <f>'2.5 Waste'!C10</f>
        <v>Unit</v>
      </c>
      <c r="E43" s="436" t="s">
        <v>170</v>
      </c>
    </row>
    <row r="44" spans="3:5" x14ac:dyDescent="0.2">
      <c r="C44" s="193" t="str">
        <f>'2.5 Waste'!B11</f>
        <v>Compostable</v>
      </c>
      <c r="D44" s="193" t="str">
        <f>'2.5 Waste'!C11</f>
        <v>Kilograms</v>
      </c>
      <c r="E44" s="195">
        <f>SUM('2.5 Waste'!$D$11:$G$11)</f>
        <v>0</v>
      </c>
    </row>
    <row r="45" spans="3:5" x14ac:dyDescent="0.2">
      <c r="C45" s="193" t="str">
        <f>'2.5 Waste'!B12</f>
        <v>Recyclable</v>
      </c>
      <c r="D45" s="193" t="str">
        <f>'2.5 Waste'!C12</f>
        <v>Kilograms</v>
      </c>
      <c r="E45" s="195">
        <f>SUM('2.5 Waste'!$D$12:$G$12)</f>
        <v>0</v>
      </c>
    </row>
    <row r="46" spans="3:5" x14ac:dyDescent="0.2">
      <c r="C46" s="193" t="str">
        <f>'2.5 Waste'!B13</f>
        <v>Infectious</v>
      </c>
      <c r="D46" s="193" t="str">
        <f>'2.5 Waste'!C13</f>
        <v>Kilograms</v>
      </c>
      <c r="E46" s="195">
        <f>SUM('2.5 Waste'!$D$13:$G$13)</f>
        <v>27.5</v>
      </c>
    </row>
    <row r="47" spans="3:5" x14ac:dyDescent="0.2">
      <c r="C47" s="193" t="str">
        <f>'2.5 Waste'!B14</f>
        <v>Security</v>
      </c>
      <c r="D47" s="193" t="str">
        <f>'2.5 Waste'!C14</f>
        <v>Kilograms</v>
      </c>
      <c r="E47" s="195">
        <f>SUM('2.5 Waste'!$D$14:$G$14)</f>
        <v>0</v>
      </c>
    </row>
    <row r="48" spans="3:5" x14ac:dyDescent="0.2">
      <c r="C48" s="193" t="str">
        <f>'2.5 Waste'!B15</f>
        <v>Hazardous</v>
      </c>
      <c r="D48" s="193" t="str">
        <f>'2.5 Waste'!C15</f>
        <v>Kilograms</v>
      </c>
      <c r="E48" s="195">
        <f>SUM('2.5 Waste'!$D$14:$G$14)</f>
        <v>0</v>
      </c>
    </row>
    <row r="49" spans="3:5" x14ac:dyDescent="0.2">
      <c r="C49" s="193" t="str">
        <f>'2.5 Waste'!B16</f>
        <v>Residual/Landfill</v>
      </c>
      <c r="D49" s="193" t="str">
        <f>'2.5 Waste'!C16</f>
        <v>Kilograms</v>
      </c>
      <c r="E49" s="195">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20"/>
  <sheetViews>
    <sheetView showGridLines="0" tabSelected="1" zoomScaleNormal="100" workbookViewId="0">
      <selection activeCell="F20" sqref="F2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23.33203125" style="20" customWidth="1"/>
    <col min="13" max="13" width="11.83203125" style="21" bestFit="1" customWidth="1"/>
    <col min="14" max="14" width="16" style="21" bestFit="1" customWidth="1"/>
    <col min="15" max="15" width="9.5" style="22" customWidth="1"/>
    <col min="16" max="16" width="32.33203125" style="11" customWidth="1"/>
    <col min="17" max="16384" width="10.83203125" style="20"/>
  </cols>
  <sheetData>
    <row r="2" spans="2:16" ht="19" x14ac:dyDescent="0.25">
      <c r="B2" s="286" t="s">
        <v>30</v>
      </c>
      <c r="C2" s="287"/>
      <c r="D2" s="287"/>
      <c r="E2" s="287"/>
      <c r="F2" s="287"/>
      <c r="G2" s="288"/>
      <c r="I2" s="361" t="s">
        <v>171</v>
      </c>
      <c r="J2" s="362"/>
      <c r="K2" s="362"/>
      <c r="L2" s="362"/>
      <c r="M2" s="363"/>
      <c r="N2" s="363"/>
      <c r="O2" s="364"/>
      <c r="P2" s="365"/>
    </row>
    <row r="3" spans="2:16" x14ac:dyDescent="0.2">
      <c r="B3" s="32" t="s">
        <v>9</v>
      </c>
      <c r="C3" s="33"/>
      <c r="D3" s="34" t="s">
        <v>172</v>
      </c>
      <c r="E3" s="33"/>
      <c r="F3" s="33" t="s">
        <v>173</v>
      </c>
      <c r="G3" s="35"/>
      <c r="I3" s="276" t="s">
        <v>174</v>
      </c>
      <c r="J3" s="277"/>
      <c r="K3" s="277"/>
      <c r="L3" s="277"/>
      <c r="M3" s="278"/>
      <c r="N3" s="278"/>
      <c r="O3" s="279"/>
      <c r="P3" s="343"/>
    </row>
    <row r="4" spans="2:16" x14ac:dyDescent="0.2">
      <c r="B4" s="166" t="str">
        <f>'1. Data Info and Summary'!$D$2</f>
        <v>Security Plant Complex</v>
      </c>
      <c r="C4" s="36"/>
      <c r="D4" s="37">
        <f>IF('1. Data Info and Summary'!$D$3=0,"-",'1. Data Info and Summary'!$D$3)</f>
        <v>2024</v>
      </c>
      <c r="E4" s="36"/>
      <c r="F4" s="36" t="s">
        <v>175</v>
      </c>
      <c r="G4" s="38"/>
      <c r="I4" s="342"/>
      <c r="J4" s="280"/>
      <c r="K4" s="280"/>
      <c r="L4" s="280"/>
      <c r="M4" s="281"/>
      <c r="N4" s="281"/>
      <c r="O4" s="282"/>
      <c r="P4" s="344"/>
    </row>
    <row r="5" spans="2:16" x14ac:dyDescent="0.2">
      <c r="I5" s="20"/>
      <c r="J5" s="275"/>
    </row>
    <row r="6" spans="2:16" x14ac:dyDescent="0.2">
      <c r="B6" s="283" t="s">
        <v>176</v>
      </c>
      <c r="C6" s="460"/>
      <c r="D6" s="461"/>
      <c r="E6" s="461"/>
      <c r="F6" s="461"/>
      <c r="G6" s="462"/>
      <c r="I6" s="213" t="s">
        <v>177</v>
      </c>
      <c r="J6" s="213" t="s">
        <v>36</v>
      </c>
      <c r="K6" s="213" t="s">
        <v>39</v>
      </c>
      <c r="L6" s="213" t="s">
        <v>43</v>
      </c>
      <c r="M6" s="213" t="s">
        <v>47</v>
      </c>
      <c r="N6" s="213" t="s">
        <v>51</v>
      </c>
      <c r="O6" s="213" t="s">
        <v>55</v>
      </c>
      <c r="P6" s="213" t="s">
        <v>58</v>
      </c>
    </row>
    <row r="7" spans="2:16" x14ac:dyDescent="0.2">
      <c r="B7" s="283" t="s">
        <v>178</v>
      </c>
      <c r="C7" s="460"/>
      <c r="D7" s="461"/>
      <c r="E7" s="461"/>
      <c r="F7" s="461"/>
      <c r="G7" s="462"/>
      <c r="I7" s="198">
        <f>IF($N7="","",1)</f>
        <v>1</v>
      </c>
      <c r="J7" s="455" t="s">
        <v>179</v>
      </c>
      <c r="K7" s="56" t="s">
        <v>41</v>
      </c>
      <c r="L7" s="57" t="s">
        <v>180</v>
      </c>
      <c r="M7" s="18" t="str">
        <f>IF(Fuel_Blg[[#This Row],[Month]]&lt;&gt;"",VLOOKUP(Fuel_Blg[[#This Row],[Month]], dropdown!$S$4:$T$15, 2, FALSE),"")</f>
        <v>Q1</v>
      </c>
      <c r="N7" s="28">
        <v>152</v>
      </c>
      <c r="O7" s="17" t="str">
        <f>IF($K7="","",VLOOKUP($K7,dropdown!$P$3:$Q$8,2,FALSE))</f>
        <v>Liters</v>
      </c>
      <c r="P7" s="199" t="s">
        <v>181</v>
      </c>
    </row>
    <row r="8" spans="2:16" x14ac:dyDescent="0.2">
      <c r="I8" s="198">
        <f t="shared" ref="I8:I13" si="0">IF($N8="","",$I7+1)</f>
        <v>2</v>
      </c>
      <c r="J8" s="455" t="s">
        <v>179</v>
      </c>
      <c r="K8" s="56" t="s">
        <v>41</v>
      </c>
      <c r="L8" s="57" t="s">
        <v>180</v>
      </c>
      <c r="M8" s="18" t="str">
        <f>IF(Fuel_Blg[[#This Row],[Month]]&lt;&gt;"",VLOOKUP(Fuel_Blg[[#This Row],[Month]], dropdown!$S$4:$T$15, 2, FALSE),"")</f>
        <v>Q1</v>
      </c>
      <c r="N8" s="28">
        <v>342</v>
      </c>
      <c r="O8" s="17" t="str">
        <f>IF($K8="","",VLOOKUP($K8,dropdown!$P$3:$Q$8,2,FALSE))</f>
        <v>Liters</v>
      </c>
      <c r="P8" s="199" t="s">
        <v>182</v>
      </c>
    </row>
    <row r="9" spans="2:16" x14ac:dyDescent="0.2">
      <c r="B9" s="14" t="s">
        <v>34</v>
      </c>
      <c r="C9" s="14"/>
      <c r="D9" s="14"/>
      <c r="E9" s="14"/>
      <c r="F9" s="14"/>
      <c r="G9" s="14"/>
      <c r="I9" s="198">
        <f t="shared" si="0"/>
        <v>3</v>
      </c>
      <c r="J9" s="455" t="s">
        <v>179</v>
      </c>
      <c r="K9" s="56" t="s">
        <v>41</v>
      </c>
      <c r="L9" s="57" t="s">
        <v>183</v>
      </c>
      <c r="M9" s="18" t="str">
        <f>IF(Fuel_Blg[[#This Row],[Month]]&lt;&gt;"",VLOOKUP(Fuel_Blg[[#This Row],[Month]], dropdown!$S$4:$T$15, 2, FALSE),"")</f>
        <v>Q2</v>
      </c>
      <c r="N9" s="28">
        <v>4979</v>
      </c>
      <c r="O9" s="17" t="str">
        <f>IF($K9="","",VLOOKUP($K9,dropdown!$P$3:$Q$8,2,FALSE))</f>
        <v>Liters</v>
      </c>
      <c r="P9" s="199" t="s">
        <v>181</v>
      </c>
    </row>
    <row r="10" spans="2:16" x14ac:dyDescent="0.2">
      <c r="B10" s="13" t="s">
        <v>39</v>
      </c>
      <c r="C10" s="13" t="s">
        <v>55</v>
      </c>
      <c r="D10" s="39" t="s">
        <v>49</v>
      </c>
      <c r="E10" s="39" t="s">
        <v>153</v>
      </c>
      <c r="F10" s="39" t="s">
        <v>154</v>
      </c>
      <c r="G10" s="39" t="s">
        <v>155</v>
      </c>
      <c r="I10" s="198">
        <f t="shared" si="0"/>
        <v>4</v>
      </c>
      <c r="J10" s="455" t="s">
        <v>179</v>
      </c>
      <c r="K10" s="56" t="s">
        <v>41</v>
      </c>
      <c r="L10" s="57" t="s">
        <v>183</v>
      </c>
      <c r="M10" s="18" t="str">
        <f>IF(Fuel_Blg[[#This Row],[Month]]&lt;&gt;"",VLOOKUP(Fuel_Blg[[#This Row],[Month]], dropdown!$S$4:$T$15, 2, FALSE),"")</f>
        <v>Q2</v>
      </c>
      <c r="N10" s="28">
        <v>142</v>
      </c>
      <c r="O10" s="17" t="str">
        <f>IF($K10="","",VLOOKUP($K10,dropdown!$P$3:$Q$8,2,FALSE))</f>
        <v>Liters</v>
      </c>
      <c r="P10" s="199" t="s">
        <v>182</v>
      </c>
    </row>
    <row r="11" spans="2:16" x14ac:dyDescent="0.2">
      <c r="B11" s="17" t="str">
        <f>dropdown!$P4</f>
        <v>Diesel - Standby generator sets</v>
      </c>
      <c r="C11" s="17" t="str">
        <f>dropdown!$Q4</f>
        <v>Liters</v>
      </c>
      <c r="D11" s="40">
        <f>SUMIFS(Fuel_Blg[Consumption],Fuel_Blg[Quarter],D$10,Fuel_Blg[Fuel Type],$B$11)</f>
        <v>494</v>
      </c>
      <c r="E11" s="40">
        <f>SUMIFS(Fuel_Blg[Consumption],Fuel_Blg[Quarter],E$10,Fuel_Blg[Fuel Type],$B$11)</f>
        <v>5121</v>
      </c>
      <c r="F11" s="40">
        <f>SUMIFS(Fuel_Blg[Consumption],Fuel_Blg[Quarter],F$10,Fuel_Blg[Fuel Type],$B$11)</f>
        <v>3992</v>
      </c>
      <c r="G11" s="40">
        <f>SUMIFS(Fuel_Blg[Consumption],Fuel_Blg[Quarter],G$10,Fuel_Blg[Fuel Type],$B$11)</f>
        <v>2528</v>
      </c>
      <c r="I11" s="198">
        <f t="shared" si="0"/>
        <v>5</v>
      </c>
      <c r="J11" s="455" t="s">
        <v>179</v>
      </c>
      <c r="K11" s="56" t="s">
        <v>41</v>
      </c>
      <c r="L11" s="57" t="s">
        <v>184</v>
      </c>
      <c r="M11" s="18" t="str">
        <f>IF(Fuel_Blg[[#This Row],[Month]]&lt;&gt;"",VLOOKUP(Fuel_Blg[[#This Row],[Month]], dropdown!$S$4:$T$15, 2, FALSE),"")</f>
        <v>Q3</v>
      </c>
      <c r="N11" s="28">
        <v>3920</v>
      </c>
      <c r="O11" s="17" t="str">
        <f>IF($K11="","",VLOOKUP($K11,dropdown!$P$3:$Q$8,2,FALSE))</f>
        <v>Liters</v>
      </c>
      <c r="P11" s="199" t="s">
        <v>181</v>
      </c>
    </row>
    <row r="12" spans="2:16" x14ac:dyDescent="0.2">
      <c r="B12" s="17" t="str">
        <f>dropdown!$P5</f>
        <v>Diesel - Others</v>
      </c>
      <c r="C12" s="17" t="str">
        <f>dropdown!$Q5</f>
        <v>Liters</v>
      </c>
      <c r="D12" s="40">
        <f>SUMIFS(Fuel_Blg[Consumption],Fuel_Blg[Quarter],D$10,Fuel_Blg[Fuel Type],$B$12)</f>
        <v>0</v>
      </c>
      <c r="E12" s="40">
        <f>SUMIFS(Fuel_Blg[Consumption],Fuel_Blg[Quarter],E$10,Fuel_Blg[Fuel Type],$B$12)</f>
        <v>0</v>
      </c>
      <c r="F12" s="40">
        <f>SUMIFS(Fuel_Blg[Consumption],Fuel_Blg[Quarter],F$10,Fuel_Blg[Fuel Type],$B$12)</f>
        <v>0</v>
      </c>
      <c r="G12" s="40">
        <f>SUMIFS(Fuel_Blg[Consumption],Fuel_Blg[Quarter],G$10,Fuel_Blg[Fuel Type],$B$12)</f>
        <v>0</v>
      </c>
      <c r="I12" s="198">
        <f t="shared" si="0"/>
        <v>6</v>
      </c>
      <c r="J12" s="455" t="s">
        <v>179</v>
      </c>
      <c r="K12" s="56" t="s">
        <v>41</v>
      </c>
      <c r="L12" s="57" t="s">
        <v>184</v>
      </c>
      <c r="M12" s="18" t="str">
        <f>IF(Fuel_Blg[[#This Row],[Month]]&lt;&gt;"",VLOOKUP(Fuel_Blg[[#This Row],[Month]], dropdown!$S$4:$T$15, 2, FALSE),"")</f>
        <v>Q3</v>
      </c>
      <c r="N12" s="28">
        <v>72</v>
      </c>
      <c r="O12" s="17" t="str">
        <f>IF($K12="","",VLOOKUP($K12,dropdown!$P$3:$Q$8,2,FALSE))</f>
        <v>Liters</v>
      </c>
      <c r="P12" s="199" t="s">
        <v>182</v>
      </c>
    </row>
    <row r="13" spans="2:16" x14ac:dyDescent="0.2">
      <c r="B13" s="17" t="str">
        <f>dropdown!$P6</f>
        <v>Gasoline - Others</v>
      </c>
      <c r="C13" s="17" t="str">
        <f>dropdown!$Q6</f>
        <v>Liters</v>
      </c>
      <c r="D13" s="40">
        <f>SUMIFS(Fuel_Blg[Consumption],Fuel_Blg[Quarter],D$10,Fuel_Blg[Fuel Type],$B$13)</f>
        <v>0</v>
      </c>
      <c r="E13" s="40">
        <f>SUMIFS(Fuel_Blg[Consumption],Fuel_Blg[Quarter],E$10,Fuel_Blg[Fuel Type],$B$13)</f>
        <v>0</v>
      </c>
      <c r="F13" s="40">
        <f>SUMIFS(Fuel_Blg[Consumption],Fuel_Blg[Quarter],F$10,Fuel_Blg[Fuel Type],$B$13)</f>
        <v>0</v>
      </c>
      <c r="G13" s="40">
        <f>SUMIFS(Fuel_Blg[Consumption],Fuel_Blg[Quarter],G$10,Fuel_Blg[Fuel Type],$B$13)</f>
        <v>0</v>
      </c>
      <c r="I13" s="198">
        <f t="shared" si="0"/>
        <v>7</v>
      </c>
      <c r="J13" s="455" t="s">
        <v>179</v>
      </c>
      <c r="K13" s="56" t="s">
        <v>41</v>
      </c>
      <c r="L13" s="57" t="s">
        <v>185</v>
      </c>
      <c r="M13" s="18" t="str">
        <f>IF(Fuel_Blg[[#This Row],[Month]]&lt;&gt;"",VLOOKUP(Fuel_Blg[[#This Row],[Month]], dropdown!$S$4:$T$15, 2, FALSE),"")</f>
        <v>Q4</v>
      </c>
      <c r="N13" s="28">
        <v>2528</v>
      </c>
      <c r="O13" s="17" t="str">
        <f>IF($K13="","",VLOOKUP($K13,dropdown!$P$3:$Q$8,2,FALSE))</f>
        <v>Liters</v>
      </c>
      <c r="P13" s="199" t="s">
        <v>181</v>
      </c>
    </row>
    <row r="14" spans="2:16" x14ac:dyDescent="0.2">
      <c r="B14" s="17" t="str">
        <f>dropdown!$P7</f>
        <v>LPG - Heating and cooking</v>
      </c>
      <c r="C14" s="17" t="str">
        <f>dropdown!$Q7</f>
        <v>Kilograms</v>
      </c>
      <c r="D14" s="40">
        <f>SUMIFS(Fuel_Blg[Consumption],Fuel_Blg[Quarter],D$10,Fuel_Blg[Fuel Type],$B$14)</f>
        <v>0</v>
      </c>
      <c r="E14" s="40">
        <f>SUMIFS(Fuel_Blg[Consumption],Fuel_Blg[Quarter],E$10,Fuel_Blg[Fuel Type],$B$14)</f>
        <v>0</v>
      </c>
      <c r="F14" s="40">
        <f>SUMIFS(Fuel_Blg[Consumption],Fuel_Blg[Quarter],F$10,Fuel_Blg[Fuel Type],$B$14)</f>
        <v>0</v>
      </c>
      <c r="G14" s="40">
        <f>SUMIFS(Fuel_Blg[Consumption],Fuel_Blg[Quarter],G$10,Fuel_Blg[Fuel Type],$B$14)</f>
        <v>0</v>
      </c>
    </row>
    <row r="15" spans="2:16" x14ac:dyDescent="0.2">
      <c r="B15" s="17" t="str">
        <f>dropdown!$P8</f>
        <v>Compressed natural gas</v>
      </c>
      <c r="C15" s="17" t="str">
        <f>dropdown!$Q8</f>
        <v>Cubic meters</v>
      </c>
      <c r="D15" s="40">
        <f>SUMIFS(Fuel_Blg[Consumption],Fuel_Blg[Quarter],D$10,Fuel_Blg[Fuel Type],$B$15)</f>
        <v>0</v>
      </c>
      <c r="E15" s="40">
        <f>SUMIFS(Fuel_Blg[Consumption],Fuel_Blg[Quarter],E$10,Fuel_Blg[Fuel Type],$B$15)</f>
        <v>0</v>
      </c>
      <c r="F15" s="40">
        <f>SUMIFS(Fuel_Blg[Consumption],Fuel_Blg[Quarter],F$10,Fuel_Blg[Fuel Type],$B$15)</f>
        <v>0</v>
      </c>
      <c r="G15" s="40">
        <f>SUMIFS(Fuel_Blg[Consumption],Fuel_Blg[Quarter],G$10,Fuel_Blg[Fuel Type],$B$15)</f>
        <v>0</v>
      </c>
      <c r="I15" s="326" t="s">
        <v>189</v>
      </c>
    </row>
    <row r="17" spans="2:2" x14ac:dyDescent="0.2">
      <c r="B17" s="270" t="s">
        <v>42</v>
      </c>
    </row>
    <row r="18" spans="2:2" x14ac:dyDescent="0.2">
      <c r="B18" s="271" t="s">
        <v>186</v>
      </c>
    </row>
    <row r="19" spans="2:2" x14ac:dyDescent="0.2">
      <c r="B19" s="269" t="s">
        <v>187</v>
      </c>
    </row>
    <row r="20" spans="2:2" x14ac:dyDescent="0.2">
      <c r="B20" s="17" t="s">
        <v>188</v>
      </c>
    </row>
  </sheetData>
  <sheetProtection selectLockedCells="1"/>
  <protectedRanges>
    <protectedRange sqref="P6:P13 N6:N13 J6:L13" name="Range1"/>
  </protectedRanges>
  <dataConsolidate/>
  <mergeCells count="2">
    <mergeCell ref="C6:G6"/>
    <mergeCell ref="C7:G7"/>
  </mergeCells>
  <phoneticPr fontId="41"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6E0CC472-00CD-4741-A670-D281D50B9645}">
          <x14:formula1>
            <xm:f>dropdown!$P$4:$P$8</xm:f>
          </x14:formula1>
          <xm:sqref>K7:K13</xm:sqref>
        </x14:dataValidation>
        <x14:dataValidation type="list" allowBlank="1" showInputMessage="1" showErrorMessage="1" xr:uid="{3A41C1D1-FB7A-9447-9EAB-0BFDEC48FE4C}">
          <x14:formula1>
            <xm:f>dropdown!$S$4:$S$15</xm:f>
          </x14:formula1>
          <xm:sqref>L7:L13</xm:sqref>
        </x14:dataValidation>
        <x14:dataValidation type="list" allowBlank="1" showInputMessage="1" showErrorMessage="1" xr:uid="{9EFDB200-1D7B-4884-A5B8-4A5B1F8BB0E6}">
          <x14:formula1>
            <xm:f>dropdown!$N$4:$N$5</xm:f>
          </x14:formula1>
          <xm:sqref>J7:J13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44"/>
  <sheetViews>
    <sheetView showGridLines="0" topLeftCell="A22" zoomScaleNormal="100" workbookViewId="0">
      <selection activeCell="J58" sqref="J5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3.6640625" style="11" customWidth="1"/>
    <col min="17" max="17" width="11.5" style="22" customWidth="1"/>
    <col min="18" max="18" width="18.1640625" style="20" customWidth="1"/>
    <col min="19" max="16384" width="10.83203125" style="20"/>
  </cols>
  <sheetData>
    <row r="2" spans="2:18" ht="19" x14ac:dyDescent="0.25">
      <c r="B2" s="261" t="s">
        <v>30</v>
      </c>
      <c r="C2" s="30"/>
      <c r="D2" s="30"/>
      <c r="E2" s="30"/>
      <c r="F2" s="30"/>
      <c r="G2" s="31"/>
      <c r="I2" s="361" t="s">
        <v>190</v>
      </c>
      <c r="J2" s="362"/>
      <c r="K2" s="362"/>
      <c r="L2" s="363"/>
      <c r="M2" s="363"/>
      <c r="N2" s="364"/>
      <c r="O2" s="364"/>
      <c r="P2" s="366"/>
      <c r="Q2" s="367"/>
    </row>
    <row r="3" spans="2:18" x14ac:dyDescent="0.2">
      <c r="B3" s="32" t="s">
        <v>9</v>
      </c>
      <c r="C3" s="33"/>
      <c r="D3" s="34" t="s">
        <v>172</v>
      </c>
      <c r="E3" s="33"/>
      <c r="F3" s="33" t="s">
        <v>173</v>
      </c>
      <c r="G3" s="35"/>
      <c r="I3" s="289" t="s">
        <v>174</v>
      </c>
      <c r="J3" s="290"/>
      <c r="K3" s="290"/>
      <c r="L3" s="291"/>
      <c r="M3" s="291"/>
      <c r="N3" s="292"/>
      <c r="O3" s="292"/>
      <c r="P3" s="293"/>
      <c r="Q3" s="368"/>
    </row>
    <row r="4" spans="2:18" x14ac:dyDescent="0.2">
      <c r="B4" s="214" t="str">
        <f>'1. Data Info and Summary'!$D$2</f>
        <v>Security Plant Complex</v>
      </c>
      <c r="C4" s="205"/>
      <c r="D4" s="37">
        <f>IF('1. Data Info and Summary'!$D$3=0,"-",'1. Data Info and Summary'!$D$3)</f>
        <v>2024</v>
      </c>
      <c r="E4" s="205"/>
      <c r="F4" s="205" t="s">
        <v>175</v>
      </c>
      <c r="G4" s="215"/>
      <c r="I4" s="324"/>
      <c r="J4" s="298"/>
      <c r="K4" s="298"/>
      <c r="L4" s="299"/>
      <c r="M4" s="299"/>
      <c r="N4" s="300"/>
      <c r="O4" s="300"/>
      <c r="P4" s="301"/>
      <c r="Q4" s="369"/>
    </row>
    <row r="5" spans="2:18" x14ac:dyDescent="0.2">
      <c r="B5" s="216"/>
      <c r="C5" s="217"/>
      <c r="D5" s="216"/>
      <c r="E5" s="217"/>
      <c r="F5" s="217"/>
      <c r="G5" s="217"/>
      <c r="I5" s="290"/>
      <c r="J5" s="349"/>
      <c r="K5" s="290"/>
      <c r="L5" s="291"/>
      <c r="M5" s="291"/>
      <c r="N5" s="292"/>
      <c r="O5" s="292"/>
      <c r="P5" s="293"/>
      <c r="Q5" s="292"/>
    </row>
    <row r="6" spans="2:18" ht="25.5" customHeight="1" x14ac:dyDescent="0.2">
      <c r="B6" s="283" t="s">
        <v>176</v>
      </c>
      <c r="C6" s="460"/>
      <c r="D6" s="461"/>
      <c r="E6" s="461"/>
      <c r="F6" s="461"/>
      <c r="G6" s="462"/>
      <c r="I6" s="208" t="s">
        <v>177</v>
      </c>
      <c r="J6" s="209" t="s">
        <v>62</v>
      </c>
      <c r="K6" s="209" t="s">
        <v>39</v>
      </c>
      <c r="L6" s="209" t="s">
        <v>43</v>
      </c>
      <c r="M6" s="209" t="s">
        <v>47</v>
      </c>
      <c r="N6" s="210" t="s">
        <v>51</v>
      </c>
      <c r="O6" s="211" t="s">
        <v>55</v>
      </c>
      <c r="P6" s="210" t="s">
        <v>191</v>
      </c>
      <c r="Q6" s="432" t="s">
        <v>70</v>
      </c>
      <c r="R6" s="212" t="s">
        <v>58</v>
      </c>
    </row>
    <row r="7" spans="2:18" x14ac:dyDescent="0.2">
      <c r="B7" s="283" t="s">
        <v>178</v>
      </c>
      <c r="C7" s="460"/>
      <c r="D7" s="461"/>
      <c r="E7" s="461"/>
      <c r="F7" s="461"/>
      <c r="G7" s="462"/>
      <c r="I7" s="198">
        <f>IF($J7="","",1)</f>
        <v>1</v>
      </c>
      <c r="J7" s="56" t="s">
        <v>192</v>
      </c>
      <c r="K7" s="56" t="s">
        <v>66</v>
      </c>
      <c r="L7" s="57" t="s">
        <v>193</v>
      </c>
      <c r="M7" s="18" t="str">
        <f>IF(Fuel_Veh[[#This Row],[Month]]&lt;&gt;"",VLOOKUP(Fuel_Veh[[#This Row],[Month]], dropdown!$S$4:$T$15, 2, FALSE),"")</f>
        <v>Q1</v>
      </c>
      <c r="N7" s="28">
        <v>130</v>
      </c>
      <c r="O7" s="17" t="str">
        <f>IF($K7="","",VLOOKUP($K7,dropdown!$P$14:$Q$18,2,FALSE))</f>
        <v>Liters</v>
      </c>
      <c r="P7" s="28">
        <v>619</v>
      </c>
      <c r="Q7" s="17" t="str">
        <f t="shared" ref="Q7:Q42" si="0">IF($P7="","","Kilometers")</f>
        <v>Kilometers</v>
      </c>
      <c r="R7" s="199"/>
    </row>
    <row r="8" spans="2:18" x14ac:dyDescent="0.2">
      <c r="I8" s="198">
        <f>IF($J8="","",$I7+1)</f>
        <v>2</v>
      </c>
      <c r="J8" s="56" t="s">
        <v>194</v>
      </c>
      <c r="K8" s="56" t="s">
        <v>66</v>
      </c>
      <c r="L8" s="57" t="s">
        <v>193</v>
      </c>
      <c r="M8" s="18" t="str">
        <f>IF(Fuel_Veh[[#This Row],[Month]]&lt;&gt;"",VLOOKUP(Fuel_Veh[[#This Row],[Month]], dropdown!$S$4:$T$15, 2, FALSE),"")</f>
        <v>Q1</v>
      </c>
      <c r="N8" s="28">
        <v>435</v>
      </c>
      <c r="O8" s="17"/>
      <c r="P8" s="28">
        <v>2810</v>
      </c>
      <c r="Q8" s="17" t="str">
        <f t="shared" si="0"/>
        <v>Kilometers</v>
      </c>
      <c r="R8" s="199"/>
    </row>
    <row r="9" spans="2:18" x14ac:dyDescent="0.2">
      <c r="B9" s="14" t="s">
        <v>34</v>
      </c>
      <c r="C9" s="14"/>
      <c r="D9" s="14"/>
      <c r="E9" s="14"/>
      <c r="F9" s="14"/>
      <c r="G9" s="14"/>
      <c r="I9" s="198">
        <f>IF($J9="","",$I8+1)</f>
        <v>3</v>
      </c>
      <c r="J9" s="56" t="s">
        <v>195</v>
      </c>
      <c r="K9" s="56" t="s">
        <v>66</v>
      </c>
      <c r="L9" s="57" t="s">
        <v>193</v>
      </c>
      <c r="M9" s="18" t="str">
        <f>IF(Fuel_Veh[[#This Row],[Month]]&lt;&gt;"",VLOOKUP(Fuel_Veh[[#This Row],[Month]], dropdown!$S$4:$T$15, 2, FALSE),"")</f>
        <v>Q1</v>
      </c>
      <c r="N9" s="28">
        <v>195</v>
      </c>
      <c r="O9" s="17" t="str">
        <f>IF($K9="","",VLOOKUP($K9,dropdown!$P$14:$Q$18,2,FALSE))</f>
        <v>Liters</v>
      </c>
      <c r="P9" s="28">
        <v>725</v>
      </c>
      <c r="Q9" s="17" t="str">
        <f t="shared" si="0"/>
        <v>Kilometers</v>
      </c>
      <c r="R9" s="199"/>
    </row>
    <row r="10" spans="2:18" x14ac:dyDescent="0.2">
      <c r="B10" s="13" t="s">
        <v>39</v>
      </c>
      <c r="C10" s="13" t="s">
        <v>55</v>
      </c>
      <c r="D10" s="39" t="s">
        <v>49</v>
      </c>
      <c r="E10" s="39" t="s">
        <v>153</v>
      </c>
      <c r="F10" s="39" t="s">
        <v>154</v>
      </c>
      <c r="G10" s="39" t="s">
        <v>155</v>
      </c>
      <c r="I10" s="198">
        <f>IF($J10="","",$I9+1)</f>
        <v>4</v>
      </c>
      <c r="J10" s="56" t="s">
        <v>192</v>
      </c>
      <c r="K10" s="56" t="s">
        <v>66</v>
      </c>
      <c r="L10" s="57" t="s">
        <v>92</v>
      </c>
      <c r="M10" s="18" t="str">
        <f>IF(Fuel_Veh[[#This Row],[Month]]&lt;&gt;"",VLOOKUP(Fuel_Veh[[#This Row],[Month]], dropdown!$S$4:$T$15, 2, FALSE),"")</f>
        <v>Q1</v>
      </c>
      <c r="N10" s="28">
        <v>220</v>
      </c>
      <c r="O10" s="17" t="str">
        <f>IF($K10="","",VLOOKUP($K10,dropdown!$P$14:$Q$18,2,FALSE))</f>
        <v>Liters</v>
      </c>
      <c r="P10" s="28">
        <v>805</v>
      </c>
      <c r="Q10" s="17" t="str">
        <f t="shared" si="0"/>
        <v>Kilometers</v>
      </c>
      <c r="R10" s="199"/>
    </row>
    <row r="11" spans="2:18" x14ac:dyDescent="0.2">
      <c r="B11" s="17" t="str">
        <f>dropdown!$P15</f>
        <v>Diesel - Transport vehicles</v>
      </c>
      <c r="C11" s="17" t="str">
        <f>dropdown!$Q15</f>
        <v>Liters</v>
      </c>
      <c r="D11" s="40">
        <f>SUMIFS(Fuel_Veh[Consumption],Fuel_Veh[Quarter],D$10,Fuel_Veh[Fuel Type],$B$11)</f>
        <v>2519.13</v>
      </c>
      <c r="E11" s="40">
        <f>SUMIFS(Fuel_Veh[Consumption],Fuel_Veh[Quarter],E$10,Fuel_Veh[Fuel Type],$B$11)</f>
        <v>3016.32</v>
      </c>
      <c r="F11" s="40">
        <f>SUMIFS(Fuel_Veh[Consumption],Fuel_Veh[Quarter],F$10,Fuel_Veh[Fuel Type],$B$11)</f>
        <v>2438.54</v>
      </c>
      <c r="G11" s="40">
        <f>SUMIFS(Fuel_Veh[Consumption],Fuel_Veh[Quarter],G$10,Fuel_Veh[Fuel Type],$B$11)</f>
        <v>2774.77</v>
      </c>
      <c r="I11" s="198">
        <f>IF($J11="","",$I10+1)</f>
        <v>5</v>
      </c>
      <c r="J11" s="56" t="s">
        <v>194</v>
      </c>
      <c r="K11" s="56" t="s">
        <v>66</v>
      </c>
      <c r="L11" s="57" t="s">
        <v>92</v>
      </c>
      <c r="M11" s="18" t="str">
        <f>IF(Fuel_Veh[[#This Row],[Month]]&lt;&gt;"",VLOOKUP(Fuel_Veh[[#This Row],[Month]], dropdown!$S$4:$T$15, 2, FALSE),"")</f>
        <v>Q1</v>
      </c>
      <c r="N11" s="28">
        <v>475</v>
      </c>
      <c r="O11" s="17" t="str">
        <f>IF($K11="","",VLOOKUP($K11,dropdown!$P$14:$Q$18,2,FALSE))</f>
        <v>Liters</v>
      </c>
      <c r="P11" s="28">
        <v>3816</v>
      </c>
      <c r="Q11" s="17" t="str">
        <f t="shared" si="0"/>
        <v>Kilometers</v>
      </c>
      <c r="R11" s="199"/>
    </row>
    <row r="12" spans="2:18" x14ac:dyDescent="0.2">
      <c r="B12" s="17" t="str">
        <f>dropdown!$P16</f>
        <v>Gasoline - Transport vehicles</v>
      </c>
      <c r="C12" s="17" t="str">
        <f>dropdown!$Q16</f>
        <v>Liters</v>
      </c>
      <c r="D12" s="40">
        <f>SUMIFS(Fuel_Veh[Consumption],Fuel_Veh[Quarter],D$10,Fuel_Veh[Fuel Type],$B$12)</f>
        <v>0</v>
      </c>
      <c r="E12" s="40">
        <f>SUMIFS(Fuel_Veh[Consumption],Fuel_Veh[Quarter],E$10,Fuel_Veh[Fuel Type],$B$12)</f>
        <v>0</v>
      </c>
      <c r="F12" s="40">
        <f>SUMIFS(Fuel_Veh[Consumption],Fuel_Veh[Quarter],F$10,Fuel_Veh[Fuel Type],$B$12)</f>
        <v>0</v>
      </c>
      <c r="G12" s="40">
        <f>SUMIFS(Fuel_Veh[Consumption],Fuel_Veh[Quarter],G$10,Fuel_Veh[Fuel Type],$B$12)</f>
        <v>0</v>
      </c>
      <c r="I12" s="198">
        <f t="shared" ref="I12:I42" si="1">IF($J12="","",$I11+1)</f>
        <v>6</v>
      </c>
      <c r="J12" s="56" t="s">
        <v>195</v>
      </c>
      <c r="K12" s="56" t="s">
        <v>66</v>
      </c>
      <c r="L12" s="57" t="s">
        <v>92</v>
      </c>
      <c r="M12" s="18" t="str">
        <f>IF(Fuel_Veh[[#This Row],[Month]]&lt;&gt;"",VLOOKUP(Fuel_Veh[[#This Row],[Month]], dropdown!$S$4:$T$15, 2, FALSE),"")</f>
        <v>Q1</v>
      </c>
      <c r="N12" s="28">
        <v>195</v>
      </c>
      <c r="O12" s="17" t="str">
        <f>IF($K12="","",VLOOKUP($K12,dropdown!$P$14:$Q$18,2,FALSE))</f>
        <v>Liters</v>
      </c>
      <c r="P12" s="28">
        <v>565</v>
      </c>
      <c r="Q12" s="17" t="str">
        <f t="shared" si="0"/>
        <v>Kilometers</v>
      </c>
      <c r="R12" s="199"/>
    </row>
    <row r="13" spans="2:18" ht="14" customHeight="1" x14ac:dyDescent="0.2">
      <c r="I13" s="198">
        <f t="shared" si="1"/>
        <v>7</v>
      </c>
      <c r="J13" s="56" t="s">
        <v>192</v>
      </c>
      <c r="K13" s="56" t="s">
        <v>66</v>
      </c>
      <c r="L13" s="57" t="s">
        <v>180</v>
      </c>
      <c r="M13" s="18" t="str">
        <f>IF(Fuel_Veh[[#This Row],[Month]]&lt;&gt;"",VLOOKUP(Fuel_Veh[[#This Row],[Month]], dropdown!$S$4:$T$15, 2, FALSE),"")</f>
        <v>Q1</v>
      </c>
      <c r="N13" s="28">
        <v>110</v>
      </c>
      <c r="O13" s="17" t="str">
        <f>IF($K13="","",VLOOKUP($K13,dropdown!$P$14:$Q$18,2,FALSE))</f>
        <v>Liters</v>
      </c>
      <c r="P13" s="28">
        <v>449</v>
      </c>
      <c r="Q13" s="17" t="str">
        <f t="shared" si="0"/>
        <v>Kilometers</v>
      </c>
      <c r="R13" s="199"/>
    </row>
    <row r="14" spans="2:18" x14ac:dyDescent="0.2">
      <c r="B14" s="270" t="s">
        <v>42</v>
      </c>
      <c r="I14" s="198">
        <f t="shared" si="1"/>
        <v>8</v>
      </c>
      <c r="J14" s="56" t="s">
        <v>194</v>
      </c>
      <c r="K14" s="56" t="s">
        <v>66</v>
      </c>
      <c r="L14" s="57" t="s">
        <v>180</v>
      </c>
      <c r="M14" s="18" t="str">
        <f>IF(Fuel_Veh[[#This Row],[Month]]&lt;&gt;"",VLOOKUP(Fuel_Veh[[#This Row],[Month]], dropdown!$S$4:$T$15, 2, FALSE),"")</f>
        <v>Q1</v>
      </c>
      <c r="N14" s="28">
        <v>529.13</v>
      </c>
      <c r="O14" s="17" t="str">
        <f>IF($K14="","",VLOOKUP($K14,dropdown!$P$14:$Q$18,2,FALSE))</f>
        <v>Liters</v>
      </c>
      <c r="P14" s="28">
        <v>3106</v>
      </c>
      <c r="Q14" s="17" t="str">
        <f t="shared" si="0"/>
        <v>Kilometers</v>
      </c>
      <c r="R14" s="199"/>
    </row>
    <row r="15" spans="2:18" x14ac:dyDescent="0.2">
      <c r="B15" s="271" t="s">
        <v>186</v>
      </c>
      <c r="I15" s="198">
        <f t="shared" si="1"/>
        <v>9</v>
      </c>
      <c r="J15" s="56" t="s">
        <v>195</v>
      </c>
      <c r="K15" s="56" t="s">
        <v>66</v>
      </c>
      <c r="L15" s="57" t="s">
        <v>180</v>
      </c>
      <c r="M15" s="18" t="str">
        <f>IF(Fuel_Veh[[#This Row],[Month]]&lt;&gt;"",VLOOKUP(Fuel_Veh[[#This Row],[Month]], dropdown!$S$4:$T$15, 2, FALSE),"")</f>
        <v>Q1</v>
      </c>
      <c r="N15" s="28">
        <v>230</v>
      </c>
      <c r="O15" s="17" t="str">
        <f>IF($K15="","",VLOOKUP($K15,dropdown!$P$14:$Q$18,2,FALSE))</f>
        <v>Liters</v>
      </c>
      <c r="P15" s="28">
        <v>614</v>
      </c>
      <c r="Q15" s="17" t="str">
        <f t="shared" si="0"/>
        <v>Kilometers</v>
      </c>
      <c r="R15" s="199"/>
    </row>
    <row r="16" spans="2:18" x14ac:dyDescent="0.2">
      <c r="B16" s="269" t="s">
        <v>187</v>
      </c>
      <c r="I16" s="198">
        <f t="shared" si="1"/>
        <v>10</v>
      </c>
      <c r="J16" s="56" t="s">
        <v>192</v>
      </c>
      <c r="K16" s="56" t="s">
        <v>66</v>
      </c>
      <c r="L16" s="57" t="s">
        <v>196</v>
      </c>
      <c r="M16" s="18" t="str">
        <f>IF(Fuel_Veh[[#This Row],[Month]]&lt;&gt;"",VLOOKUP(Fuel_Veh[[#This Row],[Month]], dropdown!$S$4:$T$15, 2, FALSE),"")</f>
        <v>Q2</v>
      </c>
      <c r="N16" s="28">
        <v>135</v>
      </c>
      <c r="O16" s="17" t="str">
        <f>IF($K16="","",VLOOKUP($K16,dropdown!$P$14:$Q$18,2,FALSE))</f>
        <v>Liters</v>
      </c>
      <c r="P16" s="28">
        <v>575</v>
      </c>
      <c r="Q16" s="17" t="str">
        <f t="shared" si="0"/>
        <v>Kilometers</v>
      </c>
      <c r="R16" s="199"/>
    </row>
    <row r="17" spans="2:18" x14ac:dyDescent="0.2">
      <c r="B17" s="17" t="s">
        <v>188</v>
      </c>
      <c r="I17" s="198">
        <f t="shared" si="1"/>
        <v>11</v>
      </c>
      <c r="J17" s="56" t="s">
        <v>194</v>
      </c>
      <c r="K17" s="56" t="s">
        <v>66</v>
      </c>
      <c r="L17" s="57" t="s">
        <v>196</v>
      </c>
      <c r="M17" s="18" t="str">
        <f>IF(Fuel_Veh[[#This Row],[Month]]&lt;&gt;"",VLOOKUP(Fuel_Veh[[#This Row],[Month]], dropdown!$S$4:$T$15, 2, FALSE),"")</f>
        <v>Q2</v>
      </c>
      <c r="N17" s="28">
        <v>395</v>
      </c>
      <c r="O17" s="17" t="str">
        <f>IF($K17="","",VLOOKUP($K17,dropdown!$P$14:$Q$18,2,FALSE))</f>
        <v>Liters</v>
      </c>
      <c r="P17" s="28">
        <v>2716</v>
      </c>
      <c r="Q17" s="17" t="str">
        <f t="shared" si="0"/>
        <v>Kilometers</v>
      </c>
      <c r="R17" s="199"/>
    </row>
    <row r="18" spans="2:18" x14ac:dyDescent="0.2">
      <c r="I18" s="198">
        <f t="shared" si="1"/>
        <v>12</v>
      </c>
      <c r="J18" s="56" t="s">
        <v>195</v>
      </c>
      <c r="K18" s="56" t="s">
        <v>66</v>
      </c>
      <c r="L18" s="57" t="s">
        <v>196</v>
      </c>
      <c r="M18" s="18" t="str">
        <f>IF(Fuel_Veh[[#This Row],[Month]]&lt;&gt;"",VLOOKUP(Fuel_Veh[[#This Row],[Month]], dropdown!$S$4:$T$15, 2, FALSE),"")</f>
        <v>Q2</v>
      </c>
      <c r="N18" s="28">
        <v>210</v>
      </c>
      <c r="O18" s="17" t="str">
        <f>IF($K18="","",VLOOKUP($K18,dropdown!$P$14:$Q$18,2,FALSE))</f>
        <v>Liters</v>
      </c>
      <c r="P18" s="28">
        <v>755</v>
      </c>
      <c r="Q18" s="17" t="str">
        <f t="shared" si="0"/>
        <v>Kilometers</v>
      </c>
      <c r="R18" s="199"/>
    </row>
    <row r="19" spans="2:18" x14ac:dyDescent="0.2">
      <c r="I19" s="198">
        <f t="shared" si="1"/>
        <v>13</v>
      </c>
      <c r="J19" s="56" t="s">
        <v>192</v>
      </c>
      <c r="K19" s="56" t="s">
        <v>66</v>
      </c>
      <c r="L19" s="57" t="s">
        <v>197</v>
      </c>
      <c r="M19" s="18" t="str">
        <f>IF(Fuel_Veh[[#This Row],[Month]]&lt;&gt;"",VLOOKUP(Fuel_Veh[[#This Row],[Month]], dropdown!$S$4:$T$15, 2, FALSE),"")</f>
        <v>Q2</v>
      </c>
      <c r="N19" s="28">
        <v>550</v>
      </c>
      <c r="O19" s="17" t="str">
        <f>IF($K19="","",VLOOKUP($K19,dropdown!$P$14:$Q$18,2,FALSE))</f>
        <v>Liters</v>
      </c>
      <c r="P19" s="28">
        <v>2716</v>
      </c>
      <c r="Q19" s="17" t="str">
        <f t="shared" si="0"/>
        <v>Kilometers</v>
      </c>
      <c r="R19" s="199"/>
    </row>
    <row r="20" spans="2:18" x14ac:dyDescent="0.2">
      <c r="I20" s="198">
        <f t="shared" si="1"/>
        <v>14</v>
      </c>
      <c r="J20" s="56" t="s">
        <v>194</v>
      </c>
      <c r="K20" s="56" t="s">
        <v>66</v>
      </c>
      <c r="L20" s="57" t="s">
        <v>197</v>
      </c>
      <c r="M20" s="18" t="str">
        <f>IF(Fuel_Veh[[#This Row],[Month]]&lt;&gt;"",VLOOKUP(Fuel_Veh[[#This Row],[Month]], dropdown!$S$4:$T$15, 2, FALSE),"")</f>
        <v>Q2</v>
      </c>
      <c r="N20" s="28">
        <v>545</v>
      </c>
      <c r="O20" s="17" t="str">
        <f>IF($K20="","",VLOOKUP($K20,dropdown!$P$14:$Q$18,2,FALSE))</f>
        <v>Liters</v>
      </c>
      <c r="P20" s="28">
        <v>3623</v>
      </c>
      <c r="Q20" s="17" t="str">
        <f t="shared" si="0"/>
        <v>Kilometers</v>
      </c>
      <c r="R20" s="199"/>
    </row>
    <row r="21" spans="2:18" x14ac:dyDescent="0.2">
      <c r="I21" s="198">
        <f t="shared" si="1"/>
        <v>15</v>
      </c>
      <c r="J21" s="56" t="s">
        <v>195</v>
      </c>
      <c r="K21" s="56" t="s">
        <v>66</v>
      </c>
      <c r="L21" s="57" t="s">
        <v>197</v>
      </c>
      <c r="M21" s="18" t="str">
        <f>IF(Fuel_Veh[[#This Row],[Month]]&lt;&gt;"",VLOOKUP(Fuel_Veh[[#This Row],[Month]], dropdown!$S$4:$T$15, 2, FALSE),"")</f>
        <v>Q2</v>
      </c>
      <c r="N21" s="28">
        <v>200</v>
      </c>
      <c r="O21" s="17" t="str">
        <f>IF($K21="","",VLOOKUP($K21,dropdown!$P$14:$Q$18,2,FALSE))</f>
        <v>Liters</v>
      </c>
      <c r="P21" s="28">
        <v>522</v>
      </c>
      <c r="Q21" s="17" t="str">
        <f t="shared" si="0"/>
        <v>Kilometers</v>
      </c>
      <c r="R21" s="199"/>
    </row>
    <row r="22" spans="2:18" x14ac:dyDescent="0.2">
      <c r="I22" s="198">
        <f t="shared" si="1"/>
        <v>16</v>
      </c>
      <c r="J22" s="56" t="s">
        <v>192</v>
      </c>
      <c r="K22" s="56" t="s">
        <v>66</v>
      </c>
      <c r="L22" s="57" t="s">
        <v>183</v>
      </c>
      <c r="M22" s="18" t="str">
        <f>IF(Fuel_Veh[[#This Row],[Month]]&lt;&gt;"",VLOOKUP(Fuel_Veh[[#This Row],[Month]], dropdown!$S$4:$T$15, 2, FALSE),"")</f>
        <v>Q2</v>
      </c>
      <c r="N22" s="28">
        <v>340</v>
      </c>
      <c r="O22" s="17" t="str">
        <f>IF($K22="","",VLOOKUP($K22,dropdown!$P$14:$Q$18,2,FALSE))</f>
        <v>Liters</v>
      </c>
      <c r="P22" s="28">
        <v>2242</v>
      </c>
      <c r="Q22" s="17" t="str">
        <f t="shared" si="0"/>
        <v>Kilometers</v>
      </c>
      <c r="R22" s="199"/>
    </row>
    <row r="23" spans="2:18" x14ac:dyDescent="0.2">
      <c r="I23" s="198">
        <f t="shared" si="1"/>
        <v>17</v>
      </c>
      <c r="J23" s="56" t="s">
        <v>194</v>
      </c>
      <c r="K23" s="56" t="s">
        <v>66</v>
      </c>
      <c r="L23" s="57" t="s">
        <v>183</v>
      </c>
      <c r="M23" s="18" t="str">
        <f>IF(Fuel_Veh[[#This Row],[Month]]&lt;&gt;"",VLOOKUP(Fuel_Veh[[#This Row],[Month]], dropdown!$S$4:$T$15, 2, FALSE),"")</f>
        <v>Q2</v>
      </c>
      <c r="N23" s="28">
        <v>441.32</v>
      </c>
      <c r="O23" s="17" t="str">
        <f>IF($K23="","",VLOOKUP($K23,dropdown!$P$14:$Q$18,2,FALSE))</f>
        <v>Liters</v>
      </c>
      <c r="P23" s="28">
        <v>3232</v>
      </c>
      <c r="Q23" s="17" t="str">
        <f t="shared" si="0"/>
        <v>Kilometers</v>
      </c>
      <c r="R23" s="199"/>
    </row>
    <row r="24" spans="2:18" x14ac:dyDescent="0.2">
      <c r="I24" s="198">
        <f t="shared" si="1"/>
        <v>18</v>
      </c>
      <c r="J24" s="56" t="s">
        <v>195</v>
      </c>
      <c r="K24" s="56" t="s">
        <v>66</v>
      </c>
      <c r="L24" s="57" t="s">
        <v>183</v>
      </c>
      <c r="M24" s="18" t="str">
        <f>IF(Fuel_Veh[[#This Row],[Month]]&lt;&gt;"",VLOOKUP(Fuel_Veh[[#This Row],[Month]], dropdown!$S$4:$T$15, 2, FALSE),"")</f>
        <v>Q2</v>
      </c>
      <c r="N24" s="28">
        <v>200</v>
      </c>
      <c r="O24" s="17" t="str">
        <f>IF($K24="","",VLOOKUP($K24,dropdown!$P$14:$Q$18,2,FALSE))</f>
        <v>Liters</v>
      </c>
      <c r="P24" s="28">
        <v>328</v>
      </c>
      <c r="Q24" s="17" t="str">
        <f t="shared" si="0"/>
        <v>Kilometers</v>
      </c>
      <c r="R24" s="199"/>
    </row>
    <row r="25" spans="2:18" x14ac:dyDescent="0.2">
      <c r="I25" s="198">
        <f t="shared" si="1"/>
        <v>19</v>
      </c>
      <c r="J25" s="56" t="s">
        <v>192</v>
      </c>
      <c r="K25" s="56" t="s">
        <v>66</v>
      </c>
      <c r="L25" s="57" t="s">
        <v>198</v>
      </c>
      <c r="M25" s="18" t="str">
        <f>IF(Fuel_Veh[[#This Row],[Month]]&lt;&gt;"",VLOOKUP(Fuel_Veh[[#This Row],[Month]], dropdown!$S$4:$T$15, 2, FALSE),"")</f>
        <v>Q3</v>
      </c>
      <c r="N25" s="28">
        <v>283.17</v>
      </c>
      <c r="O25" s="17" t="str">
        <f>IF($K25="","",VLOOKUP($K25,dropdown!$P$14:$Q$18,2,FALSE))</f>
        <v>Liters</v>
      </c>
      <c r="P25" s="28">
        <v>958</v>
      </c>
      <c r="Q25" s="17" t="str">
        <f t="shared" si="0"/>
        <v>Kilometers</v>
      </c>
      <c r="R25" s="199"/>
    </row>
    <row r="26" spans="2:18" x14ac:dyDescent="0.2">
      <c r="I26" s="198">
        <f t="shared" si="1"/>
        <v>20</v>
      </c>
      <c r="J26" s="56" t="s">
        <v>194</v>
      </c>
      <c r="K26" s="56" t="s">
        <v>66</v>
      </c>
      <c r="L26" s="200" t="s">
        <v>198</v>
      </c>
      <c r="M26" s="18" t="str">
        <f>IF(Fuel_Veh[[#This Row],[Month]]&lt;&gt;"",VLOOKUP(Fuel_Veh[[#This Row],[Month]], dropdown!$S$4:$T$15, 2, FALSE),"")</f>
        <v>Q3</v>
      </c>
      <c r="N26" s="201">
        <v>428.62</v>
      </c>
      <c r="O26" s="202" t="str">
        <f>IF($K26="","",VLOOKUP($K26,dropdown!$P$14:$Q$18,2,FALSE))</f>
        <v>Liters</v>
      </c>
      <c r="P26" s="201">
        <v>2385</v>
      </c>
      <c r="Q26" s="17" t="str">
        <f t="shared" si="0"/>
        <v>Kilometers</v>
      </c>
      <c r="R26" s="203"/>
    </row>
    <row r="27" spans="2:18" x14ac:dyDescent="0.2">
      <c r="I27" s="198">
        <f t="shared" si="1"/>
        <v>21</v>
      </c>
      <c r="J27" s="56" t="s">
        <v>195</v>
      </c>
      <c r="K27" s="56" t="s">
        <v>66</v>
      </c>
      <c r="L27" s="57" t="s">
        <v>198</v>
      </c>
      <c r="M27" s="18" t="str">
        <f>IF(Fuel_Veh[[#This Row],[Month]]&lt;&gt;"",VLOOKUP(Fuel_Veh[[#This Row],[Month]], dropdown!$S$4:$T$15, 2, FALSE),"")</f>
        <v>Q3</v>
      </c>
      <c r="N27" s="28">
        <v>100</v>
      </c>
      <c r="O27" s="17" t="str">
        <f>IF($K27="","",VLOOKUP($K27,dropdown!$P$14:$Q$18,2,FALSE))</f>
        <v>Liters</v>
      </c>
      <c r="P27" s="28">
        <v>366</v>
      </c>
      <c r="Q27" s="17" t="str">
        <f t="shared" si="0"/>
        <v>Kilometers</v>
      </c>
      <c r="R27" s="199"/>
    </row>
    <row r="28" spans="2:18" x14ac:dyDescent="0.2">
      <c r="I28" s="198">
        <f t="shared" si="1"/>
        <v>22</v>
      </c>
      <c r="J28" s="56" t="s">
        <v>192</v>
      </c>
      <c r="K28" s="56" t="s">
        <v>66</v>
      </c>
      <c r="L28" s="57" t="s">
        <v>45</v>
      </c>
      <c r="M28" s="18" t="str">
        <f>IF(Fuel_Veh[[#This Row],[Month]]&lt;&gt;"",VLOOKUP(Fuel_Veh[[#This Row],[Month]], dropdown!$S$4:$T$15, 2, FALSE),"")</f>
        <v>Q3</v>
      </c>
      <c r="N28" s="28">
        <v>302.19</v>
      </c>
      <c r="O28" s="17" t="str">
        <f>IF($K28="","",VLOOKUP($K28,dropdown!$P$14:$Q$18,2,FALSE))</f>
        <v>Liters</v>
      </c>
      <c r="P28" s="28">
        <v>1206</v>
      </c>
      <c r="Q28" s="17" t="str">
        <f t="shared" si="0"/>
        <v>Kilometers</v>
      </c>
      <c r="R28" s="199"/>
    </row>
    <row r="29" spans="2:18" x14ac:dyDescent="0.2">
      <c r="I29" s="198">
        <f t="shared" si="1"/>
        <v>23</v>
      </c>
      <c r="J29" s="56" t="s">
        <v>194</v>
      </c>
      <c r="K29" s="56" t="s">
        <v>66</v>
      </c>
      <c r="L29" s="57" t="s">
        <v>45</v>
      </c>
      <c r="M29" s="18" t="str">
        <f>IF(Fuel_Veh[[#This Row],[Month]]&lt;&gt;"",VLOOKUP(Fuel_Veh[[#This Row],[Month]], dropdown!$S$4:$T$15, 2, FALSE),"")</f>
        <v>Q3</v>
      </c>
      <c r="N29" s="28">
        <v>350.01</v>
      </c>
      <c r="O29" s="17" t="str">
        <f>IF($K29="","",VLOOKUP($K29,dropdown!$P$14:$Q$18,2,FALSE))</f>
        <v>Liters</v>
      </c>
      <c r="P29" s="28">
        <v>2676</v>
      </c>
      <c r="Q29" s="17" t="str">
        <f t="shared" si="0"/>
        <v>Kilometers</v>
      </c>
      <c r="R29" s="199"/>
    </row>
    <row r="30" spans="2:18" x14ac:dyDescent="0.2">
      <c r="I30" s="198">
        <f t="shared" si="1"/>
        <v>24</v>
      </c>
      <c r="J30" s="56" t="s">
        <v>195</v>
      </c>
      <c r="K30" s="350" t="s">
        <v>66</v>
      </c>
      <c r="L30" s="200" t="s">
        <v>45</v>
      </c>
      <c r="M30" s="18" t="str">
        <f>IF(Fuel_Veh[[#This Row],[Month]]&lt;&gt;"",VLOOKUP(Fuel_Veh[[#This Row],[Month]], dropdown!$S$4:$T$15, 2, FALSE),"")</f>
        <v>Q3</v>
      </c>
      <c r="N30" s="201">
        <v>190</v>
      </c>
      <c r="O30" s="202" t="str">
        <f>IF($K30="","",VLOOKUP($K30,dropdown!$P$14:$Q$18,2,FALSE))</f>
        <v>Liters</v>
      </c>
      <c r="P30" s="201">
        <v>654</v>
      </c>
      <c r="Q30" s="17" t="str">
        <f t="shared" si="0"/>
        <v>Kilometers</v>
      </c>
      <c r="R30" s="203"/>
    </row>
    <row r="31" spans="2:18" x14ac:dyDescent="0.2">
      <c r="I31" s="198">
        <f t="shared" si="1"/>
        <v>25</v>
      </c>
      <c r="J31" s="56" t="s">
        <v>192</v>
      </c>
      <c r="K31" s="56" t="s">
        <v>66</v>
      </c>
      <c r="L31" s="57" t="s">
        <v>184</v>
      </c>
      <c r="M31" s="18" t="str">
        <f>IF(Fuel_Veh[[#This Row],[Month]]&lt;&gt;"",VLOOKUP(Fuel_Veh[[#This Row],[Month]], dropdown!$S$4:$T$15, 2, FALSE),"")</f>
        <v>Q3</v>
      </c>
      <c r="N31" s="28">
        <v>199.24</v>
      </c>
      <c r="O31" s="17" t="str">
        <f>IF($K31="","",VLOOKUP($K31,dropdown!$P$14:$Q$18,2,FALSE))</f>
        <v>Liters</v>
      </c>
      <c r="P31" s="28">
        <v>1430</v>
      </c>
      <c r="Q31" s="17" t="str">
        <f t="shared" si="0"/>
        <v>Kilometers</v>
      </c>
      <c r="R31" s="203"/>
    </row>
    <row r="32" spans="2:18" x14ac:dyDescent="0.2">
      <c r="I32" s="198">
        <f t="shared" si="1"/>
        <v>26</v>
      </c>
      <c r="J32" s="56" t="s">
        <v>194</v>
      </c>
      <c r="K32" s="56" t="s">
        <v>66</v>
      </c>
      <c r="L32" s="57" t="s">
        <v>184</v>
      </c>
      <c r="M32" s="18" t="str">
        <f>IF(Fuel_Veh[[#This Row],[Month]]&lt;&gt;"",VLOOKUP(Fuel_Veh[[#This Row],[Month]], dropdown!$S$4:$T$15, 2, FALSE),"")</f>
        <v>Q3</v>
      </c>
      <c r="N32" s="28">
        <v>340.31</v>
      </c>
      <c r="O32" s="17" t="str">
        <f>IF($K32="","",VLOOKUP($K32,dropdown!$P$14:$Q$18,2,FALSE))</f>
        <v>Liters</v>
      </c>
      <c r="P32" s="28">
        <v>2600</v>
      </c>
      <c r="Q32" s="17" t="str">
        <f t="shared" si="0"/>
        <v>Kilometers</v>
      </c>
      <c r="R32" s="203"/>
    </row>
    <row r="33" spans="9:18" x14ac:dyDescent="0.2">
      <c r="I33" s="198">
        <f t="shared" si="1"/>
        <v>27</v>
      </c>
      <c r="J33" s="56" t="s">
        <v>195</v>
      </c>
      <c r="K33" s="56" t="s">
        <v>66</v>
      </c>
      <c r="L33" s="57" t="s">
        <v>184</v>
      </c>
      <c r="M33" s="18" t="str">
        <f>IF(Fuel_Veh[[#This Row],[Month]]&lt;&gt;"",VLOOKUP(Fuel_Veh[[#This Row],[Month]], dropdown!$S$4:$T$15, 2, FALSE),"")</f>
        <v>Q3</v>
      </c>
      <c r="N33" s="28">
        <v>245</v>
      </c>
      <c r="O33" s="17" t="str">
        <f>IF($K33="","",VLOOKUP($K33,dropdown!$P$14:$Q$18,2,FALSE))</f>
        <v>Liters</v>
      </c>
      <c r="P33" s="28">
        <v>468</v>
      </c>
      <c r="Q33" s="17" t="str">
        <f t="shared" si="0"/>
        <v>Kilometers</v>
      </c>
      <c r="R33" s="203"/>
    </row>
    <row r="34" spans="9:18" x14ac:dyDescent="0.2">
      <c r="I34" s="198">
        <f t="shared" si="1"/>
        <v>28</v>
      </c>
      <c r="J34" s="56" t="s">
        <v>192</v>
      </c>
      <c r="K34" s="56" t="s">
        <v>66</v>
      </c>
      <c r="L34" s="57" t="s">
        <v>199</v>
      </c>
      <c r="M34" s="18" t="str">
        <f>IF(Fuel_Veh[[#This Row],[Month]]&lt;&gt;"",VLOOKUP(Fuel_Veh[[#This Row],[Month]], dropdown!$S$4:$T$15, 2, FALSE),"")</f>
        <v>Q4</v>
      </c>
      <c r="N34" s="28">
        <v>330</v>
      </c>
      <c r="O34" s="17" t="str">
        <f>IF($K34="","",VLOOKUP($K34,dropdown!$P$14:$Q$18,2,FALSE))</f>
        <v>Liters</v>
      </c>
      <c r="P34" s="28">
        <v>1127</v>
      </c>
      <c r="Q34" s="17" t="str">
        <f t="shared" si="0"/>
        <v>Kilometers</v>
      </c>
      <c r="R34" s="203"/>
    </row>
    <row r="35" spans="9:18" x14ac:dyDescent="0.2">
      <c r="I35" s="198">
        <f t="shared" si="1"/>
        <v>29</v>
      </c>
      <c r="J35" s="56" t="s">
        <v>194</v>
      </c>
      <c r="K35" s="56" t="s">
        <v>66</v>
      </c>
      <c r="L35" s="57" t="s">
        <v>199</v>
      </c>
      <c r="M35" s="18" t="str">
        <f>IF(Fuel_Veh[[#This Row],[Month]]&lt;&gt;"",VLOOKUP(Fuel_Veh[[#This Row],[Month]], dropdown!$S$4:$T$15, 2, FALSE),"")</f>
        <v>Q4</v>
      </c>
      <c r="N35" s="28">
        <v>516.30999999999995</v>
      </c>
      <c r="O35" s="17" t="str">
        <f>IF($K35="","",VLOOKUP($K35,dropdown!$P$14:$Q$18,2,FALSE))</f>
        <v>Liters</v>
      </c>
      <c r="P35" s="28">
        <v>3121</v>
      </c>
      <c r="Q35" s="17" t="str">
        <f t="shared" si="0"/>
        <v>Kilometers</v>
      </c>
      <c r="R35" s="203"/>
    </row>
    <row r="36" spans="9:18" x14ac:dyDescent="0.2">
      <c r="I36" s="198">
        <f t="shared" si="1"/>
        <v>30</v>
      </c>
      <c r="J36" s="56" t="s">
        <v>195</v>
      </c>
      <c r="K36" s="56" t="s">
        <v>66</v>
      </c>
      <c r="L36" s="57" t="s">
        <v>199</v>
      </c>
      <c r="M36" s="18" t="str">
        <f>IF(Fuel_Veh[[#This Row],[Month]]&lt;&gt;"",VLOOKUP(Fuel_Veh[[#This Row],[Month]], dropdown!$S$4:$T$15, 2, FALSE),"")</f>
        <v>Q4</v>
      </c>
      <c r="N36" s="28">
        <v>150</v>
      </c>
      <c r="O36" s="17" t="str">
        <f>IF($K36="","",VLOOKUP($K36,dropdown!$P$14:$Q$18,2,FALSE))</f>
        <v>Liters</v>
      </c>
      <c r="P36" s="28">
        <v>503</v>
      </c>
      <c r="Q36" s="17" t="str">
        <f t="shared" si="0"/>
        <v>Kilometers</v>
      </c>
      <c r="R36" s="203"/>
    </row>
    <row r="37" spans="9:18" x14ac:dyDescent="0.2">
      <c r="I37" s="198">
        <f t="shared" si="1"/>
        <v>31</v>
      </c>
      <c r="J37" s="56" t="s">
        <v>192</v>
      </c>
      <c r="K37" s="56" t="s">
        <v>66</v>
      </c>
      <c r="L37" s="57" t="s">
        <v>200</v>
      </c>
      <c r="M37" s="18" t="str">
        <f>IF(Fuel_Veh[[#This Row],[Month]]&lt;&gt;"",VLOOKUP(Fuel_Veh[[#This Row],[Month]], dropdown!$S$4:$T$15, 2, FALSE),"")</f>
        <v>Q4</v>
      </c>
      <c r="N37" s="28">
        <v>268.45999999999998</v>
      </c>
      <c r="O37" s="17" t="str">
        <f>IF($K37="","",VLOOKUP($K37,dropdown!$P$14:$Q$18,2,FALSE))</f>
        <v>Liters</v>
      </c>
      <c r="P37" s="28">
        <v>2011</v>
      </c>
      <c r="Q37" s="17" t="str">
        <f t="shared" si="0"/>
        <v>Kilometers</v>
      </c>
      <c r="R37" s="203"/>
    </row>
    <row r="38" spans="9:18" x14ac:dyDescent="0.2">
      <c r="I38" s="198">
        <f t="shared" si="1"/>
        <v>32</v>
      </c>
      <c r="J38" s="56" t="s">
        <v>194</v>
      </c>
      <c r="K38" s="56" t="s">
        <v>66</v>
      </c>
      <c r="L38" s="57" t="s">
        <v>200</v>
      </c>
      <c r="M38" s="18" t="str">
        <f>IF(Fuel_Veh[[#This Row],[Month]]&lt;&gt;"",VLOOKUP(Fuel_Veh[[#This Row],[Month]], dropdown!$S$4:$T$15, 2, FALSE),"")</f>
        <v>Q4</v>
      </c>
      <c r="N38" s="28">
        <v>480</v>
      </c>
      <c r="O38" s="17" t="str">
        <f>IF($K38="","",VLOOKUP($K38,dropdown!$P$14:$Q$18,2,FALSE))</f>
        <v>Liters</v>
      </c>
      <c r="P38" s="28">
        <v>3127</v>
      </c>
      <c r="Q38" s="17" t="str">
        <f t="shared" si="0"/>
        <v>Kilometers</v>
      </c>
      <c r="R38" s="203"/>
    </row>
    <row r="39" spans="9:18" x14ac:dyDescent="0.2">
      <c r="I39" s="198">
        <f t="shared" si="1"/>
        <v>33</v>
      </c>
      <c r="J39" s="56" t="s">
        <v>195</v>
      </c>
      <c r="K39" s="56" t="s">
        <v>66</v>
      </c>
      <c r="L39" s="57" t="s">
        <v>200</v>
      </c>
      <c r="M39" s="18" t="str">
        <f>IF(Fuel_Veh[[#This Row],[Month]]&lt;&gt;"",VLOOKUP(Fuel_Veh[[#This Row],[Month]], dropdown!$S$4:$T$15, 2, FALSE),"")</f>
        <v>Q4</v>
      </c>
      <c r="N39" s="28">
        <v>180</v>
      </c>
      <c r="O39" s="17" t="str">
        <f>IF($K39="","",VLOOKUP($K39,dropdown!$P$14:$Q$18,2,FALSE))</f>
        <v>Liters</v>
      </c>
      <c r="P39" s="28">
        <v>383</v>
      </c>
      <c r="Q39" s="17" t="str">
        <f t="shared" si="0"/>
        <v>Kilometers</v>
      </c>
      <c r="R39" s="203"/>
    </row>
    <row r="40" spans="9:18" x14ac:dyDescent="0.2">
      <c r="I40" s="198">
        <f t="shared" si="1"/>
        <v>34</v>
      </c>
      <c r="J40" s="56" t="s">
        <v>192</v>
      </c>
      <c r="K40" s="56" t="s">
        <v>66</v>
      </c>
      <c r="L40" s="57" t="s">
        <v>185</v>
      </c>
      <c r="M40" s="18" t="str">
        <f>IF(Fuel_Veh[[#This Row],[Month]]&lt;&gt;"",VLOOKUP(Fuel_Veh[[#This Row],[Month]], dropdown!$S$4:$T$15, 2, FALSE),"")</f>
        <v>Q4</v>
      </c>
      <c r="N40" s="28">
        <v>350</v>
      </c>
      <c r="O40" s="17" t="str">
        <f>IF($K40="","",VLOOKUP($K40,dropdown!$P$14:$Q$18,2,FALSE))</f>
        <v>Liters</v>
      </c>
      <c r="P40" s="28">
        <v>2107</v>
      </c>
      <c r="Q40" s="17" t="str">
        <f t="shared" si="0"/>
        <v>Kilometers</v>
      </c>
      <c r="R40" s="203"/>
    </row>
    <row r="41" spans="9:18" x14ac:dyDescent="0.2">
      <c r="I41" s="198">
        <f t="shared" si="1"/>
        <v>35</v>
      </c>
      <c r="J41" s="56" t="s">
        <v>194</v>
      </c>
      <c r="K41" s="56" t="s">
        <v>66</v>
      </c>
      <c r="L41" s="57" t="s">
        <v>185</v>
      </c>
      <c r="M41" s="18" t="str">
        <f>IF(Fuel_Veh[[#This Row],[Month]]&lt;&gt;"",VLOOKUP(Fuel_Veh[[#This Row],[Month]], dropdown!$S$4:$T$15, 2, FALSE),"")</f>
        <v>Q4</v>
      </c>
      <c r="N41" s="28">
        <v>310</v>
      </c>
      <c r="O41" s="17" t="str">
        <f>IF($K41="","",VLOOKUP($K41,dropdown!$P$14:$Q$18,2,FALSE))</f>
        <v>Liters</v>
      </c>
      <c r="P41" s="28">
        <v>2351</v>
      </c>
      <c r="Q41" s="17" t="str">
        <f t="shared" si="0"/>
        <v>Kilometers</v>
      </c>
      <c r="R41" s="203"/>
    </row>
    <row r="42" spans="9:18" x14ac:dyDescent="0.2">
      <c r="I42" s="198">
        <f t="shared" si="1"/>
        <v>36</v>
      </c>
      <c r="J42" s="56" t="s">
        <v>195</v>
      </c>
      <c r="K42" s="56" t="s">
        <v>66</v>
      </c>
      <c r="L42" s="57" t="s">
        <v>185</v>
      </c>
      <c r="M42" s="18" t="str">
        <f>IF(Fuel_Veh[[#This Row],[Month]]&lt;&gt;"",VLOOKUP(Fuel_Veh[[#This Row],[Month]], dropdown!$S$4:$T$15, 2, FALSE),"")</f>
        <v>Q4</v>
      </c>
      <c r="N42" s="28">
        <v>190</v>
      </c>
      <c r="O42" s="17" t="str">
        <f>IF($K42="","",VLOOKUP($K42,dropdown!$P$14:$Q$18,2,FALSE))</f>
        <v>Liters</v>
      </c>
      <c r="P42" s="28">
        <v>442</v>
      </c>
      <c r="Q42" s="17" t="str">
        <f t="shared" si="0"/>
        <v>Kilometers</v>
      </c>
      <c r="R42" s="203"/>
    </row>
    <row r="44" spans="9:18" x14ac:dyDescent="0.2">
      <c r="I44" s="326" t="s">
        <v>189</v>
      </c>
    </row>
  </sheetData>
  <sheetProtection selectLockedCells="1"/>
  <protectedRanges>
    <protectedRange sqref="K7:K42 L6:L42 N6:N42 P6:P42 R6:R42 J6:J42" name="Range1"/>
  </protectedRanges>
  <mergeCells count="2">
    <mergeCell ref="C6:G6"/>
    <mergeCell ref="C7:G7"/>
  </mergeCells>
  <conditionalFormatting sqref="K7:P42">
    <cfRule type="expression" dxfId="109" priority="2">
      <formula>$J7="BEV"</formula>
    </cfRule>
  </conditionalFormatting>
  <conditionalFormatting sqref="Q7:Q42">
    <cfRule type="expression" dxfId="108"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K7:K42</xm:sqref>
        </x14:dataValidation>
        <x14:dataValidation type="list" allowBlank="1" showInputMessage="1" showErrorMessage="1" xr:uid="{F79FB234-2764-AE49-84E6-EC4CA8B682F6}">
          <x14:formula1>
            <xm:f>dropdown!$S$4:$S$15</xm:f>
          </x14:formula1>
          <xm:sqref>L7:L42</xm:sqref>
        </x14:dataValidation>
        <x14:dataValidation type="list" allowBlank="1" showInputMessage="1" showErrorMessage="1" xr:uid="{9ABCC7A6-B39D-734B-B4B5-FEB1DE6080C8}">
          <x14:formula1>
            <xm:f>dropdown!$AK$4:$AK$12</xm:f>
          </x14:formula1>
          <xm:sqref>J7:J42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10"/>
  <sheetViews>
    <sheetView zoomScale="69" zoomScaleNormal="120" workbookViewId="0">
      <selection activeCell="L33" sqref="L33"/>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5.6640625" style="12" customWidth="1"/>
    <col min="10" max="10" width="22.83203125" style="20" customWidth="1"/>
    <col min="11" max="11" width="17.83203125" style="20" customWidth="1"/>
    <col min="12" max="12" width="22.33203125" style="20" customWidth="1"/>
    <col min="13" max="13" width="12.5" style="20" customWidth="1"/>
    <col min="14" max="14" width="15.5" style="20" customWidth="1"/>
    <col min="15" max="15" width="17.33203125" style="20" customWidth="1"/>
    <col min="16" max="16" width="15.5" style="21" customWidth="1"/>
    <col min="17" max="17" width="16.1640625" style="21" customWidth="1"/>
    <col min="18" max="18" width="16.5" style="178" customWidth="1"/>
    <col min="19" max="19" width="14.6640625" style="197" customWidth="1"/>
    <col min="20" max="20" width="14.6640625" style="178" customWidth="1"/>
    <col min="21" max="21" width="13.33203125" style="178" customWidth="1"/>
    <col min="22" max="22" width="27.83203125" style="178" customWidth="1"/>
    <col min="23" max="23" width="14" style="11" customWidth="1"/>
    <col min="24" max="24" width="25.6640625" style="11" customWidth="1"/>
    <col min="25" max="25" width="17.5" style="11" customWidth="1"/>
    <col min="26" max="26" width="16.5" style="11" customWidth="1"/>
    <col min="27" max="27" width="4.6640625" style="11" customWidth="1"/>
    <col min="28" max="28" width="41.5" style="54" bestFit="1" customWidth="1"/>
    <col min="29" max="29" width="47.33203125" style="11" bestFit="1" customWidth="1"/>
    <col min="30" max="30" width="42.6640625" style="11" customWidth="1"/>
    <col min="31" max="31" width="10.83203125" style="55" hidden="1" customWidth="1"/>
    <col min="32" max="16384" width="10.83203125" style="11"/>
  </cols>
  <sheetData>
    <row r="2" spans="2:31" ht="14" x14ac:dyDescent="0.2">
      <c r="B2" s="29" t="s">
        <v>30</v>
      </c>
      <c r="C2" s="30"/>
      <c r="D2" s="30"/>
      <c r="E2" s="30"/>
      <c r="F2" s="30"/>
      <c r="G2" s="31"/>
      <c r="I2" s="129" t="s">
        <v>201</v>
      </c>
      <c r="J2" s="61"/>
      <c r="K2" s="61"/>
      <c r="L2" s="61"/>
      <c r="M2" s="61"/>
      <c r="N2" s="61"/>
      <c r="O2" s="61"/>
      <c r="P2" s="60"/>
      <c r="Q2" s="60"/>
      <c r="R2" s="60"/>
      <c r="S2" s="60"/>
      <c r="T2" s="60"/>
      <c r="U2" s="60"/>
      <c r="V2" s="393"/>
      <c r="W2" s="393"/>
      <c r="X2" s="393"/>
    </row>
    <row r="3" spans="2:31" ht="13.5" customHeight="1" x14ac:dyDescent="0.2">
      <c r="B3" s="32" t="s">
        <v>9</v>
      </c>
      <c r="C3" s="33"/>
      <c r="D3" s="34" t="s">
        <v>172</v>
      </c>
      <c r="E3" s="33"/>
      <c r="F3" s="33" t="s">
        <v>173</v>
      </c>
      <c r="G3" s="35"/>
      <c r="I3" s="357"/>
      <c r="J3" s="345"/>
      <c r="K3" s="345"/>
      <c r="L3" s="345"/>
      <c r="M3" s="345"/>
      <c r="N3" s="345"/>
      <c r="O3" s="345"/>
      <c r="P3" s="348"/>
      <c r="Q3" s="346"/>
      <c r="R3" s="304"/>
      <c r="S3" s="345"/>
      <c r="T3" s="305"/>
      <c r="U3" s="305"/>
      <c r="V3" s="394"/>
    </row>
    <row r="4" spans="2:31" x14ac:dyDescent="0.2">
      <c r="B4" s="166" t="str">
        <f>'1. Data Info and Summary'!$D$2</f>
        <v>Security Plant Complex</v>
      </c>
      <c r="C4" s="36"/>
      <c r="D4" s="37">
        <f>IF('1. Data Info and Summary'!$D$3=0,"-",'1. Data Info and Summary'!$D$3)</f>
        <v>2024</v>
      </c>
      <c r="E4" s="36"/>
      <c r="F4" s="36" t="s">
        <v>202</v>
      </c>
      <c r="G4" s="38"/>
      <c r="I4" s="347"/>
      <c r="J4" s="303"/>
      <c r="K4" s="303"/>
      <c r="L4" s="303"/>
      <c r="M4" s="303"/>
      <c r="N4" s="303"/>
      <c r="O4" s="303"/>
      <c r="P4" s="351"/>
      <c r="Q4" s="352"/>
      <c r="R4" s="179"/>
      <c r="S4" s="303"/>
      <c r="T4" s="130"/>
      <c r="U4" s="130"/>
      <c r="V4" s="395"/>
    </row>
    <row r="5" spans="2:31" ht="14" x14ac:dyDescent="0.2">
      <c r="B5" s="274"/>
      <c r="D5" s="274"/>
      <c r="I5" s="306"/>
      <c r="J5" s="307"/>
      <c r="K5" s="307"/>
      <c r="L5" s="307"/>
      <c r="M5" s="307"/>
      <c r="N5" s="307"/>
      <c r="O5" s="307"/>
      <c r="P5" s="308"/>
      <c r="Q5" s="309"/>
      <c r="R5" s="309"/>
      <c r="S5" s="308"/>
      <c r="T5" s="308"/>
      <c r="U5" s="308"/>
      <c r="V5" s="396"/>
    </row>
    <row r="6" spans="2:31" ht="14" x14ac:dyDescent="0.2">
      <c r="B6" s="283" t="s">
        <v>176</v>
      </c>
      <c r="C6" s="460"/>
      <c r="D6" s="461"/>
      <c r="E6" s="461"/>
      <c r="F6" s="461"/>
      <c r="G6" s="462"/>
      <c r="I6" s="303"/>
      <c r="J6" s="303"/>
      <c r="K6" s="303"/>
      <c r="L6" s="303"/>
      <c r="M6" s="303"/>
      <c r="N6" s="303"/>
      <c r="O6" s="303"/>
      <c r="P6" s="303"/>
      <c r="Q6" s="303"/>
      <c r="R6" s="303"/>
      <c r="S6" s="303"/>
      <c r="T6" s="303"/>
      <c r="U6" s="303"/>
      <c r="V6" s="303"/>
    </row>
    <row r="7" spans="2:31" ht="15" customHeight="1" x14ac:dyDescent="0.2">
      <c r="B7" s="283" t="s">
        <v>178</v>
      </c>
      <c r="C7" s="460"/>
      <c r="D7" s="461"/>
      <c r="E7" s="461"/>
      <c r="F7" s="461"/>
      <c r="G7" s="462"/>
      <c r="I7" s="407" t="s">
        <v>158</v>
      </c>
      <c r="J7" s="406"/>
      <c r="K7" s="406"/>
      <c r="L7" s="404"/>
      <c r="M7" s="404"/>
      <c r="N7" s="404"/>
      <c r="O7" s="404"/>
      <c r="P7" s="463" t="s">
        <v>203</v>
      </c>
      <c r="Q7" s="463"/>
      <c r="R7" s="464" t="s">
        <v>204</v>
      </c>
      <c r="S7" s="465"/>
      <c r="T7" s="466" t="s">
        <v>89</v>
      </c>
      <c r="U7" s="467"/>
      <c r="V7" s="467"/>
      <c r="W7" s="405"/>
      <c r="X7" s="404"/>
      <c r="Y7" s="55"/>
      <c r="AB7" s="11"/>
      <c r="AE7" s="11"/>
    </row>
    <row r="8" spans="2:31" x14ac:dyDescent="0.2">
      <c r="I8" s="408" t="s">
        <v>3</v>
      </c>
      <c r="J8" s="409" t="s">
        <v>75</v>
      </c>
      <c r="K8" s="409" t="s">
        <v>36</v>
      </c>
      <c r="L8" s="410" t="s">
        <v>78</v>
      </c>
      <c r="M8" s="410" t="s">
        <v>81</v>
      </c>
      <c r="N8" s="410" t="s">
        <v>84</v>
      </c>
      <c r="O8" s="410" t="s">
        <v>87</v>
      </c>
      <c r="P8" s="411" t="s">
        <v>205</v>
      </c>
      <c r="Q8" s="412" t="s">
        <v>93</v>
      </c>
      <c r="R8" s="413" t="s">
        <v>95</v>
      </c>
      <c r="S8" s="413" t="s">
        <v>206</v>
      </c>
      <c r="T8" s="413" t="s">
        <v>99</v>
      </c>
      <c r="U8" s="414" t="s">
        <v>207</v>
      </c>
      <c r="V8" s="415" t="s">
        <v>103</v>
      </c>
      <c r="W8" s="416" t="s">
        <v>47</v>
      </c>
      <c r="X8" s="428" t="s">
        <v>58</v>
      </c>
      <c r="Y8" s="55"/>
      <c r="AB8" s="11"/>
      <c r="AE8" s="11"/>
    </row>
    <row r="9" spans="2:31" ht="14" x14ac:dyDescent="0.2">
      <c r="B9" s="14" t="s">
        <v>74</v>
      </c>
      <c r="C9" s="14"/>
      <c r="D9" s="14"/>
      <c r="E9" s="14"/>
      <c r="F9" s="14"/>
      <c r="G9" s="14"/>
      <c r="I9" s="451" t="str">
        <f>IF($L9="","",$I8+1)</f>
        <v/>
      </c>
      <c r="J9" s="430"/>
      <c r="K9" s="449"/>
      <c r="L9" s="440"/>
      <c r="M9" s="441"/>
      <c r="N9" s="442"/>
      <c r="O9" s="443"/>
      <c r="P9" s="444"/>
      <c r="Q9" s="422"/>
      <c r="R9" s="445"/>
      <c r="S9" s="446"/>
      <c r="T9" s="445"/>
      <c r="U9" s="446"/>
      <c r="V9" s="446"/>
      <c r="W9" s="447" t="str">
        <f>IFERROR(VLOOKUP($P9, dropdown!$S$4:$T$15, 2, FALSE),
 IFERROR(VLOOKUP($R9, dropdown!$S$4:$T$15, 2, FALSE),
 IFERROR(VLOOKUP($T9, dropdown!$S$4:$T$15, 2, FALSE),
 "")))</f>
        <v/>
      </c>
      <c r="X9" s="448"/>
      <c r="Y9" s="55"/>
      <c r="AB9" s="11"/>
      <c r="AE9" s="11"/>
    </row>
    <row r="10" spans="2:31" ht="14" x14ac:dyDescent="0.2">
      <c r="B10" s="180" t="str">
        <f>$R$7</f>
        <v>In Operation</v>
      </c>
      <c r="C10" s="13" t="s">
        <v>55</v>
      </c>
      <c r="D10" s="39" t="s">
        <v>49</v>
      </c>
      <c r="E10" s="39" t="s">
        <v>153</v>
      </c>
      <c r="F10" s="39" t="s">
        <v>154</v>
      </c>
      <c r="G10" s="39" t="s">
        <v>155</v>
      </c>
      <c r="I10" s="452">
        <f>IF($L10="","",1)</f>
        <v>1</v>
      </c>
      <c r="J10" s="450" t="s">
        <v>181</v>
      </c>
      <c r="K10" s="449" t="s">
        <v>179</v>
      </c>
      <c r="L10" s="417" t="s">
        <v>208</v>
      </c>
      <c r="M10" s="418">
        <v>1</v>
      </c>
      <c r="N10" s="419" t="s">
        <v>209</v>
      </c>
      <c r="O10" s="420" t="s">
        <v>210</v>
      </c>
      <c r="P10" s="421"/>
      <c r="Q10" s="422"/>
      <c r="R10" s="421" t="s">
        <v>180</v>
      </c>
      <c r="S10" s="423">
        <v>163.19999999999999</v>
      </c>
      <c r="T10" s="421"/>
      <c r="U10" s="423"/>
      <c r="V10" s="423"/>
      <c r="W10" s="453" t="str">
        <f>IFERROR(VLOOKUP($P10, dropdown!$S$4:$T$15, 2, FALSE),
 IFERROR(VLOOKUP($R10, dropdown!$S$4:$T$15, 2, FALSE),
 IFERROR(VLOOKUP($T10, dropdown!$S$4:$T$15, 2, FALSE),
 "")))</f>
        <v>Q1</v>
      </c>
      <c r="X10" s="429"/>
      <c r="Y10" s="55"/>
      <c r="AB10" s="11"/>
      <c r="AE10" s="11"/>
    </row>
    <row r="11" spans="2:31" x14ac:dyDescent="0.2">
      <c r="B11" s="40" t="s">
        <v>211</v>
      </c>
      <c r="C11" s="17" t="s">
        <v>212</v>
      </c>
      <c r="D11" s="439">
        <f>SUMIFS($M$9:$M$108,$O$9:$O$108,$B11,$W$9:$W$108,$D$10)</f>
        <v>0</v>
      </c>
      <c r="E11" s="439">
        <f>SUMIFS($M$9:$M$108,$O$9:$O$108,$B11,$W$9:$W$108,$E$10)</f>
        <v>0</v>
      </c>
      <c r="F11" s="439">
        <f>SUMIFS($M$9:$M$108,$O$9:$O$108,$B11,$W$9:$W$108,$F$10)</f>
        <v>1</v>
      </c>
      <c r="G11" s="439">
        <f>SUMIFS($M$9:$M$108,$O$9:$O$108,$B11,$W$9:$W$108,$G$10)</f>
        <v>0</v>
      </c>
      <c r="I11" s="451">
        <f t="shared" ref="I11:I42" si="0">IF($L11="","",$I10+1)</f>
        <v>2</v>
      </c>
      <c r="J11" s="450" t="s">
        <v>213</v>
      </c>
      <c r="K11" s="449" t="s">
        <v>179</v>
      </c>
      <c r="L11" s="424" t="s">
        <v>208</v>
      </c>
      <c r="M11" s="425">
        <v>1</v>
      </c>
      <c r="N11" s="426" t="s">
        <v>214</v>
      </c>
      <c r="O11" s="427" t="s">
        <v>210</v>
      </c>
      <c r="P11" s="421"/>
      <c r="Q11" s="422"/>
      <c r="R11" s="421" t="s">
        <v>45</v>
      </c>
      <c r="S11" s="423">
        <v>203.4</v>
      </c>
      <c r="T11" s="421"/>
      <c r="U11" s="423"/>
      <c r="V11" s="423"/>
      <c r="W11" s="453" t="str">
        <f>IFERROR(VLOOKUP($P11, dropdown!$S$4:$T$15, 2, FALSE),
 IFERROR(VLOOKUP($R11, dropdown!$S$4:$T$15, 2, FALSE),
 IFERROR(VLOOKUP($T11, dropdown!$S$4:$T$15, 2, FALSE),
 "")))</f>
        <v>Q3</v>
      </c>
      <c r="X11" s="430"/>
      <c r="Y11" s="55"/>
      <c r="AB11" s="11"/>
      <c r="AE11" s="11"/>
    </row>
    <row r="12" spans="2:31" x14ac:dyDescent="0.2">
      <c r="B12" s="17" t="s">
        <v>204</v>
      </c>
      <c r="C12" s="17" t="s">
        <v>212</v>
      </c>
      <c r="D12" s="439">
        <f>SUMIFS($M$9:$M$108,$O$9:$O$108,$B12,$W$9:$W$108,$D$10)</f>
        <v>12</v>
      </c>
      <c r="E12" s="439">
        <f>SUMIFS($M$9:$M$108,$O$9:$O$108,$B12,$W$9:$W$108,$E$10)</f>
        <v>3</v>
      </c>
      <c r="F12" s="439">
        <f>SUMIFS($M$9:$M$108,$O$9:$O$108,$B12,$W$9:$W$108,$F$10)</f>
        <v>6</v>
      </c>
      <c r="G12" s="439">
        <f>SUMIFS($M$9:$M$108,$O$9:$O$108,$B12,$W$9:$W$108,$G$10)</f>
        <v>1</v>
      </c>
      <c r="I12" s="451">
        <f t="shared" si="0"/>
        <v>3</v>
      </c>
      <c r="J12" s="450" t="s">
        <v>181</v>
      </c>
      <c r="K12" s="449" t="s">
        <v>179</v>
      </c>
      <c r="L12" s="424" t="s">
        <v>215</v>
      </c>
      <c r="M12" s="425">
        <v>3</v>
      </c>
      <c r="N12" s="426" t="s">
        <v>214</v>
      </c>
      <c r="O12" s="427" t="s">
        <v>210</v>
      </c>
      <c r="P12" s="421"/>
      <c r="Q12" s="422"/>
      <c r="R12" s="421" t="s">
        <v>197</v>
      </c>
      <c r="S12" s="423">
        <v>33.9</v>
      </c>
      <c r="T12" s="421"/>
      <c r="U12" s="423"/>
      <c r="V12" s="423"/>
      <c r="W12" s="453" t="str">
        <f>IFERROR(VLOOKUP($P12, dropdown!$S$4:$T$15, 2, FALSE),
 IFERROR(VLOOKUP($R12, dropdown!$S$4:$T$15, 2, FALSE),
 IFERROR(VLOOKUP($T12, dropdown!$S$4:$T$15, 2, FALSE),
 "")))</f>
        <v>Q2</v>
      </c>
      <c r="X12" s="430"/>
      <c r="Y12" s="55"/>
      <c r="AB12" s="11"/>
      <c r="AE12" s="11"/>
    </row>
    <row r="13" spans="2:31" x14ac:dyDescent="0.2">
      <c r="B13" s="17" t="s">
        <v>89</v>
      </c>
      <c r="C13" s="17" t="s">
        <v>212</v>
      </c>
      <c r="D13" s="439">
        <f>SUMIFS($M$9:$M$108,$O$9:$O$108,$B13,$W$9:$W$108,$D$10)</f>
        <v>0</v>
      </c>
      <c r="E13" s="439">
        <f>SUMIFS($M$9:$M$108,$O$9:$O$108,$B13,$W$9:$W$108,$E$10)</f>
        <v>0</v>
      </c>
      <c r="F13" s="439">
        <f>SUMIFS($M$9:$M$108,$O$9:$O$108,$B13,$W$9:$W$108,$F$10)</f>
        <v>0</v>
      </c>
      <c r="G13" s="439">
        <f>SUMIFS($M$9:$M$108,$O$9:$O$108,$B13,$W$9:$W$108,$G$10)</f>
        <v>0</v>
      </c>
      <c r="I13" s="451">
        <f t="shared" si="0"/>
        <v>4</v>
      </c>
      <c r="J13" s="450" t="s">
        <v>181</v>
      </c>
      <c r="K13" s="449" t="s">
        <v>179</v>
      </c>
      <c r="L13" s="424" t="s">
        <v>215</v>
      </c>
      <c r="M13" s="425">
        <v>5</v>
      </c>
      <c r="N13" s="426" t="s">
        <v>214</v>
      </c>
      <c r="O13" s="427" t="s">
        <v>210</v>
      </c>
      <c r="P13" s="421"/>
      <c r="Q13" s="422"/>
      <c r="R13" s="421" t="s">
        <v>45</v>
      </c>
      <c r="S13" s="423">
        <v>56.5</v>
      </c>
      <c r="T13" s="421"/>
      <c r="U13" s="423"/>
      <c r="V13" s="423"/>
      <c r="W13" s="453" t="str">
        <f>IFERROR(VLOOKUP($P13, dropdown!$S$4:$T$15, 2, FALSE),
 IFERROR(VLOOKUP($R13, dropdown!$S$4:$T$15, 2, FALSE),
 IFERROR(VLOOKUP($T13, dropdown!$S$4:$T$15, 2, FALSE),
 "")))</f>
        <v>Q3</v>
      </c>
      <c r="X13" s="430"/>
      <c r="AB13" s="11"/>
      <c r="AE13" s="11"/>
    </row>
    <row r="14" spans="2:31" ht="17" customHeight="1" x14ac:dyDescent="0.2">
      <c r="D14" s="181" t="str">
        <f>IF(SUM(D$11:D$13)&gt;0,"x","")</f>
        <v>x</v>
      </c>
      <c r="E14" s="181" t="str">
        <f t="shared" ref="E14:G14" si="1">IF(SUM(E$11:E$13)&gt;0,"x","")</f>
        <v>x</v>
      </c>
      <c r="F14" s="181" t="str">
        <f t="shared" si="1"/>
        <v>x</v>
      </c>
      <c r="G14" s="181" t="str">
        <f t="shared" si="1"/>
        <v>x</v>
      </c>
      <c r="I14" s="451">
        <f t="shared" si="0"/>
        <v>5</v>
      </c>
      <c r="J14" s="450" t="s">
        <v>181</v>
      </c>
      <c r="K14" s="449" t="s">
        <v>179</v>
      </c>
      <c r="L14" s="424" t="s">
        <v>208</v>
      </c>
      <c r="M14" s="425">
        <v>1</v>
      </c>
      <c r="N14" s="426" t="s">
        <v>214</v>
      </c>
      <c r="O14" s="427" t="s">
        <v>211</v>
      </c>
      <c r="P14" s="421" t="s">
        <v>45</v>
      </c>
      <c r="Q14" s="422">
        <v>195</v>
      </c>
      <c r="R14" s="421"/>
      <c r="S14" s="423"/>
      <c r="T14" s="421"/>
      <c r="U14" s="423"/>
      <c r="V14" s="423"/>
      <c r="W14" s="453" t="str">
        <f>IFERROR(VLOOKUP($P14, dropdown!$S$4:$T$15, 2, FALSE),
 IFERROR(VLOOKUP($R14, dropdown!$S$4:$T$15, 2, FALSE),
 IFERROR(VLOOKUP($T14, dropdown!$S$4:$T$15, 2, FALSE),
 "")))</f>
        <v>Q3</v>
      </c>
      <c r="X14" s="430"/>
      <c r="AB14" s="11"/>
      <c r="AE14" s="11"/>
    </row>
    <row r="15" spans="2:31" ht="17" customHeight="1" x14ac:dyDescent="0.2">
      <c r="B15" s="125" t="s">
        <v>42</v>
      </c>
      <c r="I15" s="451">
        <f t="shared" si="0"/>
        <v>6</v>
      </c>
      <c r="J15" s="450" t="s">
        <v>181</v>
      </c>
      <c r="K15" s="449" t="s">
        <v>179</v>
      </c>
      <c r="L15" s="424" t="s">
        <v>215</v>
      </c>
      <c r="M15" s="425">
        <v>8</v>
      </c>
      <c r="N15" s="426" t="s">
        <v>216</v>
      </c>
      <c r="O15" s="427" t="s">
        <v>210</v>
      </c>
      <c r="P15" s="421"/>
      <c r="Q15" s="422"/>
      <c r="R15" s="421" t="s">
        <v>180</v>
      </c>
      <c r="S15" s="423">
        <v>108.8</v>
      </c>
      <c r="T15" s="421"/>
      <c r="U15" s="423"/>
      <c r="V15" s="423"/>
      <c r="W15" s="453" t="str">
        <f>IFERROR(VLOOKUP($P15, dropdown!$S$4:$T$15, 2, FALSE),
 IFERROR(VLOOKUP($R15, dropdown!$S$4:$T$15, 2, FALSE),
 IFERROR(VLOOKUP($T15, dropdown!$S$4:$T$15, 2, FALSE),
 "")))</f>
        <v>Q1</v>
      </c>
      <c r="X15" s="430"/>
      <c r="AB15" s="11"/>
      <c r="AE15" s="11"/>
    </row>
    <row r="16" spans="2:31" ht="14" x14ac:dyDescent="0.2">
      <c r="B16" s="126" t="s">
        <v>186</v>
      </c>
      <c r="I16" s="451">
        <f t="shared" si="0"/>
        <v>7</v>
      </c>
      <c r="J16" s="450" t="s">
        <v>181</v>
      </c>
      <c r="K16" s="449" t="s">
        <v>179</v>
      </c>
      <c r="L16" s="424" t="s">
        <v>215</v>
      </c>
      <c r="M16" s="425">
        <v>1</v>
      </c>
      <c r="N16" s="426" t="s">
        <v>216</v>
      </c>
      <c r="O16" s="427" t="s">
        <v>210</v>
      </c>
      <c r="P16" s="421"/>
      <c r="Q16" s="422"/>
      <c r="R16" s="421" t="s">
        <v>200</v>
      </c>
      <c r="S16" s="423">
        <v>13.6</v>
      </c>
      <c r="T16" s="421"/>
      <c r="U16" s="423"/>
      <c r="V16" s="423"/>
      <c r="W16" s="453" t="str">
        <f>IFERROR(VLOOKUP($P16, dropdown!$S$4:$T$15, 2, FALSE),
 IFERROR(VLOOKUP($R16, dropdown!$S$4:$T$15, 2, FALSE),
 IFERROR(VLOOKUP($T16, dropdown!$S$4:$T$15, 2, FALSE),
 "")))</f>
        <v>Q4</v>
      </c>
      <c r="X16" s="430"/>
      <c r="AB16" s="11"/>
      <c r="AE16" s="11"/>
    </row>
    <row r="17" spans="2:31" ht="15" customHeight="1" x14ac:dyDescent="0.2">
      <c r="B17" s="127" t="s">
        <v>187</v>
      </c>
      <c r="I17" s="451">
        <f t="shared" si="0"/>
        <v>8</v>
      </c>
      <c r="J17" s="450" t="s">
        <v>181</v>
      </c>
      <c r="K17" s="449" t="s">
        <v>179</v>
      </c>
      <c r="L17" s="424" t="s">
        <v>215</v>
      </c>
      <c r="M17" s="425">
        <v>3</v>
      </c>
      <c r="N17" s="426" t="s">
        <v>217</v>
      </c>
      <c r="O17" s="427" t="s">
        <v>210</v>
      </c>
      <c r="P17" s="421"/>
      <c r="Q17" s="422"/>
      <c r="R17" s="421" t="s">
        <v>180</v>
      </c>
      <c r="S17" s="423">
        <v>40.799999999999997</v>
      </c>
      <c r="T17" s="421"/>
      <c r="U17" s="423"/>
      <c r="V17" s="423"/>
      <c r="W17" s="453" t="str">
        <f>IFERROR(VLOOKUP($P17, dropdown!$S$4:$T$15, 2, FALSE),
 IFERROR(VLOOKUP($R17, dropdown!$S$4:$T$15, 2, FALSE),
 IFERROR(VLOOKUP($T17, dropdown!$S$4:$T$15, 2, FALSE),
 "")))</f>
        <v>Q1</v>
      </c>
      <c r="X17" s="430"/>
      <c r="AB17" s="11"/>
      <c r="AE17" s="11"/>
    </row>
    <row r="18" spans="2:31" ht="15" customHeight="1" x14ac:dyDescent="0.2">
      <c r="B18" s="128" t="s">
        <v>188</v>
      </c>
      <c r="I18" s="451" t="str">
        <f t="shared" si="0"/>
        <v/>
      </c>
      <c r="J18" s="430"/>
      <c r="K18" s="449"/>
      <c r="L18" s="424"/>
      <c r="M18" s="425"/>
      <c r="N18" s="426"/>
      <c r="O18" s="427"/>
      <c r="P18" s="421"/>
      <c r="Q18" s="422"/>
      <c r="R18" s="421"/>
      <c r="S18" s="423"/>
      <c r="T18" s="421"/>
      <c r="U18" s="423"/>
      <c r="V18" s="423"/>
      <c r="W18" s="453" t="str">
        <f>IFERROR(VLOOKUP($P18, dropdown!$S$4:$T$15, 2, FALSE),
 IFERROR(VLOOKUP($R18, dropdown!$S$4:$T$15, 2, FALSE),
 IFERROR(VLOOKUP($T18, dropdown!$S$4:$T$15, 2, FALSE),
 "")))</f>
        <v/>
      </c>
      <c r="X18" s="430"/>
      <c r="AB18" s="11"/>
      <c r="AE18" s="11"/>
    </row>
    <row r="19" spans="2:31" ht="27" x14ac:dyDescent="0.2">
      <c r="B19" s="384" t="s">
        <v>218</v>
      </c>
      <c r="I19" s="451" t="str">
        <f t="shared" si="0"/>
        <v/>
      </c>
      <c r="J19" s="430"/>
      <c r="K19" s="449"/>
      <c r="L19" s="424"/>
      <c r="M19" s="425"/>
      <c r="N19" s="426"/>
      <c r="O19" s="427"/>
      <c r="P19" s="421"/>
      <c r="Q19" s="422"/>
      <c r="R19" s="421"/>
      <c r="S19" s="423"/>
      <c r="T19" s="421"/>
      <c r="U19" s="423"/>
      <c r="V19" s="423"/>
      <c r="W19" s="453" t="str">
        <f>IFERROR(VLOOKUP($P19, dropdown!$S$4:$T$15, 2, FALSE),
 IFERROR(VLOOKUP($R19, dropdown!$S$4:$T$15, 2, FALSE),
 IFERROR(VLOOKUP($T19, dropdown!$S$4:$T$15, 2, FALSE),
 "")))</f>
        <v/>
      </c>
      <c r="X19" s="430"/>
      <c r="AB19" s="11"/>
      <c r="AE19" s="11"/>
    </row>
    <row r="20" spans="2:31" ht="14" x14ac:dyDescent="0.2">
      <c r="I20" s="451" t="str">
        <f t="shared" si="0"/>
        <v/>
      </c>
      <c r="J20" s="430"/>
      <c r="K20" s="449"/>
      <c r="L20" s="424"/>
      <c r="M20" s="425"/>
      <c r="N20" s="426"/>
      <c r="O20" s="427"/>
      <c r="P20" s="421"/>
      <c r="Q20" s="422"/>
      <c r="R20" s="421"/>
      <c r="S20" s="423"/>
      <c r="T20" s="421"/>
      <c r="U20" s="423"/>
      <c r="V20" s="423"/>
      <c r="W20" s="453" t="str">
        <f>IFERROR(VLOOKUP($P20, dropdown!$S$4:$T$15, 2, FALSE),
 IFERROR(VLOOKUP($R20, dropdown!$S$4:$T$15, 2, FALSE),
 IFERROR(VLOOKUP($T20, dropdown!$S$4:$T$15, 2, FALSE),
 "")))</f>
        <v/>
      </c>
      <c r="X20" s="430"/>
      <c r="AB20" s="11"/>
      <c r="AE20" s="11"/>
    </row>
    <row r="21" spans="2:31" ht="14" x14ac:dyDescent="0.2">
      <c r="B21" s="171" t="s">
        <v>219</v>
      </c>
      <c r="I21" s="451" t="str">
        <f t="shared" si="0"/>
        <v/>
      </c>
      <c r="J21" s="430"/>
      <c r="K21" s="449"/>
      <c r="L21" s="424"/>
      <c r="M21" s="425"/>
      <c r="N21" s="426"/>
      <c r="O21" s="427"/>
      <c r="P21" s="421"/>
      <c r="Q21" s="422"/>
      <c r="R21" s="421"/>
      <c r="S21" s="423"/>
      <c r="T21" s="421"/>
      <c r="U21" s="423"/>
      <c r="V21" s="423"/>
      <c r="W21" s="453" t="str">
        <f>IFERROR(VLOOKUP($P21, dropdown!$S$4:$T$15, 2, FALSE),
 IFERROR(VLOOKUP($R21, dropdown!$S$4:$T$15, 2, FALSE),
 IFERROR(VLOOKUP($T21, dropdown!$S$4:$T$15, 2, FALSE),
 "")))</f>
        <v/>
      </c>
      <c r="X21" s="430"/>
      <c r="AB21" s="11"/>
      <c r="AE21" s="11"/>
    </row>
    <row r="22" spans="2:31" ht="14" x14ac:dyDescent="0.2">
      <c r="B22" s="469" t="s">
        <v>220</v>
      </c>
      <c r="C22" s="471" t="s">
        <v>5</v>
      </c>
      <c r="D22" s="472"/>
      <c r="E22" s="471" t="s">
        <v>221</v>
      </c>
      <c r="F22" s="473"/>
      <c r="G22" s="473"/>
      <c r="I22" s="451" t="str">
        <f t="shared" si="0"/>
        <v/>
      </c>
      <c r="J22" s="430"/>
      <c r="K22" s="449"/>
      <c r="L22" s="424"/>
      <c r="M22" s="425"/>
      <c r="N22" s="426"/>
      <c r="O22" s="427"/>
      <c r="P22" s="421"/>
      <c r="Q22" s="422"/>
      <c r="R22" s="421"/>
      <c r="S22" s="423"/>
      <c r="T22" s="421"/>
      <c r="U22" s="423"/>
      <c r="V22" s="423"/>
      <c r="W22" s="453" t="str">
        <f>IFERROR(VLOOKUP($P22, dropdown!$S$4:$T$15, 2, FALSE),
 IFERROR(VLOOKUP($R22, dropdown!$S$4:$T$15, 2, FALSE),
 IFERROR(VLOOKUP($T22, dropdown!$S$4:$T$15, 2, FALSE),
 "")))</f>
        <v/>
      </c>
      <c r="X22" s="430"/>
      <c r="AB22" s="11"/>
      <c r="AE22" s="11"/>
    </row>
    <row r="23" spans="2:31" ht="14" x14ac:dyDescent="0.2">
      <c r="B23" s="470"/>
      <c r="C23" s="471"/>
      <c r="D23" s="472"/>
      <c r="E23" s="471"/>
      <c r="F23" s="473"/>
      <c r="G23" s="473"/>
      <c r="I23" s="451" t="str">
        <f t="shared" si="0"/>
        <v/>
      </c>
      <c r="J23" s="430"/>
      <c r="K23" s="449"/>
      <c r="L23" s="424"/>
      <c r="M23" s="425"/>
      <c r="N23" s="426"/>
      <c r="O23" s="427"/>
      <c r="P23" s="421"/>
      <c r="Q23" s="422"/>
      <c r="R23" s="421"/>
      <c r="S23" s="423"/>
      <c r="T23" s="421"/>
      <c r="U23" s="423"/>
      <c r="V23" s="423"/>
      <c r="W23" s="453" t="str">
        <f>IFERROR(VLOOKUP($P23, dropdown!$S$4:$T$15, 2, FALSE),
 IFERROR(VLOOKUP($R23, dropdown!$S$4:$T$15, 2, FALSE),
 IFERROR(VLOOKUP($T23, dropdown!$S$4:$T$15, 2, FALSE),
 "")))</f>
        <v/>
      </c>
      <c r="X23" s="430"/>
      <c r="AB23" s="11"/>
      <c r="AE23" s="11"/>
    </row>
    <row r="24" spans="2:31" ht="14" x14ac:dyDescent="0.2">
      <c r="B24" s="468" t="s">
        <v>222</v>
      </c>
      <c r="C24" s="468" t="s">
        <v>223</v>
      </c>
      <c r="D24" s="468"/>
      <c r="E24" s="468" t="s">
        <v>224</v>
      </c>
      <c r="F24" s="468"/>
      <c r="G24" s="468"/>
      <c r="I24" s="451" t="str">
        <f t="shared" si="0"/>
        <v/>
      </c>
      <c r="J24" s="430"/>
      <c r="K24" s="449"/>
      <c r="L24" s="424"/>
      <c r="M24" s="425"/>
      <c r="N24" s="426"/>
      <c r="O24" s="427"/>
      <c r="P24" s="421"/>
      <c r="Q24" s="422"/>
      <c r="R24" s="421"/>
      <c r="S24" s="423"/>
      <c r="T24" s="421"/>
      <c r="U24" s="423"/>
      <c r="V24" s="423"/>
      <c r="W24" s="453" t="str">
        <f>IFERROR(VLOOKUP($P24, dropdown!$S$4:$T$15, 2, FALSE),
 IFERROR(VLOOKUP($R24, dropdown!$S$4:$T$15, 2, FALSE),
 IFERROR(VLOOKUP($T24, dropdown!$S$4:$T$15, 2, FALSE),
 "")))</f>
        <v/>
      </c>
      <c r="X24" s="430"/>
      <c r="Y24" s="55"/>
      <c r="AB24" s="11"/>
      <c r="AE24" s="11"/>
    </row>
    <row r="25" spans="2:31" ht="14" x14ac:dyDescent="0.2">
      <c r="B25" s="468"/>
      <c r="C25" s="468"/>
      <c r="D25" s="468"/>
      <c r="E25" s="468"/>
      <c r="F25" s="468"/>
      <c r="G25" s="468"/>
      <c r="I25" s="451" t="str">
        <f t="shared" si="0"/>
        <v/>
      </c>
      <c r="J25" s="430"/>
      <c r="K25" s="449"/>
      <c r="L25" s="424"/>
      <c r="M25" s="425"/>
      <c r="N25" s="426"/>
      <c r="O25" s="427"/>
      <c r="P25" s="421"/>
      <c r="Q25" s="422"/>
      <c r="R25" s="421"/>
      <c r="S25" s="423"/>
      <c r="T25" s="421"/>
      <c r="U25" s="423"/>
      <c r="V25" s="423"/>
      <c r="W25" s="453" t="str">
        <f>IFERROR(VLOOKUP($P25, dropdown!$S$4:$T$15, 2, FALSE),
 IFERROR(VLOOKUP($R25, dropdown!$S$4:$T$15, 2, FALSE),
 IFERROR(VLOOKUP($T25, dropdown!$S$4:$T$15, 2, FALSE),
 "")))</f>
        <v/>
      </c>
      <c r="X25" s="430"/>
      <c r="Y25" s="55"/>
      <c r="AB25" s="11"/>
      <c r="AE25" s="11"/>
    </row>
    <row r="26" spans="2:31" ht="14" x14ac:dyDescent="0.2">
      <c r="B26" s="468" t="s">
        <v>208</v>
      </c>
      <c r="C26" s="468" t="s">
        <v>225</v>
      </c>
      <c r="D26" s="468"/>
      <c r="E26" s="468" t="s">
        <v>226</v>
      </c>
      <c r="F26" s="468"/>
      <c r="G26" s="468"/>
      <c r="I26" s="451" t="str">
        <f t="shared" si="0"/>
        <v/>
      </c>
      <c r="J26" s="430"/>
      <c r="K26" s="449"/>
      <c r="L26" s="424"/>
      <c r="M26" s="425"/>
      <c r="N26" s="426"/>
      <c r="O26" s="427"/>
      <c r="P26" s="421"/>
      <c r="Q26" s="422"/>
      <c r="R26" s="421"/>
      <c r="S26" s="423"/>
      <c r="T26" s="421"/>
      <c r="U26" s="423"/>
      <c r="V26" s="423"/>
      <c r="W26" s="453" t="str">
        <f>IFERROR(VLOOKUP($P26, dropdown!$S$4:$T$15, 2, FALSE),
 IFERROR(VLOOKUP($R26, dropdown!$S$4:$T$15, 2, FALSE),
 IFERROR(VLOOKUP($T26, dropdown!$S$4:$T$15, 2, FALSE),
 "")))</f>
        <v/>
      </c>
      <c r="X26" s="430"/>
      <c r="Y26" s="55"/>
      <c r="AB26" s="11"/>
      <c r="AE26" s="11"/>
    </row>
    <row r="27" spans="2:31" ht="14" x14ac:dyDescent="0.2">
      <c r="B27" s="468"/>
      <c r="C27" s="468"/>
      <c r="D27" s="468"/>
      <c r="E27" s="468"/>
      <c r="F27" s="468"/>
      <c r="G27" s="468"/>
      <c r="I27" s="451" t="str">
        <f t="shared" si="0"/>
        <v/>
      </c>
      <c r="J27" s="430"/>
      <c r="K27" s="449"/>
      <c r="L27" s="424"/>
      <c r="M27" s="425"/>
      <c r="N27" s="426"/>
      <c r="O27" s="427"/>
      <c r="P27" s="421"/>
      <c r="Q27" s="422"/>
      <c r="R27" s="421"/>
      <c r="S27" s="423"/>
      <c r="T27" s="421"/>
      <c r="U27" s="423"/>
      <c r="V27" s="423"/>
      <c r="W27" s="453" t="str">
        <f>IFERROR(VLOOKUP($P27, dropdown!$S$4:$T$15, 2, FALSE),
 IFERROR(VLOOKUP($R27, dropdown!$S$4:$T$15, 2, FALSE),
 IFERROR(VLOOKUP($T27, dropdown!$S$4:$T$15, 2, FALSE),
 "")))</f>
        <v/>
      </c>
      <c r="X27" s="430"/>
      <c r="Y27" s="55"/>
      <c r="AB27" s="11"/>
      <c r="AE27" s="11"/>
    </row>
    <row r="28" spans="2:31" ht="14" x14ac:dyDescent="0.2">
      <c r="B28" s="468" t="s">
        <v>215</v>
      </c>
      <c r="C28" s="468" t="s">
        <v>227</v>
      </c>
      <c r="D28" s="468"/>
      <c r="E28" s="468" t="s">
        <v>228</v>
      </c>
      <c r="F28" s="468"/>
      <c r="G28" s="468"/>
      <c r="I28" s="451" t="str">
        <f t="shared" si="0"/>
        <v/>
      </c>
      <c r="J28" s="430"/>
      <c r="K28" s="449"/>
      <c r="L28" s="424"/>
      <c r="M28" s="425"/>
      <c r="N28" s="426"/>
      <c r="O28" s="427"/>
      <c r="P28" s="421"/>
      <c r="Q28" s="422"/>
      <c r="R28" s="421"/>
      <c r="S28" s="423"/>
      <c r="T28" s="421"/>
      <c r="U28" s="423"/>
      <c r="V28" s="423"/>
      <c r="W28" s="453" t="str">
        <f>IFERROR(VLOOKUP($P28, dropdown!$S$4:$T$15, 2, FALSE),
 IFERROR(VLOOKUP($R28, dropdown!$S$4:$T$15, 2, FALSE),
 IFERROR(VLOOKUP($T28, dropdown!$S$4:$T$15, 2, FALSE),
 "")))</f>
        <v/>
      </c>
      <c r="X28" s="430"/>
      <c r="Y28" s="55"/>
      <c r="AB28" s="11"/>
      <c r="AE28" s="11"/>
    </row>
    <row r="29" spans="2:31" ht="14" x14ac:dyDescent="0.2">
      <c r="B29" s="468"/>
      <c r="C29" s="468"/>
      <c r="D29" s="468"/>
      <c r="E29" s="468"/>
      <c r="F29" s="468"/>
      <c r="G29" s="468"/>
      <c r="I29" s="451" t="str">
        <f t="shared" si="0"/>
        <v/>
      </c>
      <c r="J29" s="430"/>
      <c r="K29" s="449"/>
      <c r="L29" s="424"/>
      <c r="M29" s="425"/>
      <c r="N29" s="426"/>
      <c r="O29" s="427"/>
      <c r="P29" s="421"/>
      <c r="Q29" s="422"/>
      <c r="R29" s="421"/>
      <c r="S29" s="423"/>
      <c r="T29" s="421"/>
      <c r="U29" s="423"/>
      <c r="V29" s="423"/>
      <c r="W29" s="453" t="str">
        <f>IFERROR(VLOOKUP($P29, dropdown!$S$4:$T$15, 2, FALSE),
 IFERROR(VLOOKUP($R29, dropdown!$S$4:$T$15, 2, FALSE),
 IFERROR(VLOOKUP($T29, dropdown!$S$4:$T$15, 2, FALSE),
 "")))</f>
        <v/>
      </c>
      <c r="X29" s="430"/>
      <c r="Y29" s="55"/>
      <c r="AB29" s="11"/>
      <c r="AE29" s="11"/>
    </row>
    <row r="30" spans="2:31" ht="14" x14ac:dyDescent="0.2">
      <c r="B30" s="468" t="s">
        <v>229</v>
      </c>
      <c r="C30" s="468" t="s">
        <v>230</v>
      </c>
      <c r="D30" s="468"/>
      <c r="E30" s="468" t="s">
        <v>231</v>
      </c>
      <c r="F30" s="468"/>
      <c r="G30" s="468"/>
      <c r="I30" s="451" t="str">
        <f t="shared" si="0"/>
        <v/>
      </c>
      <c r="J30" s="430"/>
      <c r="K30" s="449"/>
      <c r="L30" s="424"/>
      <c r="M30" s="425"/>
      <c r="N30" s="426"/>
      <c r="O30" s="427"/>
      <c r="P30" s="421"/>
      <c r="Q30" s="422"/>
      <c r="R30" s="421"/>
      <c r="S30" s="423"/>
      <c r="T30" s="421"/>
      <c r="U30" s="423"/>
      <c r="V30" s="423"/>
      <c r="W30" s="453" t="str">
        <f>IFERROR(VLOOKUP($P30, dropdown!$S$4:$T$15, 2, FALSE),
 IFERROR(VLOOKUP($R30, dropdown!$S$4:$T$15, 2, FALSE),
 IFERROR(VLOOKUP($T30, dropdown!$S$4:$T$15, 2, FALSE),
 "")))</f>
        <v/>
      </c>
      <c r="X30" s="430"/>
      <c r="Y30" s="55"/>
      <c r="AB30" s="11"/>
      <c r="AE30" s="11"/>
    </row>
    <row r="31" spans="2:31" ht="14" x14ac:dyDescent="0.2">
      <c r="B31" s="468"/>
      <c r="C31" s="468"/>
      <c r="D31" s="468"/>
      <c r="E31" s="468"/>
      <c r="F31" s="468"/>
      <c r="G31" s="468"/>
      <c r="I31" s="451" t="str">
        <f t="shared" si="0"/>
        <v/>
      </c>
      <c r="J31" s="430"/>
      <c r="K31" s="449"/>
      <c r="L31" s="424"/>
      <c r="M31" s="425"/>
      <c r="N31" s="426"/>
      <c r="O31" s="427"/>
      <c r="P31" s="421"/>
      <c r="Q31" s="422"/>
      <c r="R31" s="421"/>
      <c r="S31" s="423"/>
      <c r="T31" s="421"/>
      <c r="U31" s="423"/>
      <c r="V31" s="423"/>
      <c r="W31" s="453" t="str">
        <f>IFERROR(VLOOKUP($P31, dropdown!$S$4:$T$15, 2, FALSE),
 IFERROR(VLOOKUP($R31, dropdown!$S$4:$T$15, 2, FALSE),
 IFERROR(VLOOKUP($T31, dropdown!$S$4:$T$15, 2, FALSE),
 "")))</f>
        <v/>
      </c>
      <c r="X31" s="430"/>
      <c r="Y31" s="55"/>
      <c r="AB31" s="11"/>
      <c r="AE31" s="11"/>
    </row>
    <row r="32" spans="2:31" ht="22.5" customHeight="1" x14ac:dyDescent="0.2">
      <c r="I32" s="451" t="str">
        <f t="shared" si="0"/>
        <v/>
      </c>
      <c r="J32" s="430"/>
      <c r="K32" s="449"/>
      <c r="L32" s="424"/>
      <c r="M32" s="425"/>
      <c r="N32" s="426"/>
      <c r="O32" s="427"/>
      <c r="P32" s="421"/>
      <c r="Q32" s="422"/>
      <c r="R32" s="421"/>
      <c r="S32" s="423"/>
      <c r="T32" s="421"/>
      <c r="U32" s="423"/>
      <c r="V32" s="423"/>
      <c r="W32" s="453" t="str">
        <f>IFERROR(VLOOKUP($P32, dropdown!$S$4:$T$15, 2, FALSE),
 IFERROR(VLOOKUP($R32, dropdown!$S$4:$T$15, 2, FALSE),
 IFERROR(VLOOKUP($T32, dropdown!$S$4:$T$15, 2, FALSE),
 "")))</f>
        <v/>
      </c>
      <c r="X32" s="430"/>
      <c r="Y32" s="55"/>
      <c r="AB32" s="11"/>
      <c r="AE32" s="11"/>
    </row>
    <row r="33" spans="9:31" ht="14" x14ac:dyDescent="0.2">
      <c r="I33" s="451" t="str">
        <f t="shared" si="0"/>
        <v/>
      </c>
      <c r="J33" s="430"/>
      <c r="K33" s="449"/>
      <c r="L33" s="424"/>
      <c r="M33" s="425"/>
      <c r="N33" s="426"/>
      <c r="O33" s="427"/>
      <c r="P33" s="421"/>
      <c r="Q33" s="422"/>
      <c r="R33" s="421"/>
      <c r="S33" s="423"/>
      <c r="T33" s="421"/>
      <c r="U33" s="423"/>
      <c r="V33" s="423"/>
      <c r="W33" s="453" t="str">
        <f>IFERROR(VLOOKUP($P33, dropdown!$S$4:$T$15, 2, FALSE),
 IFERROR(VLOOKUP($R33, dropdown!$S$4:$T$15, 2, FALSE),
 IFERROR(VLOOKUP($T33, dropdown!$S$4:$T$15, 2, FALSE),
 "")))</f>
        <v/>
      </c>
      <c r="X33" s="430"/>
      <c r="Y33" s="55"/>
      <c r="AB33" s="11"/>
      <c r="AE33" s="11"/>
    </row>
    <row r="34" spans="9:31" ht="15" customHeight="1" x14ac:dyDescent="0.2">
      <c r="I34" s="451" t="str">
        <f t="shared" si="0"/>
        <v/>
      </c>
      <c r="J34" s="430"/>
      <c r="K34" s="449"/>
      <c r="L34" s="424"/>
      <c r="M34" s="425"/>
      <c r="N34" s="426"/>
      <c r="O34" s="427"/>
      <c r="P34" s="421"/>
      <c r="Q34" s="422"/>
      <c r="R34" s="421"/>
      <c r="S34" s="423"/>
      <c r="T34" s="421"/>
      <c r="U34" s="423"/>
      <c r="V34" s="423"/>
      <c r="W34" s="453" t="str">
        <f>IFERROR(VLOOKUP($P34, dropdown!$S$4:$T$15, 2, FALSE),
 IFERROR(VLOOKUP($R34, dropdown!$S$4:$T$15, 2, FALSE),
 IFERROR(VLOOKUP($T34, dropdown!$S$4:$T$15, 2, FALSE),
 "")))</f>
        <v/>
      </c>
      <c r="X34" s="430"/>
      <c r="Y34" s="55"/>
      <c r="AB34" s="11"/>
      <c r="AE34" s="11"/>
    </row>
    <row r="35" spans="9:31" ht="14" x14ac:dyDescent="0.2">
      <c r="I35" s="451" t="str">
        <f t="shared" si="0"/>
        <v/>
      </c>
      <c r="J35" s="430"/>
      <c r="K35" s="449"/>
      <c r="L35" s="424"/>
      <c r="M35" s="425"/>
      <c r="N35" s="426"/>
      <c r="O35" s="427"/>
      <c r="P35" s="421"/>
      <c r="Q35" s="422"/>
      <c r="R35" s="421"/>
      <c r="S35" s="423"/>
      <c r="T35" s="421"/>
      <c r="U35" s="423"/>
      <c r="V35" s="423"/>
      <c r="W35" s="453" t="str">
        <f>IFERROR(VLOOKUP($P35, dropdown!$S$4:$T$15, 2, FALSE),
 IFERROR(VLOOKUP($R35, dropdown!$S$4:$T$15, 2, FALSE),
 IFERROR(VLOOKUP($T35, dropdown!$S$4:$T$15, 2, FALSE),
 "")))</f>
        <v/>
      </c>
      <c r="X35" s="430"/>
      <c r="Y35" s="55"/>
      <c r="AB35" s="11"/>
      <c r="AE35" s="11"/>
    </row>
    <row r="36" spans="9:31" ht="14" x14ac:dyDescent="0.2">
      <c r="I36" s="451" t="str">
        <f t="shared" si="0"/>
        <v/>
      </c>
      <c r="J36" s="430"/>
      <c r="K36" s="449"/>
      <c r="L36" s="424"/>
      <c r="M36" s="425"/>
      <c r="N36" s="426"/>
      <c r="O36" s="427"/>
      <c r="P36" s="421"/>
      <c r="Q36" s="422"/>
      <c r="R36" s="421"/>
      <c r="S36" s="423"/>
      <c r="T36" s="421"/>
      <c r="U36" s="423"/>
      <c r="V36" s="423"/>
      <c r="W36" s="453" t="str">
        <f>IFERROR(VLOOKUP($P36, dropdown!$S$4:$T$15, 2, FALSE),
 IFERROR(VLOOKUP($R36, dropdown!$S$4:$T$15, 2, FALSE),
 IFERROR(VLOOKUP($T36, dropdown!$S$4:$T$15, 2, FALSE),
 "")))</f>
        <v/>
      </c>
      <c r="X36" s="430"/>
      <c r="Y36" s="55"/>
      <c r="AB36" s="11"/>
      <c r="AE36" s="11"/>
    </row>
    <row r="37" spans="9:31" ht="14" x14ac:dyDescent="0.2">
      <c r="I37" s="451" t="str">
        <f t="shared" si="0"/>
        <v/>
      </c>
      <c r="J37" s="430"/>
      <c r="K37" s="449"/>
      <c r="L37" s="424"/>
      <c r="M37" s="425"/>
      <c r="N37" s="426"/>
      <c r="O37" s="427"/>
      <c r="P37" s="421"/>
      <c r="Q37" s="422"/>
      <c r="R37" s="421"/>
      <c r="S37" s="423"/>
      <c r="T37" s="421"/>
      <c r="U37" s="423"/>
      <c r="V37" s="423"/>
      <c r="W37" s="453" t="str">
        <f>IFERROR(VLOOKUP($P37, dropdown!$S$4:$T$15, 2, FALSE),
 IFERROR(VLOOKUP($R37, dropdown!$S$4:$T$15, 2, FALSE),
 IFERROR(VLOOKUP($T37, dropdown!$S$4:$T$15, 2, FALSE),
 "")))</f>
        <v/>
      </c>
      <c r="X37" s="430"/>
      <c r="Y37" s="55"/>
      <c r="AB37" s="11"/>
      <c r="AE37" s="11"/>
    </row>
    <row r="38" spans="9:31" ht="14" x14ac:dyDescent="0.2">
      <c r="I38" s="451" t="str">
        <f t="shared" si="0"/>
        <v/>
      </c>
      <c r="J38" s="430"/>
      <c r="K38" s="449"/>
      <c r="L38" s="424"/>
      <c r="M38" s="425"/>
      <c r="N38" s="426"/>
      <c r="O38" s="427"/>
      <c r="P38" s="421"/>
      <c r="Q38" s="422"/>
      <c r="R38" s="421"/>
      <c r="S38" s="423"/>
      <c r="T38" s="421"/>
      <c r="U38" s="423"/>
      <c r="V38" s="423"/>
      <c r="W38" s="453" t="str">
        <f>IFERROR(VLOOKUP($P38, dropdown!$S$4:$T$15, 2, FALSE),
 IFERROR(VLOOKUP($R38, dropdown!$S$4:$T$15, 2, FALSE),
 IFERROR(VLOOKUP($T38, dropdown!$S$4:$T$15, 2, FALSE),
 "")))</f>
        <v/>
      </c>
      <c r="X38" s="430"/>
      <c r="Y38" s="55"/>
      <c r="AB38" s="11"/>
      <c r="AE38" s="11"/>
    </row>
    <row r="39" spans="9:31" ht="14" x14ac:dyDescent="0.2">
      <c r="I39" s="451" t="str">
        <f t="shared" si="0"/>
        <v/>
      </c>
      <c r="J39" s="430"/>
      <c r="K39" s="449"/>
      <c r="L39" s="424"/>
      <c r="M39" s="425"/>
      <c r="N39" s="426"/>
      <c r="O39" s="427"/>
      <c r="P39" s="421"/>
      <c r="Q39" s="422"/>
      <c r="R39" s="421"/>
      <c r="S39" s="423"/>
      <c r="T39" s="421"/>
      <c r="U39" s="423"/>
      <c r="V39" s="423"/>
      <c r="W39" s="453" t="str">
        <f>IFERROR(VLOOKUP($P39, dropdown!$S$4:$T$15, 2, FALSE),
 IFERROR(VLOOKUP($R39, dropdown!$S$4:$T$15, 2, FALSE),
 IFERROR(VLOOKUP($T39, dropdown!$S$4:$T$15, 2, FALSE),
 "")))</f>
        <v/>
      </c>
      <c r="X39" s="430"/>
      <c r="Y39" s="55"/>
      <c r="AB39" s="11"/>
      <c r="AE39" s="11"/>
    </row>
    <row r="40" spans="9:31" ht="14" x14ac:dyDescent="0.2">
      <c r="I40" s="451" t="str">
        <f t="shared" si="0"/>
        <v/>
      </c>
      <c r="J40" s="430"/>
      <c r="K40" s="449"/>
      <c r="L40" s="424"/>
      <c r="M40" s="425"/>
      <c r="N40" s="426"/>
      <c r="O40" s="427"/>
      <c r="P40" s="421"/>
      <c r="Q40" s="422"/>
      <c r="R40" s="421"/>
      <c r="S40" s="423"/>
      <c r="T40" s="421"/>
      <c r="U40" s="423"/>
      <c r="V40" s="423"/>
      <c r="W40" s="453" t="str">
        <f>IFERROR(VLOOKUP($P40, dropdown!$S$4:$T$15, 2, FALSE),
 IFERROR(VLOOKUP($R40, dropdown!$S$4:$T$15, 2, FALSE),
 IFERROR(VLOOKUP($T40, dropdown!$S$4:$T$15, 2, FALSE),
 "")))</f>
        <v/>
      </c>
      <c r="X40" s="430"/>
      <c r="Y40" s="55"/>
      <c r="AB40" s="11"/>
      <c r="AE40" s="11"/>
    </row>
    <row r="41" spans="9:31" ht="14" x14ac:dyDescent="0.2">
      <c r="I41" s="451" t="str">
        <f t="shared" si="0"/>
        <v/>
      </c>
      <c r="J41" s="430"/>
      <c r="K41" s="449"/>
      <c r="L41" s="424"/>
      <c r="M41" s="425"/>
      <c r="N41" s="426"/>
      <c r="O41" s="427"/>
      <c r="P41" s="421"/>
      <c r="Q41" s="422"/>
      <c r="R41" s="421"/>
      <c r="S41" s="423"/>
      <c r="T41" s="421"/>
      <c r="U41" s="423"/>
      <c r="V41" s="423"/>
      <c r="W41" s="453" t="str">
        <f>IFERROR(VLOOKUP($P41, dropdown!$S$4:$T$15, 2, FALSE),
 IFERROR(VLOOKUP($R41, dropdown!$S$4:$T$15, 2, FALSE),
 IFERROR(VLOOKUP($T41, dropdown!$S$4:$T$15, 2, FALSE),
 "")))</f>
        <v/>
      </c>
      <c r="X41" s="430"/>
      <c r="Y41" s="55"/>
      <c r="AB41" s="11"/>
      <c r="AE41" s="11"/>
    </row>
    <row r="42" spans="9:31" ht="14" x14ac:dyDescent="0.2">
      <c r="I42" s="451" t="str">
        <f t="shared" si="0"/>
        <v/>
      </c>
      <c r="J42" s="430"/>
      <c r="K42" s="449"/>
      <c r="L42" s="424"/>
      <c r="M42" s="425"/>
      <c r="N42" s="426"/>
      <c r="O42" s="427"/>
      <c r="P42" s="421"/>
      <c r="Q42" s="422"/>
      <c r="R42" s="421"/>
      <c r="S42" s="423"/>
      <c r="T42" s="421"/>
      <c r="U42" s="423"/>
      <c r="V42" s="423"/>
      <c r="W42" s="453" t="str">
        <f>IFERROR(VLOOKUP($P42, dropdown!$S$4:$T$15, 2, FALSE),
 IFERROR(VLOOKUP($R42, dropdown!$S$4:$T$15, 2, FALSE),
 IFERROR(VLOOKUP($T42, dropdown!$S$4:$T$15, 2, FALSE),
 "")))</f>
        <v/>
      </c>
      <c r="X42" s="430"/>
      <c r="Y42" s="55"/>
      <c r="AB42" s="11"/>
      <c r="AE42" s="11"/>
    </row>
    <row r="43" spans="9:31" ht="14" x14ac:dyDescent="0.2">
      <c r="I43" s="451" t="str">
        <f t="shared" ref="I43:I74" si="2">IF($L43="","",$I42+1)</f>
        <v/>
      </c>
      <c r="J43" s="430"/>
      <c r="K43" s="449"/>
      <c r="L43" s="424"/>
      <c r="M43" s="425"/>
      <c r="N43" s="426"/>
      <c r="O43" s="427"/>
      <c r="P43" s="421"/>
      <c r="Q43" s="422"/>
      <c r="R43" s="421"/>
      <c r="S43" s="423"/>
      <c r="T43" s="421"/>
      <c r="U43" s="423"/>
      <c r="V43" s="423"/>
      <c r="W43" s="453" t="str">
        <f>IFERROR(VLOOKUP($P43, dropdown!$S$4:$T$15, 2, FALSE),
 IFERROR(VLOOKUP($R43, dropdown!$S$4:$T$15, 2, FALSE),
 IFERROR(VLOOKUP($T43, dropdown!$S$4:$T$15, 2, FALSE),
 "")))</f>
        <v/>
      </c>
      <c r="X43" s="430"/>
      <c r="Y43" s="55"/>
      <c r="AB43" s="11"/>
      <c r="AE43" s="11"/>
    </row>
    <row r="44" spans="9:31" ht="14" x14ac:dyDescent="0.2">
      <c r="I44" s="451" t="str">
        <f t="shared" si="2"/>
        <v/>
      </c>
      <c r="J44" s="430"/>
      <c r="K44" s="449"/>
      <c r="L44" s="424"/>
      <c r="M44" s="425"/>
      <c r="N44" s="426"/>
      <c r="O44" s="427"/>
      <c r="P44" s="421"/>
      <c r="Q44" s="422"/>
      <c r="R44" s="421"/>
      <c r="S44" s="423"/>
      <c r="T44" s="421"/>
      <c r="U44" s="423"/>
      <c r="V44" s="423"/>
      <c r="W44" s="453" t="str">
        <f>IFERROR(VLOOKUP($P44, dropdown!$S$4:$T$15, 2, FALSE),
 IFERROR(VLOOKUP($R44, dropdown!$S$4:$T$15, 2, FALSE),
 IFERROR(VLOOKUP($T44, dropdown!$S$4:$T$15, 2, FALSE),
 "")))</f>
        <v/>
      </c>
      <c r="X44" s="430"/>
      <c r="Y44" s="55"/>
      <c r="AB44" s="11"/>
      <c r="AE44" s="11"/>
    </row>
    <row r="45" spans="9:31" ht="14" x14ac:dyDescent="0.2">
      <c r="I45" s="451" t="str">
        <f t="shared" si="2"/>
        <v/>
      </c>
      <c r="J45" s="430"/>
      <c r="K45" s="449"/>
      <c r="L45" s="424"/>
      <c r="M45" s="425"/>
      <c r="N45" s="426"/>
      <c r="O45" s="427"/>
      <c r="P45" s="421"/>
      <c r="Q45" s="422"/>
      <c r="R45" s="421"/>
      <c r="S45" s="423"/>
      <c r="T45" s="421"/>
      <c r="U45" s="423"/>
      <c r="V45" s="423"/>
      <c r="W45" s="453" t="str">
        <f>IFERROR(VLOOKUP($P45, dropdown!$S$4:$T$15, 2, FALSE),
 IFERROR(VLOOKUP($R45, dropdown!$S$4:$T$15, 2, FALSE),
 IFERROR(VLOOKUP($T45, dropdown!$S$4:$T$15, 2, FALSE),
 "")))</f>
        <v/>
      </c>
      <c r="X45" s="430"/>
      <c r="Y45" s="55"/>
      <c r="AB45" s="11"/>
      <c r="AE45" s="11"/>
    </row>
    <row r="46" spans="9:31" ht="14" x14ac:dyDescent="0.2">
      <c r="I46" s="451" t="str">
        <f t="shared" si="2"/>
        <v/>
      </c>
      <c r="J46" s="430"/>
      <c r="K46" s="449"/>
      <c r="L46" s="424"/>
      <c r="M46" s="425"/>
      <c r="N46" s="426"/>
      <c r="O46" s="427"/>
      <c r="P46" s="421"/>
      <c r="Q46" s="422"/>
      <c r="R46" s="421"/>
      <c r="S46" s="423"/>
      <c r="T46" s="421"/>
      <c r="U46" s="423"/>
      <c r="V46" s="423"/>
      <c r="W46" s="453" t="str">
        <f>IFERROR(VLOOKUP($P46, dropdown!$S$4:$T$15, 2, FALSE),
 IFERROR(VLOOKUP($R46, dropdown!$S$4:$T$15, 2, FALSE),
 IFERROR(VLOOKUP($T46, dropdown!$S$4:$T$15, 2, FALSE),
 "")))</f>
        <v/>
      </c>
      <c r="X46" s="430"/>
      <c r="Y46" s="55"/>
      <c r="AB46" s="11"/>
      <c r="AE46" s="11"/>
    </row>
    <row r="47" spans="9:31" ht="14" x14ac:dyDescent="0.2">
      <c r="I47" s="451" t="str">
        <f t="shared" si="2"/>
        <v/>
      </c>
      <c r="J47" s="430"/>
      <c r="K47" s="449"/>
      <c r="L47" s="424"/>
      <c r="M47" s="425"/>
      <c r="N47" s="426"/>
      <c r="O47" s="427"/>
      <c r="P47" s="421"/>
      <c r="Q47" s="422"/>
      <c r="R47" s="421"/>
      <c r="S47" s="423"/>
      <c r="T47" s="421"/>
      <c r="U47" s="423"/>
      <c r="V47" s="423"/>
      <c r="W47" s="453" t="str">
        <f>IFERROR(VLOOKUP($P47, dropdown!$S$4:$T$15, 2, FALSE),
 IFERROR(VLOOKUP($R47, dropdown!$S$4:$T$15, 2, FALSE),
 IFERROR(VLOOKUP($T47, dropdown!$S$4:$T$15, 2, FALSE),
 "")))</f>
        <v/>
      </c>
      <c r="X47" s="430"/>
      <c r="Y47" s="55"/>
      <c r="AB47" s="11"/>
      <c r="AE47" s="11"/>
    </row>
    <row r="48" spans="9:31" ht="14" x14ac:dyDescent="0.2">
      <c r="I48" s="451" t="str">
        <f t="shared" si="2"/>
        <v/>
      </c>
      <c r="J48" s="430"/>
      <c r="K48" s="449"/>
      <c r="L48" s="424"/>
      <c r="M48" s="425"/>
      <c r="N48" s="426"/>
      <c r="O48" s="427"/>
      <c r="P48" s="421"/>
      <c r="Q48" s="422"/>
      <c r="R48" s="421"/>
      <c r="S48" s="423"/>
      <c r="T48" s="421"/>
      <c r="U48" s="423"/>
      <c r="V48" s="423"/>
      <c r="W48" s="453" t="str">
        <f>IFERROR(VLOOKUP($P48, dropdown!$S$4:$T$15, 2, FALSE),
 IFERROR(VLOOKUP($R48, dropdown!$S$4:$T$15, 2, FALSE),
 IFERROR(VLOOKUP($T48, dropdown!$S$4:$T$15, 2, FALSE),
 "")))</f>
        <v/>
      </c>
      <c r="X48" s="430"/>
      <c r="Y48" s="55"/>
      <c r="AB48" s="11"/>
      <c r="AE48" s="11"/>
    </row>
    <row r="49" spans="9:31" ht="14" x14ac:dyDescent="0.2">
      <c r="I49" s="451" t="str">
        <f t="shared" si="2"/>
        <v/>
      </c>
      <c r="J49" s="430"/>
      <c r="K49" s="449"/>
      <c r="L49" s="424"/>
      <c r="M49" s="425"/>
      <c r="N49" s="426"/>
      <c r="O49" s="427"/>
      <c r="P49" s="421"/>
      <c r="Q49" s="422"/>
      <c r="R49" s="421"/>
      <c r="S49" s="423"/>
      <c r="T49" s="421"/>
      <c r="U49" s="423"/>
      <c r="V49" s="423"/>
      <c r="W49" s="453" t="str">
        <f>IFERROR(VLOOKUP($P49, dropdown!$S$4:$T$15, 2, FALSE),
 IFERROR(VLOOKUP($R49, dropdown!$S$4:$T$15, 2, FALSE),
 IFERROR(VLOOKUP($T49, dropdown!$S$4:$T$15, 2, FALSE),
 "")))</f>
        <v/>
      </c>
      <c r="X49" s="430"/>
      <c r="Y49" s="55"/>
      <c r="AB49" s="11"/>
      <c r="AE49" s="11"/>
    </row>
    <row r="50" spans="9:31" ht="14" x14ac:dyDescent="0.2">
      <c r="I50" s="451" t="str">
        <f t="shared" si="2"/>
        <v/>
      </c>
      <c r="J50" s="430"/>
      <c r="K50" s="449"/>
      <c r="L50" s="424"/>
      <c r="M50" s="425"/>
      <c r="N50" s="426"/>
      <c r="O50" s="427"/>
      <c r="P50" s="421"/>
      <c r="Q50" s="422"/>
      <c r="R50" s="421"/>
      <c r="S50" s="423"/>
      <c r="T50" s="421"/>
      <c r="U50" s="423"/>
      <c r="V50" s="423"/>
      <c r="W50" s="453" t="str">
        <f>IFERROR(VLOOKUP($P50, dropdown!$S$4:$T$15, 2, FALSE),
 IFERROR(VLOOKUP($R50, dropdown!$S$4:$T$15, 2, FALSE),
 IFERROR(VLOOKUP($T50, dropdown!$S$4:$T$15, 2, FALSE),
 "")))</f>
        <v/>
      </c>
      <c r="X50" s="430"/>
      <c r="Y50" s="55"/>
      <c r="AB50" s="11"/>
      <c r="AE50" s="11"/>
    </row>
    <row r="51" spans="9:31" ht="14" x14ac:dyDescent="0.2">
      <c r="I51" s="451" t="str">
        <f t="shared" si="2"/>
        <v/>
      </c>
      <c r="J51" s="430"/>
      <c r="K51" s="449"/>
      <c r="L51" s="424"/>
      <c r="M51" s="425"/>
      <c r="N51" s="426"/>
      <c r="O51" s="427"/>
      <c r="P51" s="421"/>
      <c r="Q51" s="422"/>
      <c r="R51" s="421"/>
      <c r="S51" s="423"/>
      <c r="T51" s="421"/>
      <c r="U51" s="423"/>
      <c r="V51" s="423"/>
      <c r="W51" s="453" t="str">
        <f>IFERROR(VLOOKUP($P51, dropdown!$S$4:$T$15, 2, FALSE),
 IFERROR(VLOOKUP($R51, dropdown!$S$4:$T$15, 2, FALSE),
 IFERROR(VLOOKUP($T51, dropdown!$S$4:$T$15, 2, FALSE),
 "")))</f>
        <v/>
      </c>
      <c r="X51" s="430"/>
      <c r="Y51" s="55"/>
      <c r="AB51" s="11"/>
      <c r="AE51" s="11"/>
    </row>
    <row r="52" spans="9:31" ht="14" x14ac:dyDescent="0.2">
      <c r="I52" s="451" t="str">
        <f t="shared" si="2"/>
        <v/>
      </c>
      <c r="J52" s="430"/>
      <c r="K52" s="449"/>
      <c r="L52" s="424"/>
      <c r="M52" s="425"/>
      <c r="N52" s="426"/>
      <c r="O52" s="427"/>
      <c r="P52" s="421"/>
      <c r="Q52" s="422"/>
      <c r="R52" s="421"/>
      <c r="S52" s="423"/>
      <c r="T52" s="421"/>
      <c r="U52" s="423"/>
      <c r="V52" s="423"/>
      <c r="W52" s="453" t="str">
        <f>IFERROR(VLOOKUP($P52, dropdown!$S$4:$T$15, 2, FALSE),
 IFERROR(VLOOKUP($R52, dropdown!$S$4:$T$15, 2, FALSE),
 IFERROR(VLOOKUP($T52, dropdown!$S$4:$T$15, 2, FALSE),
 "")))</f>
        <v/>
      </c>
      <c r="X52" s="430"/>
      <c r="Y52" s="55"/>
      <c r="AB52" s="11"/>
      <c r="AE52" s="11"/>
    </row>
    <row r="53" spans="9:31" ht="14" x14ac:dyDescent="0.2">
      <c r="I53" s="451" t="str">
        <f t="shared" si="2"/>
        <v/>
      </c>
      <c r="J53" s="430"/>
      <c r="K53" s="449"/>
      <c r="L53" s="424"/>
      <c r="M53" s="425"/>
      <c r="N53" s="426"/>
      <c r="O53" s="427"/>
      <c r="P53" s="421"/>
      <c r="Q53" s="422"/>
      <c r="R53" s="421"/>
      <c r="S53" s="423"/>
      <c r="T53" s="421"/>
      <c r="U53" s="423"/>
      <c r="V53" s="423"/>
      <c r="W53" s="453" t="str">
        <f>IFERROR(VLOOKUP($P53, dropdown!$S$4:$T$15, 2, FALSE),
 IFERROR(VLOOKUP($R53, dropdown!$S$4:$T$15, 2, FALSE),
 IFERROR(VLOOKUP($T53, dropdown!$S$4:$T$15, 2, FALSE),
 "")))</f>
        <v/>
      </c>
      <c r="X53" s="430"/>
      <c r="Y53" s="55"/>
      <c r="AB53" s="11"/>
      <c r="AE53" s="11"/>
    </row>
    <row r="54" spans="9:31" ht="14" x14ac:dyDescent="0.2">
      <c r="I54" s="451" t="str">
        <f t="shared" si="2"/>
        <v/>
      </c>
      <c r="J54" s="430"/>
      <c r="K54" s="449"/>
      <c r="L54" s="424"/>
      <c r="M54" s="425"/>
      <c r="N54" s="426"/>
      <c r="O54" s="427"/>
      <c r="P54" s="421"/>
      <c r="Q54" s="422"/>
      <c r="R54" s="421"/>
      <c r="S54" s="423"/>
      <c r="T54" s="421"/>
      <c r="U54" s="423"/>
      <c r="V54" s="423"/>
      <c r="W54" s="453" t="str">
        <f>IFERROR(VLOOKUP($P54, dropdown!$S$4:$T$15, 2, FALSE),
 IFERROR(VLOOKUP($R54, dropdown!$S$4:$T$15, 2, FALSE),
 IFERROR(VLOOKUP($T54, dropdown!$S$4:$T$15, 2, FALSE),
 "")))</f>
        <v/>
      </c>
      <c r="X54" s="430"/>
      <c r="Y54" s="55"/>
      <c r="AB54" s="11"/>
      <c r="AE54" s="11"/>
    </row>
    <row r="55" spans="9:31" ht="14" x14ac:dyDescent="0.2">
      <c r="I55" s="451" t="str">
        <f t="shared" si="2"/>
        <v/>
      </c>
      <c r="J55" s="430"/>
      <c r="K55" s="449"/>
      <c r="L55" s="424"/>
      <c r="M55" s="425"/>
      <c r="N55" s="426"/>
      <c r="O55" s="427"/>
      <c r="P55" s="421"/>
      <c r="Q55" s="422"/>
      <c r="R55" s="421"/>
      <c r="S55" s="423"/>
      <c r="T55" s="421"/>
      <c r="U55" s="423"/>
      <c r="V55" s="423"/>
      <c r="W55" s="453" t="str">
        <f>IFERROR(VLOOKUP($P55, dropdown!$S$4:$T$15, 2, FALSE),
 IFERROR(VLOOKUP($R55, dropdown!$S$4:$T$15, 2, FALSE),
 IFERROR(VLOOKUP($T55, dropdown!$S$4:$T$15, 2, FALSE),
 "")))</f>
        <v/>
      </c>
      <c r="X55" s="430"/>
      <c r="Y55" s="55"/>
      <c r="AB55" s="11"/>
      <c r="AE55" s="11"/>
    </row>
    <row r="56" spans="9:31" ht="14" x14ac:dyDescent="0.2">
      <c r="I56" s="451" t="str">
        <f t="shared" si="2"/>
        <v/>
      </c>
      <c r="J56" s="430"/>
      <c r="K56" s="449"/>
      <c r="L56" s="424"/>
      <c r="M56" s="425"/>
      <c r="N56" s="426"/>
      <c r="O56" s="427"/>
      <c r="P56" s="421"/>
      <c r="Q56" s="422"/>
      <c r="R56" s="421"/>
      <c r="S56" s="423"/>
      <c r="T56" s="421"/>
      <c r="U56" s="423"/>
      <c r="V56" s="423"/>
      <c r="W56" s="453" t="str">
        <f>IFERROR(VLOOKUP($P56, dropdown!$S$4:$T$15, 2, FALSE),
 IFERROR(VLOOKUP($R56, dropdown!$S$4:$T$15, 2, FALSE),
 IFERROR(VLOOKUP($T56, dropdown!$S$4:$T$15, 2, FALSE),
 "")))</f>
        <v/>
      </c>
      <c r="X56" s="430"/>
      <c r="Y56" s="55"/>
      <c r="AB56" s="11"/>
      <c r="AE56" s="11"/>
    </row>
    <row r="57" spans="9:31" ht="14" x14ac:dyDescent="0.2">
      <c r="I57" s="451" t="str">
        <f t="shared" si="2"/>
        <v/>
      </c>
      <c r="J57" s="430"/>
      <c r="K57" s="449"/>
      <c r="L57" s="424"/>
      <c r="M57" s="425"/>
      <c r="N57" s="426"/>
      <c r="O57" s="427"/>
      <c r="P57" s="421"/>
      <c r="Q57" s="422"/>
      <c r="R57" s="421"/>
      <c r="S57" s="423"/>
      <c r="T57" s="421"/>
      <c r="U57" s="423"/>
      <c r="V57" s="423"/>
      <c r="W57" s="453" t="str">
        <f>IFERROR(VLOOKUP($P57, dropdown!$S$4:$T$15, 2, FALSE),
 IFERROR(VLOOKUP($R57, dropdown!$S$4:$T$15, 2, FALSE),
 IFERROR(VLOOKUP($T57, dropdown!$S$4:$T$15, 2, FALSE),
 "")))</f>
        <v/>
      </c>
      <c r="X57" s="430"/>
      <c r="Y57" s="55"/>
      <c r="AB57" s="11"/>
      <c r="AE57" s="11"/>
    </row>
    <row r="58" spans="9:31" ht="14" x14ac:dyDescent="0.2">
      <c r="I58" s="451" t="str">
        <f t="shared" si="2"/>
        <v/>
      </c>
      <c r="J58" s="430"/>
      <c r="K58" s="449"/>
      <c r="L58" s="424"/>
      <c r="M58" s="425"/>
      <c r="N58" s="426"/>
      <c r="O58" s="427"/>
      <c r="P58" s="421"/>
      <c r="Q58" s="422"/>
      <c r="R58" s="421"/>
      <c r="S58" s="423"/>
      <c r="T58" s="421"/>
      <c r="U58" s="423"/>
      <c r="V58" s="423"/>
      <c r="W58" s="453" t="str">
        <f>IFERROR(VLOOKUP($P58, dropdown!$S$4:$T$15, 2, FALSE),
 IFERROR(VLOOKUP($R58, dropdown!$S$4:$T$15, 2, FALSE),
 IFERROR(VLOOKUP($T58, dropdown!$S$4:$T$15, 2, FALSE),
 "")))</f>
        <v/>
      </c>
      <c r="X58" s="430"/>
      <c r="Y58" s="55"/>
      <c r="AB58" s="11"/>
      <c r="AE58" s="11"/>
    </row>
    <row r="59" spans="9:31" ht="14" x14ac:dyDescent="0.2">
      <c r="I59" s="451" t="str">
        <f t="shared" si="2"/>
        <v/>
      </c>
      <c r="J59" s="430"/>
      <c r="K59" s="449"/>
      <c r="L59" s="424"/>
      <c r="M59" s="425"/>
      <c r="N59" s="426"/>
      <c r="O59" s="427"/>
      <c r="P59" s="421"/>
      <c r="Q59" s="422"/>
      <c r="R59" s="421"/>
      <c r="S59" s="423"/>
      <c r="T59" s="421"/>
      <c r="U59" s="423"/>
      <c r="V59" s="423"/>
      <c r="W59" s="453" t="str">
        <f>IFERROR(VLOOKUP($P59, dropdown!$S$4:$T$15, 2, FALSE),
 IFERROR(VLOOKUP($R59, dropdown!$S$4:$T$15, 2, FALSE),
 IFERROR(VLOOKUP($T59, dropdown!$S$4:$T$15, 2, FALSE),
 "")))</f>
        <v/>
      </c>
      <c r="X59" s="430"/>
      <c r="Y59" s="55"/>
      <c r="AB59" s="11"/>
      <c r="AE59" s="11"/>
    </row>
    <row r="60" spans="9:31" ht="14" x14ac:dyDescent="0.2">
      <c r="I60" s="451" t="str">
        <f t="shared" si="2"/>
        <v/>
      </c>
      <c r="J60" s="430"/>
      <c r="K60" s="449"/>
      <c r="L60" s="424"/>
      <c r="M60" s="425"/>
      <c r="N60" s="426"/>
      <c r="O60" s="427"/>
      <c r="P60" s="421"/>
      <c r="Q60" s="422"/>
      <c r="R60" s="421"/>
      <c r="S60" s="423"/>
      <c r="T60" s="421"/>
      <c r="U60" s="423"/>
      <c r="V60" s="423"/>
      <c r="W60" s="453" t="str">
        <f>IFERROR(VLOOKUP($P60, dropdown!$S$4:$T$15, 2, FALSE),
 IFERROR(VLOOKUP($R60, dropdown!$S$4:$T$15, 2, FALSE),
 IFERROR(VLOOKUP($T60, dropdown!$S$4:$T$15, 2, FALSE),
 "")))</f>
        <v/>
      </c>
      <c r="X60" s="430"/>
      <c r="Y60" s="55"/>
      <c r="AB60" s="11"/>
      <c r="AE60" s="11"/>
    </row>
    <row r="61" spans="9:31" ht="14" x14ac:dyDescent="0.2">
      <c r="I61" s="451" t="str">
        <f t="shared" si="2"/>
        <v/>
      </c>
      <c r="J61" s="430"/>
      <c r="K61" s="449"/>
      <c r="L61" s="424"/>
      <c r="M61" s="425"/>
      <c r="N61" s="426"/>
      <c r="O61" s="427"/>
      <c r="P61" s="421"/>
      <c r="Q61" s="422"/>
      <c r="R61" s="421"/>
      <c r="S61" s="423"/>
      <c r="T61" s="421"/>
      <c r="U61" s="423"/>
      <c r="V61" s="423"/>
      <c r="W61" s="453" t="str">
        <f>IFERROR(VLOOKUP($P61, dropdown!$S$4:$T$15, 2, FALSE),
 IFERROR(VLOOKUP($R61, dropdown!$S$4:$T$15, 2, FALSE),
 IFERROR(VLOOKUP($T61, dropdown!$S$4:$T$15, 2, FALSE),
 "")))</f>
        <v/>
      </c>
      <c r="X61" s="430"/>
      <c r="Y61" s="55"/>
      <c r="AB61" s="11"/>
      <c r="AE61" s="11"/>
    </row>
    <row r="62" spans="9:31" ht="14" x14ac:dyDescent="0.2">
      <c r="I62" s="451" t="str">
        <f t="shared" si="2"/>
        <v/>
      </c>
      <c r="J62" s="430"/>
      <c r="K62" s="449"/>
      <c r="L62" s="424"/>
      <c r="M62" s="425"/>
      <c r="N62" s="426"/>
      <c r="O62" s="427"/>
      <c r="P62" s="421"/>
      <c r="Q62" s="422"/>
      <c r="R62" s="421"/>
      <c r="S62" s="423"/>
      <c r="T62" s="421"/>
      <c r="U62" s="423"/>
      <c r="V62" s="423"/>
      <c r="W62" s="453" t="str">
        <f>IFERROR(VLOOKUP($P62, dropdown!$S$4:$T$15, 2, FALSE),
 IFERROR(VLOOKUP($R62, dropdown!$S$4:$T$15, 2, FALSE),
 IFERROR(VLOOKUP($T62, dropdown!$S$4:$T$15, 2, FALSE),
 "")))</f>
        <v/>
      </c>
      <c r="X62" s="430"/>
      <c r="Y62" s="55"/>
      <c r="AB62" s="11"/>
      <c r="AE62" s="11"/>
    </row>
    <row r="63" spans="9:31" ht="14" x14ac:dyDescent="0.2">
      <c r="I63" s="451" t="str">
        <f t="shared" si="2"/>
        <v/>
      </c>
      <c r="J63" s="430"/>
      <c r="K63" s="449"/>
      <c r="L63" s="424"/>
      <c r="M63" s="425"/>
      <c r="N63" s="426"/>
      <c r="O63" s="427"/>
      <c r="P63" s="421"/>
      <c r="Q63" s="422"/>
      <c r="R63" s="421"/>
      <c r="S63" s="423"/>
      <c r="T63" s="421"/>
      <c r="U63" s="423"/>
      <c r="V63" s="423"/>
      <c r="W63" s="453" t="str">
        <f>IFERROR(VLOOKUP($P63, dropdown!$S$4:$T$15, 2, FALSE),
 IFERROR(VLOOKUP($R63, dropdown!$S$4:$T$15, 2, FALSE),
 IFERROR(VLOOKUP($T63, dropdown!$S$4:$T$15, 2, FALSE),
 "")))</f>
        <v/>
      </c>
      <c r="X63" s="430"/>
      <c r="Y63" s="55"/>
      <c r="AB63" s="11"/>
      <c r="AE63" s="11"/>
    </row>
    <row r="64" spans="9:31" ht="14" x14ac:dyDescent="0.2">
      <c r="I64" s="451" t="str">
        <f t="shared" si="2"/>
        <v/>
      </c>
      <c r="J64" s="430"/>
      <c r="K64" s="449"/>
      <c r="L64" s="424"/>
      <c r="M64" s="425"/>
      <c r="N64" s="426"/>
      <c r="O64" s="427"/>
      <c r="P64" s="421"/>
      <c r="Q64" s="422"/>
      <c r="R64" s="421"/>
      <c r="S64" s="423"/>
      <c r="T64" s="421"/>
      <c r="U64" s="423"/>
      <c r="V64" s="423"/>
      <c r="W64" s="453" t="str">
        <f>IFERROR(VLOOKUP($P64, dropdown!$S$4:$T$15, 2, FALSE),
 IFERROR(VLOOKUP($R64, dropdown!$S$4:$T$15, 2, FALSE),
 IFERROR(VLOOKUP($T64, dropdown!$S$4:$T$15, 2, FALSE),
 "")))</f>
        <v/>
      </c>
      <c r="X64" s="430"/>
      <c r="Y64" s="55"/>
      <c r="AB64" s="11"/>
      <c r="AE64" s="11"/>
    </row>
    <row r="65" spans="9:31" ht="14" x14ac:dyDescent="0.2">
      <c r="I65" s="451" t="str">
        <f t="shared" si="2"/>
        <v/>
      </c>
      <c r="J65" s="430"/>
      <c r="K65" s="449"/>
      <c r="L65" s="424"/>
      <c r="M65" s="425"/>
      <c r="N65" s="426"/>
      <c r="O65" s="427"/>
      <c r="P65" s="421"/>
      <c r="Q65" s="422"/>
      <c r="R65" s="421"/>
      <c r="S65" s="423"/>
      <c r="T65" s="421"/>
      <c r="U65" s="423"/>
      <c r="V65" s="423"/>
      <c r="W65" s="453" t="str">
        <f>IFERROR(VLOOKUP($P65, dropdown!$S$4:$T$15, 2, FALSE),
 IFERROR(VLOOKUP($R65, dropdown!$S$4:$T$15, 2, FALSE),
 IFERROR(VLOOKUP($T65, dropdown!$S$4:$T$15, 2, FALSE),
 "")))</f>
        <v/>
      </c>
      <c r="X65" s="430"/>
      <c r="Y65" s="55"/>
      <c r="AB65" s="11"/>
      <c r="AE65" s="11"/>
    </row>
    <row r="66" spans="9:31" ht="14" x14ac:dyDescent="0.2">
      <c r="I66" s="451" t="str">
        <f t="shared" si="2"/>
        <v/>
      </c>
      <c r="J66" s="430"/>
      <c r="K66" s="449"/>
      <c r="L66" s="424"/>
      <c r="M66" s="425"/>
      <c r="N66" s="426"/>
      <c r="O66" s="427"/>
      <c r="P66" s="421"/>
      <c r="Q66" s="422"/>
      <c r="R66" s="421"/>
      <c r="S66" s="423"/>
      <c r="T66" s="421"/>
      <c r="U66" s="423"/>
      <c r="V66" s="423"/>
      <c r="W66" s="453" t="str">
        <f>IFERROR(VLOOKUP($P66, dropdown!$S$4:$T$15, 2, FALSE),
 IFERROR(VLOOKUP($R66, dropdown!$S$4:$T$15, 2, FALSE),
 IFERROR(VLOOKUP($T66, dropdown!$S$4:$T$15, 2, FALSE),
 "")))</f>
        <v/>
      </c>
      <c r="X66" s="430"/>
      <c r="Y66" s="55"/>
      <c r="AB66" s="11"/>
      <c r="AE66" s="11"/>
    </row>
    <row r="67" spans="9:31" ht="14" x14ac:dyDescent="0.2">
      <c r="I67" s="451" t="str">
        <f t="shared" si="2"/>
        <v/>
      </c>
      <c r="J67" s="430"/>
      <c r="K67" s="449"/>
      <c r="L67" s="424"/>
      <c r="M67" s="425"/>
      <c r="N67" s="426"/>
      <c r="O67" s="427"/>
      <c r="P67" s="421"/>
      <c r="Q67" s="422"/>
      <c r="R67" s="421"/>
      <c r="S67" s="423"/>
      <c r="T67" s="421"/>
      <c r="U67" s="423"/>
      <c r="V67" s="423"/>
      <c r="W67" s="453" t="str">
        <f>IFERROR(VLOOKUP($P67, dropdown!$S$4:$T$15, 2, FALSE),
 IFERROR(VLOOKUP($R67, dropdown!$S$4:$T$15, 2, FALSE),
 IFERROR(VLOOKUP($T67, dropdown!$S$4:$T$15, 2, FALSE),
 "")))</f>
        <v/>
      </c>
      <c r="X67" s="430"/>
      <c r="Y67" s="55"/>
      <c r="AB67" s="11"/>
      <c r="AE67" s="11"/>
    </row>
    <row r="68" spans="9:31" ht="14" x14ac:dyDescent="0.2">
      <c r="I68" s="451" t="str">
        <f t="shared" si="2"/>
        <v/>
      </c>
      <c r="J68" s="430"/>
      <c r="K68" s="449"/>
      <c r="L68" s="424"/>
      <c r="M68" s="425"/>
      <c r="N68" s="426"/>
      <c r="O68" s="427"/>
      <c r="P68" s="421"/>
      <c r="Q68" s="422"/>
      <c r="R68" s="421"/>
      <c r="S68" s="423"/>
      <c r="T68" s="421"/>
      <c r="U68" s="423"/>
      <c r="V68" s="423"/>
      <c r="W68" s="453" t="str">
        <f>IFERROR(VLOOKUP($P68, dropdown!$S$4:$T$15, 2, FALSE),
 IFERROR(VLOOKUP($R68, dropdown!$S$4:$T$15, 2, FALSE),
 IFERROR(VLOOKUP($T68, dropdown!$S$4:$T$15, 2, FALSE),
 "")))</f>
        <v/>
      </c>
      <c r="X68" s="430"/>
      <c r="Y68" s="55"/>
      <c r="AB68" s="11"/>
      <c r="AE68" s="11"/>
    </row>
    <row r="69" spans="9:31" ht="14" x14ac:dyDescent="0.2">
      <c r="I69" s="451" t="str">
        <f t="shared" si="2"/>
        <v/>
      </c>
      <c r="J69" s="430"/>
      <c r="K69" s="449"/>
      <c r="L69" s="424"/>
      <c r="M69" s="425"/>
      <c r="N69" s="426"/>
      <c r="O69" s="427"/>
      <c r="P69" s="421"/>
      <c r="Q69" s="422"/>
      <c r="R69" s="421"/>
      <c r="S69" s="423"/>
      <c r="T69" s="421"/>
      <c r="U69" s="423"/>
      <c r="V69" s="423"/>
      <c r="W69" s="453" t="str">
        <f>IFERROR(VLOOKUP($P69, dropdown!$S$4:$T$15, 2, FALSE),
 IFERROR(VLOOKUP($R69, dropdown!$S$4:$T$15, 2, FALSE),
 IFERROR(VLOOKUP($T69, dropdown!$S$4:$T$15, 2, FALSE),
 "")))</f>
        <v/>
      </c>
      <c r="X69" s="430"/>
      <c r="Y69" s="55"/>
      <c r="AB69" s="11"/>
      <c r="AE69" s="11"/>
    </row>
    <row r="70" spans="9:31" ht="14" x14ac:dyDescent="0.2">
      <c r="I70" s="451" t="str">
        <f t="shared" si="2"/>
        <v/>
      </c>
      <c r="J70" s="430"/>
      <c r="K70" s="449"/>
      <c r="L70" s="424"/>
      <c r="M70" s="425"/>
      <c r="N70" s="426"/>
      <c r="O70" s="427"/>
      <c r="P70" s="421"/>
      <c r="Q70" s="422"/>
      <c r="R70" s="421"/>
      <c r="S70" s="423"/>
      <c r="T70" s="421"/>
      <c r="U70" s="423"/>
      <c r="V70" s="423"/>
      <c r="W70" s="453" t="str">
        <f>IFERROR(VLOOKUP($P70, dropdown!$S$4:$T$15, 2, FALSE),
 IFERROR(VLOOKUP($R70, dropdown!$S$4:$T$15, 2, FALSE),
 IFERROR(VLOOKUP($T70, dropdown!$S$4:$T$15, 2, FALSE),
 "")))</f>
        <v/>
      </c>
      <c r="X70" s="430"/>
      <c r="Y70" s="55"/>
      <c r="AB70" s="11"/>
      <c r="AE70" s="11"/>
    </row>
    <row r="71" spans="9:31" ht="14" x14ac:dyDescent="0.2">
      <c r="I71" s="451" t="str">
        <f t="shared" si="2"/>
        <v/>
      </c>
      <c r="J71" s="430"/>
      <c r="K71" s="449"/>
      <c r="L71" s="424"/>
      <c r="M71" s="425"/>
      <c r="N71" s="426"/>
      <c r="O71" s="427"/>
      <c r="P71" s="421"/>
      <c r="Q71" s="422"/>
      <c r="R71" s="421"/>
      <c r="S71" s="423"/>
      <c r="T71" s="421"/>
      <c r="U71" s="423"/>
      <c r="V71" s="423"/>
      <c r="W71" s="453" t="str">
        <f>IFERROR(VLOOKUP($P71, dropdown!$S$4:$T$15, 2, FALSE),
 IFERROR(VLOOKUP($R71, dropdown!$S$4:$T$15, 2, FALSE),
 IFERROR(VLOOKUP($T71, dropdown!$S$4:$T$15, 2, FALSE),
 "")))</f>
        <v/>
      </c>
      <c r="X71" s="430"/>
      <c r="Y71" s="55"/>
      <c r="AB71" s="11"/>
      <c r="AE71" s="11"/>
    </row>
    <row r="72" spans="9:31" ht="14" x14ac:dyDescent="0.2">
      <c r="I72" s="451" t="str">
        <f t="shared" si="2"/>
        <v/>
      </c>
      <c r="J72" s="430"/>
      <c r="K72" s="449"/>
      <c r="L72" s="424"/>
      <c r="M72" s="425"/>
      <c r="N72" s="426"/>
      <c r="O72" s="427"/>
      <c r="P72" s="421"/>
      <c r="Q72" s="422"/>
      <c r="R72" s="421"/>
      <c r="S72" s="423"/>
      <c r="T72" s="421"/>
      <c r="U72" s="423"/>
      <c r="V72" s="423"/>
      <c r="W72" s="453" t="str">
        <f>IFERROR(VLOOKUP($P72, dropdown!$S$4:$T$15, 2, FALSE),
 IFERROR(VLOOKUP($R72, dropdown!$S$4:$T$15, 2, FALSE),
 IFERROR(VLOOKUP($T72, dropdown!$S$4:$T$15, 2, FALSE),
 "")))</f>
        <v/>
      </c>
      <c r="X72" s="430"/>
      <c r="Y72" s="55"/>
      <c r="AB72" s="11"/>
      <c r="AE72" s="11"/>
    </row>
    <row r="73" spans="9:31" ht="14" x14ac:dyDescent="0.2">
      <c r="I73" s="451" t="str">
        <f t="shared" si="2"/>
        <v/>
      </c>
      <c r="J73" s="430"/>
      <c r="K73" s="449"/>
      <c r="L73" s="424"/>
      <c r="M73" s="425"/>
      <c r="N73" s="426"/>
      <c r="O73" s="427"/>
      <c r="P73" s="421"/>
      <c r="Q73" s="422"/>
      <c r="R73" s="421"/>
      <c r="S73" s="423"/>
      <c r="T73" s="421"/>
      <c r="U73" s="423"/>
      <c r="V73" s="423"/>
      <c r="W73" s="453" t="str">
        <f>IFERROR(VLOOKUP($P73, dropdown!$S$4:$T$15, 2, FALSE),
 IFERROR(VLOOKUP($R73, dropdown!$S$4:$T$15, 2, FALSE),
 IFERROR(VLOOKUP($T73, dropdown!$S$4:$T$15, 2, FALSE),
 "")))</f>
        <v/>
      </c>
      <c r="X73" s="430"/>
      <c r="Y73" s="55"/>
      <c r="AB73" s="11"/>
      <c r="AE73" s="11"/>
    </row>
    <row r="74" spans="9:31" ht="14" x14ac:dyDescent="0.2">
      <c r="I74" s="451" t="str">
        <f t="shared" si="2"/>
        <v/>
      </c>
      <c r="J74" s="430"/>
      <c r="K74" s="449"/>
      <c r="L74" s="424"/>
      <c r="M74" s="425"/>
      <c r="N74" s="426"/>
      <c r="O74" s="427"/>
      <c r="P74" s="421"/>
      <c r="Q74" s="422"/>
      <c r="R74" s="421"/>
      <c r="S74" s="423"/>
      <c r="T74" s="421"/>
      <c r="U74" s="423"/>
      <c r="V74" s="423"/>
      <c r="W74" s="453" t="str">
        <f>IFERROR(VLOOKUP($P74, dropdown!$S$4:$T$15, 2, FALSE),
 IFERROR(VLOOKUP($R74, dropdown!$S$4:$T$15, 2, FALSE),
 IFERROR(VLOOKUP($T74, dropdown!$S$4:$T$15, 2, FALSE),
 "")))</f>
        <v/>
      </c>
      <c r="X74" s="430"/>
      <c r="Y74" s="55"/>
      <c r="AB74" s="11"/>
      <c r="AE74" s="11"/>
    </row>
    <row r="75" spans="9:31" ht="14" x14ac:dyDescent="0.2">
      <c r="I75" s="451" t="str">
        <f t="shared" ref="I75:I108" si="3">IF($L75="","",$I74+1)</f>
        <v/>
      </c>
      <c r="J75" s="430"/>
      <c r="K75" s="449"/>
      <c r="L75" s="424"/>
      <c r="M75" s="425"/>
      <c r="N75" s="426"/>
      <c r="O75" s="427"/>
      <c r="P75" s="421"/>
      <c r="Q75" s="422"/>
      <c r="R75" s="421"/>
      <c r="S75" s="423"/>
      <c r="T75" s="421"/>
      <c r="U75" s="423"/>
      <c r="V75" s="423"/>
      <c r="W75" s="453" t="str">
        <f>IFERROR(VLOOKUP($P75, dropdown!$S$4:$T$15, 2, FALSE),
 IFERROR(VLOOKUP($R75, dropdown!$S$4:$T$15, 2, FALSE),
 IFERROR(VLOOKUP($T75, dropdown!$S$4:$T$15, 2, FALSE),
 "")))</f>
        <v/>
      </c>
      <c r="X75" s="430"/>
      <c r="Y75" s="55"/>
      <c r="AB75" s="11"/>
      <c r="AE75" s="11"/>
    </row>
    <row r="76" spans="9:31" ht="14" x14ac:dyDescent="0.2">
      <c r="I76" s="451" t="str">
        <f t="shared" si="3"/>
        <v/>
      </c>
      <c r="J76" s="430"/>
      <c r="K76" s="449"/>
      <c r="L76" s="424"/>
      <c r="M76" s="425"/>
      <c r="N76" s="426"/>
      <c r="O76" s="427"/>
      <c r="P76" s="421"/>
      <c r="Q76" s="422"/>
      <c r="R76" s="421"/>
      <c r="S76" s="423"/>
      <c r="T76" s="421"/>
      <c r="U76" s="423"/>
      <c r="V76" s="423"/>
      <c r="W76" s="453" t="str">
        <f>IFERROR(VLOOKUP($P76, dropdown!$S$4:$T$15, 2, FALSE),
 IFERROR(VLOOKUP($R76, dropdown!$S$4:$T$15, 2, FALSE),
 IFERROR(VLOOKUP($T76, dropdown!$S$4:$T$15, 2, FALSE),
 "")))</f>
        <v/>
      </c>
      <c r="X76" s="430"/>
      <c r="Y76" s="55"/>
      <c r="AB76" s="11"/>
      <c r="AE76" s="11"/>
    </row>
    <row r="77" spans="9:31" ht="14" x14ac:dyDescent="0.2">
      <c r="I77" s="451" t="str">
        <f t="shared" si="3"/>
        <v/>
      </c>
      <c r="J77" s="430"/>
      <c r="K77" s="449"/>
      <c r="L77" s="424"/>
      <c r="M77" s="425"/>
      <c r="N77" s="426"/>
      <c r="O77" s="427"/>
      <c r="P77" s="421"/>
      <c r="Q77" s="422"/>
      <c r="R77" s="421"/>
      <c r="S77" s="423"/>
      <c r="T77" s="421"/>
      <c r="U77" s="423"/>
      <c r="V77" s="423"/>
      <c r="W77" s="453" t="str">
        <f>IFERROR(VLOOKUP($P77, dropdown!$S$4:$T$15, 2, FALSE),
 IFERROR(VLOOKUP($R77, dropdown!$S$4:$T$15, 2, FALSE),
 IFERROR(VLOOKUP($T77, dropdown!$S$4:$T$15, 2, FALSE),
 "")))</f>
        <v/>
      </c>
      <c r="X77" s="430"/>
      <c r="Y77" s="55"/>
      <c r="AB77" s="11"/>
      <c r="AE77" s="11"/>
    </row>
    <row r="78" spans="9:31" ht="14" x14ac:dyDescent="0.2">
      <c r="I78" s="451" t="str">
        <f t="shared" si="3"/>
        <v/>
      </c>
      <c r="J78" s="430"/>
      <c r="K78" s="449"/>
      <c r="L78" s="424"/>
      <c r="M78" s="425"/>
      <c r="N78" s="426"/>
      <c r="O78" s="427"/>
      <c r="P78" s="421"/>
      <c r="Q78" s="422"/>
      <c r="R78" s="421"/>
      <c r="S78" s="423"/>
      <c r="T78" s="421"/>
      <c r="U78" s="423"/>
      <c r="V78" s="423"/>
      <c r="W78" s="453" t="str">
        <f>IFERROR(VLOOKUP($P78, dropdown!$S$4:$T$15, 2, FALSE),
 IFERROR(VLOOKUP($R78, dropdown!$S$4:$T$15, 2, FALSE),
 IFERROR(VLOOKUP($T78, dropdown!$S$4:$T$15, 2, FALSE),
 "")))</f>
        <v/>
      </c>
      <c r="X78" s="430"/>
      <c r="Y78" s="55"/>
      <c r="AB78" s="11"/>
      <c r="AE78" s="11"/>
    </row>
    <row r="79" spans="9:31" ht="14" x14ac:dyDescent="0.2">
      <c r="I79" s="451" t="str">
        <f t="shared" si="3"/>
        <v/>
      </c>
      <c r="J79" s="430"/>
      <c r="K79" s="449"/>
      <c r="L79" s="424"/>
      <c r="M79" s="425"/>
      <c r="N79" s="426"/>
      <c r="O79" s="427"/>
      <c r="P79" s="421"/>
      <c r="Q79" s="422"/>
      <c r="R79" s="421"/>
      <c r="S79" s="423"/>
      <c r="T79" s="421"/>
      <c r="U79" s="423"/>
      <c r="V79" s="423"/>
      <c r="W79" s="453" t="str">
        <f>IFERROR(VLOOKUP($P79, dropdown!$S$4:$T$15, 2, FALSE),
 IFERROR(VLOOKUP($R79, dropdown!$S$4:$T$15, 2, FALSE),
 IFERROR(VLOOKUP($T79, dropdown!$S$4:$T$15, 2, FALSE),
 "")))</f>
        <v/>
      </c>
      <c r="X79" s="430"/>
      <c r="Y79" s="55"/>
      <c r="AB79" s="11"/>
      <c r="AE79" s="11"/>
    </row>
    <row r="80" spans="9:31" ht="14" x14ac:dyDescent="0.2">
      <c r="I80" s="451" t="str">
        <f t="shared" si="3"/>
        <v/>
      </c>
      <c r="J80" s="430"/>
      <c r="K80" s="449"/>
      <c r="L80" s="424"/>
      <c r="M80" s="425"/>
      <c r="N80" s="426"/>
      <c r="O80" s="427"/>
      <c r="P80" s="421"/>
      <c r="Q80" s="422"/>
      <c r="R80" s="421"/>
      <c r="S80" s="423"/>
      <c r="T80" s="421"/>
      <c r="U80" s="423"/>
      <c r="V80" s="423"/>
      <c r="W80" s="453" t="str">
        <f>IFERROR(VLOOKUP($P80, dropdown!$S$4:$T$15, 2, FALSE),
 IFERROR(VLOOKUP($R80, dropdown!$S$4:$T$15, 2, FALSE),
 IFERROR(VLOOKUP($T80, dropdown!$S$4:$T$15, 2, FALSE),
 "")))</f>
        <v/>
      </c>
      <c r="X80" s="430"/>
      <c r="Y80" s="55"/>
      <c r="AB80" s="11"/>
      <c r="AE80" s="11"/>
    </row>
    <row r="81" spans="9:31" ht="14" x14ac:dyDescent="0.2">
      <c r="I81" s="451" t="str">
        <f t="shared" si="3"/>
        <v/>
      </c>
      <c r="J81" s="430"/>
      <c r="K81" s="449"/>
      <c r="L81" s="424"/>
      <c r="M81" s="425"/>
      <c r="N81" s="426"/>
      <c r="O81" s="427"/>
      <c r="P81" s="421"/>
      <c r="Q81" s="422"/>
      <c r="R81" s="421"/>
      <c r="S81" s="423"/>
      <c r="T81" s="421"/>
      <c r="U81" s="423"/>
      <c r="V81" s="423"/>
      <c r="W81" s="453" t="str">
        <f>IFERROR(VLOOKUP($P81, dropdown!$S$4:$T$15, 2, FALSE),
 IFERROR(VLOOKUP($R81, dropdown!$S$4:$T$15, 2, FALSE),
 IFERROR(VLOOKUP($T81, dropdown!$S$4:$T$15, 2, FALSE),
 "")))</f>
        <v/>
      </c>
      <c r="X81" s="430"/>
      <c r="Y81" s="55"/>
      <c r="AB81" s="11"/>
      <c r="AE81" s="11"/>
    </row>
    <row r="82" spans="9:31" ht="14" x14ac:dyDescent="0.2">
      <c r="I82" s="451" t="str">
        <f t="shared" si="3"/>
        <v/>
      </c>
      <c r="J82" s="430"/>
      <c r="K82" s="449"/>
      <c r="L82" s="424"/>
      <c r="M82" s="425"/>
      <c r="N82" s="426"/>
      <c r="O82" s="427"/>
      <c r="P82" s="421"/>
      <c r="Q82" s="422"/>
      <c r="R82" s="421"/>
      <c r="S82" s="423"/>
      <c r="T82" s="421"/>
      <c r="U82" s="423"/>
      <c r="V82" s="423"/>
      <c r="W82" s="453" t="str">
        <f>IFERROR(VLOOKUP($P82, dropdown!$S$4:$T$15, 2, FALSE),
 IFERROR(VLOOKUP($R82, dropdown!$S$4:$T$15, 2, FALSE),
 IFERROR(VLOOKUP($T82, dropdown!$S$4:$T$15, 2, FALSE),
 "")))</f>
        <v/>
      </c>
      <c r="X82" s="430"/>
      <c r="Y82" s="55"/>
      <c r="AB82" s="11"/>
      <c r="AE82" s="11"/>
    </row>
    <row r="83" spans="9:31" ht="14" x14ac:dyDescent="0.2">
      <c r="I83" s="451" t="str">
        <f t="shared" si="3"/>
        <v/>
      </c>
      <c r="J83" s="430"/>
      <c r="K83" s="449"/>
      <c r="L83" s="424"/>
      <c r="M83" s="425"/>
      <c r="N83" s="426"/>
      <c r="O83" s="427"/>
      <c r="P83" s="421"/>
      <c r="Q83" s="422"/>
      <c r="R83" s="421"/>
      <c r="S83" s="423"/>
      <c r="T83" s="421"/>
      <c r="U83" s="423"/>
      <c r="V83" s="423"/>
      <c r="W83" s="453" t="str">
        <f>IFERROR(VLOOKUP($P83, dropdown!$S$4:$T$15, 2, FALSE),
 IFERROR(VLOOKUP($R83, dropdown!$S$4:$T$15, 2, FALSE),
 IFERROR(VLOOKUP($T83, dropdown!$S$4:$T$15, 2, FALSE),
 "")))</f>
        <v/>
      </c>
      <c r="X83" s="430"/>
      <c r="Y83" s="55"/>
      <c r="AB83" s="11"/>
      <c r="AE83" s="11"/>
    </row>
    <row r="84" spans="9:31" ht="14" x14ac:dyDescent="0.2">
      <c r="I84" s="451" t="str">
        <f t="shared" si="3"/>
        <v/>
      </c>
      <c r="J84" s="430"/>
      <c r="K84" s="449"/>
      <c r="L84" s="424"/>
      <c r="M84" s="425"/>
      <c r="N84" s="426"/>
      <c r="O84" s="427"/>
      <c r="P84" s="421"/>
      <c r="Q84" s="422"/>
      <c r="R84" s="421"/>
      <c r="S84" s="423"/>
      <c r="T84" s="421"/>
      <c r="U84" s="423"/>
      <c r="V84" s="423"/>
      <c r="W84" s="453" t="str">
        <f>IFERROR(VLOOKUP($P84, dropdown!$S$4:$T$15, 2, FALSE),
 IFERROR(VLOOKUP($R84, dropdown!$S$4:$T$15, 2, FALSE),
 IFERROR(VLOOKUP($T84, dropdown!$S$4:$T$15, 2, FALSE),
 "")))</f>
        <v/>
      </c>
      <c r="X84" s="430"/>
      <c r="Y84" s="55"/>
      <c r="AB84" s="11"/>
      <c r="AE84" s="11"/>
    </row>
    <row r="85" spans="9:31" ht="14" x14ac:dyDescent="0.2">
      <c r="I85" s="451" t="str">
        <f t="shared" si="3"/>
        <v/>
      </c>
      <c r="J85" s="430"/>
      <c r="K85" s="449"/>
      <c r="L85" s="424"/>
      <c r="M85" s="425"/>
      <c r="N85" s="426"/>
      <c r="O85" s="427"/>
      <c r="P85" s="421"/>
      <c r="Q85" s="422"/>
      <c r="R85" s="421"/>
      <c r="S85" s="423"/>
      <c r="T85" s="421"/>
      <c r="U85" s="423"/>
      <c r="V85" s="423"/>
      <c r="W85" s="453" t="str">
        <f>IFERROR(VLOOKUP($P85, dropdown!$S$4:$T$15, 2, FALSE),
 IFERROR(VLOOKUP($R85, dropdown!$S$4:$T$15, 2, FALSE),
 IFERROR(VLOOKUP($T85, dropdown!$S$4:$T$15, 2, FALSE),
 "")))</f>
        <v/>
      </c>
      <c r="X85" s="430"/>
      <c r="Y85" s="55"/>
      <c r="AB85" s="11"/>
      <c r="AE85" s="11"/>
    </row>
    <row r="86" spans="9:31" ht="14" x14ac:dyDescent="0.2">
      <c r="I86" s="451" t="str">
        <f t="shared" si="3"/>
        <v/>
      </c>
      <c r="J86" s="430"/>
      <c r="K86" s="449"/>
      <c r="L86" s="424"/>
      <c r="M86" s="425"/>
      <c r="N86" s="426"/>
      <c r="O86" s="427"/>
      <c r="P86" s="421"/>
      <c r="Q86" s="422"/>
      <c r="R86" s="421"/>
      <c r="S86" s="423"/>
      <c r="T86" s="421"/>
      <c r="U86" s="423"/>
      <c r="V86" s="423"/>
      <c r="W86" s="453" t="str">
        <f>IFERROR(VLOOKUP($P86, dropdown!$S$4:$T$15, 2, FALSE),
 IFERROR(VLOOKUP($R86, dropdown!$S$4:$T$15, 2, FALSE),
 IFERROR(VLOOKUP($T86, dropdown!$S$4:$T$15, 2, FALSE),
 "")))</f>
        <v/>
      </c>
      <c r="X86" s="430"/>
      <c r="Y86" s="55"/>
      <c r="AB86" s="11"/>
      <c r="AE86" s="11"/>
    </row>
    <row r="87" spans="9:31" ht="14" x14ac:dyDescent="0.2">
      <c r="I87" s="451" t="str">
        <f t="shared" si="3"/>
        <v/>
      </c>
      <c r="J87" s="430"/>
      <c r="K87" s="449"/>
      <c r="L87" s="424"/>
      <c r="M87" s="425"/>
      <c r="N87" s="426"/>
      <c r="O87" s="427"/>
      <c r="P87" s="421"/>
      <c r="Q87" s="422"/>
      <c r="R87" s="421"/>
      <c r="S87" s="423"/>
      <c r="T87" s="421"/>
      <c r="U87" s="423"/>
      <c r="V87" s="423"/>
      <c r="W87" s="453" t="str">
        <f>IFERROR(VLOOKUP($P87, dropdown!$S$4:$T$15, 2, FALSE),
 IFERROR(VLOOKUP($R87, dropdown!$S$4:$T$15, 2, FALSE),
 IFERROR(VLOOKUP($T87, dropdown!$S$4:$T$15, 2, FALSE),
 "")))</f>
        <v/>
      </c>
      <c r="X87" s="430"/>
      <c r="Y87" s="55"/>
      <c r="AB87" s="11"/>
      <c r="AE87" s="11"/>
    </row>
    <row r="88" spans="9:31" ht="14" x14ac:dyDescent="0.2">
      <c r="I88" s="451" t="str">
        <f t="shared" si="3"/>
        <v/>
      </c>
      <c r="J88" s="430"/>
      <c r="K88" s="449"/>
      <c r="L88" s="424"/>
      <c r="M88" s="425"/>
      <c r="N88" s="426"/>
      <c r="O88" s="427"/>
      <c r="P88" s="421"/>
      <c r="Q88" s="422"/>
      <c r="R88" s="421"/>
      <c r="S88" s="423"/>
      <c r="T88" s="421"/>
      <c r="U88" s="423"/>
      <c r="V88" s="423"/>
      <c r="W88" s="453" t="str">
        <f>IFERROR(VLOOKUP($P88, dropdown!$S$4:$T$15, 2, FALSE),
 IFERROR(VLOOKUP($R88, dropdown!$S$4:$T$15, 2, FALSE),
 IFERROR(VLOOKUP($T88, dropdown!$S$4:$T$15, 2, FALSE),
 "")))</f>
        <v/>
      </c>
      <c r="X88" s="430"/>
      <c r="Y88" s="55"/>
      <c r="AB88" s="11"/>
      <c r="AE88" s="11"/>
    </row>
    <row r="89" spans="9:31" ht="14" x14ac:dyDescent="0.2">
      <c r="I89" s="451" t="str">
        <f t="shared" si="3"/>
        <v/>
      </c>
      <c r="J89" s="430"/>
      <c r="K89" s="449"/>
      <c r="L89" s="424"/>
      <c r="M89" s="425"/>
      <c r="N89" s="426"/>
      <c r="O89" s="427"/>
      <c r="P89" s="421"/>
      <c r="Q89" s="422"/>
      <c r="R89" s="421"/>
      <c r="S89" s="423"/>
      <c r="T89" s="421"/>
      <c r="U89" s="423"/>
      <c r="V89" s="423"/>
      <c r="W89" s="453" t="str">
        <f>IFERROR(VLOOKUP($P89, dropdown!$S$4:$T$15, 2, FALSE),
 IFERROR(VLOOKUP($R89, dropdown!$S$4:$T$15, 2, FALSE),
 IFERROR(VLOOKUP($T89, dropdown!$S$4:$T$15, 2, FALSE),
 "")))</f>
        <v/>
      </c>
      <c r="X89" s="430"/>
      <c r="Y89" s="55"/>
      <c r="AB89" s="11"/>
      <c r="AE89" s="11"/>
    </row>
    <row r="90" spans="9:31" ht="14" x14ac:dyDescent="0.2">
      <c r="I90" s="451" t="str">
        <f t="shared" si="3"/>
        <v/>
      </c>
      <c r="J90" s="430"/>
      <c r="K90" s="449"/>
      <c r="L90" s="424"/>
      <c r="M90" s="425"/>
      <c r="N90" s="426"/>
      <c r="O90" s="427"/>
      <c r="P90" s="421"/>
      <c r="Q90" s="422"/>
      <c r="R90" s="421"/>
      <c r="S90" s="423"/>
      <c r="T90" s="421"/>
      <c r="U90" s="423"/>
      <c r="V90" s="423"/>
      <c r="W90" s="453" t="str">
        <f>IFERROR(VLOOKUP($P90, dropdown!$S$4:$T$15, 2, FALSE),
 IFERROR(VLOOKUP($R90, dropdown!$S$4:$T$15, 2, FALSE),
 IFERROR(VLOOKUP($T90, dropdown!$S$4:$T$15, 2, FALSE),
 "")))</f>
        <v/>
      </c>
      <c r="X90" s="430"/>
      <c r="Y90" s="55"/>
      <c r="AB90" s="11"/>
      <c r="AE90" s="11"/>
    </row>
    <row r="91" spans="9:31" ht="14" x14ac:dyDescent="0.2">
      <c r="I91" s="451" t="str">
        <f t="shared" si="3"/>
        <v/>
      </c>
      <c r="J91" s="430"/>
      <c r="K91" s="449"/>
      <c r="L91" s="424"/>
      <c r="M91" s="425"/>
      <c r="N91" s="426"/>
      <c r="O91" s="427"/>
      <c r="P91" s="421"/>
      <c r="Q91" s="422"/>
      <c r="R91" s="421"/>
      <c r="S91" s="423"/>
      <c r="T91" s="421"/>
      <c r="U91" s="423"/>
      <c r="V91" s="423"/>
      <c r="W91" s="453" t="str">
        <f>IFERROR(VLOOKUP($P91, dropdown!$S$4:$T$15, 2, FALSE),
 IFERROR(VLOOKUP($R91, dropdown!$S$4:$T$15, 2, FALSE),
 IFERROR(VLOOKUP($T91, dropdown!$S$4:$T$15, 2, FALSE),
 "")))</f>
        <v/>
      </c>
      <c r="X91" s="430"/>
      <c r="Y91" s="55"/>
      <c r="AB91" s="11"/>
      <c r="AE91" s="11"/>
    </row>
    <row r="92" spans="9:31" ht="14" x14ac:dyDescent="0.2">
      <c r="I92" s="451" t="str">
        <f t="shared" si="3"/>
        <v/>
      </c>
      <c r="J92" s="430"/>
      <c r="K92" s="449"/>
      <c r="L92" s="424"/>
      <c r="M92" s="425"/>
      <c r="N92" s="426"/>
      <c r="O92" s="427"/>
      <c r="P92" s="421"/>
      <c r="Q92" s="422"/>
      <c r="R92" s="421"/>
      <c r="S92" s="423"/>
      <c r="T92" s="421"/>
      <c r="U92" s="423"/>
      <c r="V92" s="423"/>
      <c r="W92" s="453" t="str">
        <f>IFERROR(VLOOKUP($P92, dropdown!$S$4:$T$15, 2, FALSE),
 IFERROR(VLOOKUP($R92, dropdown!$S$4:$T$15, 2, FALSE),
 IFERROR(VLOOKUP($T92, dropdown!$S$4:$T$15, 2, FALSE),
 "")))</f>
        <v/>
      </c>
      <c r="X92" s="430"/>
      <c r="Y92" s="55"/>
      <c r="AB92" s="11"/>
      <c r="AE92" s="11"/>
    </row>
    <row r="93" spans="9:31" ht="14" x14ac:dyDescent="0.2">
      <c r="I93" s="451" t="str">
        <f t="shared" si="3"/>
        <v/>
      </c>
      <c r="J93" s="430"/>
      <c r="K93" s="449"/>
      <c r="L93" s="424"/>
      <c r="M93" s="425"/>
      <c r="N93" s="426"/>
      <c r="O93" s="427"/>
      <c r="P93" s="421"/>
      <c r="Q93" s="422"/>
      <c r="R93" s="421"/>
      <c r="S93" s="423"/>
      <c r="T93" s="421"/>
      <c r="U93" s="423"/>
      <c r="V93" s="423"/>
      <c r="W93" s="453" t="str">
        <f>IFERROR(VLOOKUP($P93, dropdown!$S$4:$T$15, 2, FALSE),
 IFERROR(VLOOKUP($R93, dropdown!$S$4:$T$15, 2, FALSE),
 IFERROR(VLOOKUP($T93, dropdown!$S$4:$T$15, 2, FALSE),
 "")))</f>
        <v/>
      </c>
      <c r="X93" s="430"/>
      <c r="Y93" s="55"/>
      <c r="AB93" s="11"/>
      <c r="AE93" s="11"/>
    </row>
    <row r="94" spans="9:31" ht="14" x14ac:dyDescent="0.2">
      <c r="I94" s="451" t="str">
        <f t="shared" si="3"/>
        <v/>
      </c>
      <c r="J94" s="430"/>
      <c r="K94" s="449"/>
      <c r="L94" s="424"/>
      <c r="M94" s="425"/>
      <c r="N94" s="426"/>
      <c r="O94" s="427"/>
      <c r="P94" s="421"/>
      <c r="Q94" s="422"/>
      <c r="R94" s="421"/>
      <c r="S94" s="423"/>
      <c r="T94" s="421"/>
      <c r="U94" s="423"/>
      <c r="V94" s="423"/>
      <c r="W94" s="453" t="str">
        <f>IFERROR(VLOOKUP($P94, dropdown!$S$4:$T$15, 2, FALSE),
 IFERROR(VLOOKUP($R94, dropdown!$S$4:$T$15, 2, FALSE),
 IFERROR(VLOOKUP($T94, dropdown!$S$4:$T$15, 2, FALSE),
 "")))</f>
        <v/>
      </c>
      <c r="X94" s="430"/>
      <c r="Y94" s="55"/>
      <c r="AB94" s="11"/>
      <c r="AE94" s="11"/>
    </row>
    <row r="95" spans="9:31" ht="14" x14ac:dyDescent="0.2">
      <c r="I95" s="451" t="str">
        <f t="shared" si="3"/>
        <v/>
      </c>
      <c r="J95" s="430"/>
      <c r="K95" s="449"/>
      <c r="L95" s="424"/>
      <c r="M95" s="425"/>
      <c r="N95" s="426"/>
      <c r="O95" s="427"/>
      <c r="P95" s="421"/>
      <c r="Q95" s="422"/>
      <c r="R95" s="421"/>
      <c r="S95" s="423"/>
      <c r="T95" s="421"/>
      <c r="U95" s="423"/>
      <c r="V95" s="423"/>
      <c r="W95" s="453" t="str">
        <f>IFERROR(VLOOKUP($P95, dropdown!$S$4:$T$15, 2, FALSE),
 IFERROR(VLOOKUP($R95, dropdown!$S$4:$T$15, 2, FALSE),
 IFERROR(VLOOKUP($T95, dropdown!$S$4:$T$15, 2, FALSE),
 "")))</f>
        <v/>
      </c>
      <c r="X95" s="430"/>
      <c r="Y95" s="55"/>
      <c r="AB95" s="11"/>
      <c r="AE95" s="11"/>
    </row>
    <row r="96" spans="9:31" ht="14" x14ac:dyDescent="0.2">
      <c r="I96" s="451" t="str">
        <f t="shared" si="3"/>
        <v/>
      </c>
      <c r="J96" s="430"/>
      <c r="K96" s="449"/>
      <c r="L96" s="424"/>
      <c r="M96" s="425"/>
      <c r="N96" s="426"/>
      <c r="O96" s="427"/>
      <c r="P96" s="421"/>
      <c r="Q96" s="422"/>
      <c r="R96" s="421"/>
      <c r="S96" s="423"/>
      <c r="T96" s="421"/>
      <c r="U96" s="423"/>
      <c r="V96" s="423"/>
      <c r="W96" s="453" t="str">
        <f>IFERROR(VLOOKUP($P96, dropdown!$S$4:$T$15, 2, FALSE),
 IFERROR(VLOOKUP($R96, dropdown!$S$4:$T$15, 2, FALSE),
 IFERROR(VLOOKUP($T96, dropdown!$S$4:$T$15, 2, FALSE),
 "")))</f>
        <v/>
      </c>
      <c r="X96" s="430"/>
      <c r="Y96" s="55"/>
      <c r="AB96" s="11"/>
      <c r="AE96" s="11"/>
    </row>
    <row r="97" spans="9:31" ht="14" x14ac:dyDescent="0.2">
      <c r="I97" s="451" t="str">
        <f t="shared" si="3"/>
        <v/>
      </c>
      <c r="J97" s="430"/>
      <c r="K97" s="449"/>
      <c r="L97" s="424"/>
      <c r="M97" s="425"/>
      <c r="N97" s="426"/>
      <c r="O97" s="427"/>
      <c r="P97" s="421"/>
      <c r="Q97" s="422"/>
      <c r="R97" s="421"/>
      <c r="S97" s="423"/>
      <c r="T97" s="421"/>
      <c r="U97" s="423"/>
      <c r="V97" s="423"/>
      <c r="W97" s="453" t="str">
        <f>IFERROR(VLOOKUP($P97, dropdown!$S$4:$T$15, 2, FALSE),
 IFERROR(VLOOKUP($R97, dropdown!$S$4:$T$15, 2, FALSE),
 IFERROR(VLOOKUP($T97, dropdown!$S$4:$T$15, 2, FALSE),
 "")))</f>
        <v/>
      </c>
      <c r="X97" s="430"/>
      <c r="Y97" s="55"/>
      <c r="AB97" s="11"/>
      <c r="AE97" s="11"/>
    </row>
    <row r="98" spans="9:31" ht="14" x14ac:dyDescent="0.2">
      <c r="I98" s="451" t="str">
        <f t="shared" si="3"/>
        <v/>
      </c>
      <c r="J98" s="430"/>
      <c r="K98" s="449"/>
      <c r="L98" s="424"/>
      <c r="M98" s="425"/>
      <c r="N98" s="426"/>
      <c r="O98" s="427"/>
      <c r="P98" s="421"/>
      <c r="Q98" s="422"/>
      <c r="R98" s="421"/>
      <c r="S98" s="423"/>
      <c r="T98" s="421"/>
      <c r="U98" s="423"/>
      <c r="V98" s="423"/>
      <c r="W98" s="453" t="str">
        <f>IFERROR(VLOOKUP($P98, dropdown!$S$4:$T$15, 2, FALSE),
 IFERROR(VLOOKUP($R98, dropdown!$S$4:$T$15, 2, FALSE),
 IFERROR(VLOOKUP($T98, dropdown!$S$4:$T$15, 2, FALSE),
 "")))</f>
        <v/>
      </c>
      <c r="X98" s="430"/>
      <c r="Y98" s="55"/>
      <c r="AB98" s="11"/>
      <c r="AE98" s="11"/>
    </row>
    <row r="99" spans="9:31" ht="14" x14ac:dyDescent="0.2">
      <c r="I99" s="451" t="str">
        <f t="shared" si="3"/>
        <v/>
      </c>
      <c r="J99" s="430"/>
      <c r="K99" s="449"/>
      <c r="L99" s="424"/>
      <c r="M99" s="425"/>
      <c r="N99" s="426"/>
      <c r="O99" s="427"/>
      <c r="P99" s="421"/>
      <c r="Q99" s="422"/>
      <c r="R99" s="421"/>
      <c r="S99" s="423"/>
      <c r="T99" s="421"/>
      <c r="U99" s="423"/>
      <c r="V99" s="423"/>
      <c r="W99" s="453" t="str">
        <f>IFERROR(VLOOKUP($P99, dropdown!$S$4:$T$15, 2, FALSE),
 IFERROR(VLOOKUP($R99, dropdown!$S$4:$T$15, 2, FALSE),
 IFERROR(VLOOKUP($T99, dropdown!$S$4:$T$15, 2, FALSE),
 "")))</f>
        <v/>
      </c>
      <c r="X99" s="430"/>
      <c r="Y99" s="55"/>
      <c r="AB99" s="11"/>
      <c r="AE99" s="11"/>
    </row>
    <row r="100" spans="9:31" ht="14" x14ac:dyDescent="0.2">
      <c r="I100" s="451" t="str">
        <f t="shared" si="3"/>
        <v/>
      </c>
      <c r="J100" s="430"/>
      <c r="K100" s="449"/>
      <c r="L100" s="424"/>
      <c r="M100" s="425"/>
      <c r="N100" s="426"/>
      <c r="O100" s="427"/>
      <c r="P100" s="421"/>
      <c r="Q100" s="422"/>
      <c r="R100" s="421"/>
      <c r="S100" s="423"/>
      <c r="T100" s="421"/>
      <c r="U100" s="423"/>
      <c r="V100" s="423"/>
      <c r="W100" s="453" t="str">
        <f>IFERROR(VLOOKUP($P100, dropdown!$S$4:$T$15, 2, FALSE),
 IFERROR(VLOOKUP($R100, dropdown!$S$4:$T$15, 2, FALSE),
 IFERROR(VLOOKUP($T100, dropdown!$S$4:$T$15, 2, FALSE),
 "")))</f>
        <v/>
      </c>
      <c r="X100" s="430"/>
      <c r="Y100" s="55"/>
      <c r="AB100" s="11"/>
      <c r="AE100" s="11"/>
    </row>
    <row r="101" spans="9:31" ht="14" x14ac:dyDescent="0.2">
      <c r="I101" s="451" t="str">
        <f t="shared" si="3"/>
        <v/>
      </c>
      <c r="J101" s="430"/>
      <c r="K101" s="449"/>
      <c r="L101" s="424"/>
      <c r="M101" s="425"/>
      <c r="N101" s="426"/>
      <c r="O101" s="427"/>
      <c r="P101" s="421"/>
      <c r="Q101" s="422"/>
      <c r="R101" s="421"/>
      <c r="S101" s="423"/>
      <c r="T101" s="421"/>
      <c r="U101" s="423"/>
      <c r="V101" s="423"/>
      <c r="W101" s="453" t="str">
        <f>IFERROR(VLOOKUP($P101, dropdown!$S$4:$T$15, 2, FALSE),
 IFERROR(VLOOKUP($R101, dropdown!$S$4:$T$15, 2, FALSE),
 IFERROR(VLOOKUP($T101, dropdown!$S$4:$T$15, 2, FALSE),
 "")))</f>
        <v/>
      </c>
      <c r="X101" s="430"/>
      <c r="Y101" s="55"/>
      <c r="AB101" s="11"/>
      <c r="AE101" s="11"/>
    </row>
    <row r="102" spans="9:31" ht="14" x14ac:dyDescent="0.2">
      <c r="I102" s="451" t="str">
        <f t="shared" si="3"/>
        <v/>
      </c>
      <c r="J102" s="430"/>
      <c r="K102" s="449"/>
      <c r="L102" s="424"/>
      <c r="M102" s="425"/>
      <c r="N102" s="426"/>
      <c r="O102" s="427"/>
      <c r="P102" s="421"/>
      <c r="Q102" s="422"/>
      <c r="R102" s="421"/>
      <c r="S102" s="423"/>
      <c r="T102" s="421"/>
      <c r="U102" s="423"/>
      <c r="V102" s="423"/>
      <c r="W102" s="453" t="str">
        <f>IFERROR(VLOOKUP($P102, dropdown!$S$4:$T$15, 2, FALSE),
 IFERROR(VLOOKUP($R102, dropdown!$S$4:$T$15, 2, FALSE),
 IFERROR(VLOOKUP($T102, dropdown!$S$4:$T$15, 2, FALSE),
 "")))</f>
        <v/>
      </c>
      <c r="X102" s="430"/>
      <c r="Y102" s="55"/>
      <c r="AB102" s="11"/>
      <c r="AE102" s="11"/>
    </row>
    <row r="103" spans="9:31" ht="14" x14ac:dyDescent="0.2">
      <c r="I103" s="451" t="str">
        <f t="shared" si="3"/>
        <v/>
      </c>
      <c r="J103" s="430"/>
      <c r="K103" s="449"/>
      <c r="L103" s="424"/>
      <c r="M103" s="425"/>
      <c r="N103" s="426"/>
      <c r="O103" s="427"/>
      <c r="P103" s="421"/>
      <c r="Q103" s="422"/>
      <c r="R103" s="421"/>
      <c r="S103" s="423"/>
      <c r="T103" s="421"/>
      <c r="U103" s="423"/>
      <c r="V103" s="423"/>
      <c r="W103" s="453" t="str">
        <f>IFERROR(VLOOKUP($P103, dropdown!$S$4:$T$15, 2, FALSE),
 IFERROR(VLOOKUP($R103, dropdown!$S$4:$T$15, 2, FALSE),
 IFERROR(VLOOKUP($T103, dropdown!$S$4:$T$15, 2, FALSE),
 "")))</f>
        <v/>
      </c>
      <c r="X103" s="430"/>
      <c r="Y103" s="55"/>
      <c r="AB103" s="11"/>
      <c r="AE103" s="11"/>
    </row>
    <row r="104" spans="9:31" ht="14" x14ac:dyDescent="0.2">
      <c r="I104" s="451" t="str">
        <f t="shared" si="3"/>
        <v/>
      </c>
      <c r="J104" s="430"/>
      <c r="K104" s="449"/>
      <c r="L104" s="424"/>
      <c r="M104" s="425"/>
      <c r="N104" s="426"/>
      <c r="O104" s="427"/>
      <c r="P104" s="421"/>
      <c r="Q104" s="422"/>
      <c r="R104" s="421"/>
      <c r="S104" s="423"/>
      <c r="T104" s="421"/>
      <c r="U104" s="423"/>
      <c r="V104" s="423"/>
      <c r="W104" s="453" t="str">
        <f>IFERROR(VLOOKUP($P104, dropdown!$S$4:$T$15, 2, FALSE),
 IFERROR(VLOOKUP($R104, dropdown!$S$4:$T$15, 2, FALSE),
 IFERROR(VLOOKUP($T104, dropdown!$S$4:$T$15, 2, FALSE),
 "")))</f>
        <v/>
      </c>
      <c r="X104" s="430"/>
      <c r="Y104" s="55"/>
      <c r="AB104" s="11"/>
      <c r="AE104" s="11"/>
    </row>
    <row r="105" spans="9:31" ht="14" x14ac:dyDescent="0.2">
      <c r="I105" s="451" t="str">
        <f t="shared" si="3"/>
        <v/>
      </c>
      <c r="J105" s="430"/>
      <c r="K105" s="449"/>
      <c r="L105" s="424"/>
      <c r="M105" s="425"/>
      <c r="N105" s="426"/>
      <c r="O105" s="427"/>
      <c r="P105" s="421"/>
      <c r="Q105" s="422"/>
      <c r="R105" s="421"/>
      <c r="S105" s="423"/>
      <c r="T105" s="421"/>
      <c r="U105" s="423"/>
      <c r="V105" s="423"/>
      <c r="W105" s="453" t="str">
        <f>IFERROR(VLOOKUP($P105, dropdown!$S$4:$T$15, 2, FALSE),
 IFERROR(VLOOKUP($R105, dropdown!$S$4:$T$15, 2, FALSE),
 IFERROR(VLOOKUP($T105, dropdown!$S$4:$T$15, 2, FALSE),
 "")))</f>
        <v/>
      </c>
      <c r="X105" s="430"/>
      <c r="Y105" s="55"/>
      <c r="AB105" s="11"/>
      <c r="AE105" s="11"/>
    </row>
    <row r="106" spans="9:31" ht="14" x14ac:dyDescent="0.2">
      <c r="I106" s="451" t="str">
        <f t="shared" si="3"/>
        <v/>
      </c>
      <c r="J106" s="430"/>
      <c r="K106" s="449"/>
      <c r="L106" s="424"/>
      <c r="M106" s="425"/>
      <c r="N106" s="426"/>
      <c r="O106" s="427"/>
      <c r="P106" s="421"/>
      <c r="Q106" s="422"/>
      <c r="R106" s="421"/>
      <c r="S106" s="423"/>
      <c r="T106" s="421"/>
      <c r="U106" s="423"/>
      <c r="V106" s="423"/>
      <c r="W106" s="453" t="str">
        <f>IFERROR(VLOOKUP($P106, dropdown!$S$4:$T$15, 2, FALSE),
 IFERROR(VLOOKUP($R106, dropdown!$S$4:$T$15, 2, FALSE),
 IFERROR(VLOOKUP($T106, dropdown!$S$4:$T$15, 2, FALSE),
 "")))</f>
        <v/>
      </c>
      <c r="X106" s="430"/>
      <c r="Y106" s="55"/>
      <c r="AB106" s="11"/>
      <c r="AE106" s="11"/>
    </row>
    <row r="107" spans="9:31" ht="14" x14ac:dyDescent="0.2">
      <c r="I107" s="451" t="str">
        <f t="shared" si="3"/>
        <v/>
      </c>
      <c r="J107" s="430"/>
      <c r="K107" s="449"/>
      <c r="L107" s="424"/>
      <c r="M107" s="425"/>
      <c r="N107" s="426"/>
      <c r="O107" s="427"/>
      <c r="P107" s="421"/>
      <c r="Q107" s="422"/>
      <c r="R107" s="421"/>
      <c r="S107" s="423"/>
      <c r="T107" s="421"/>
      <c r="U107" s="423"/>
      <c r="V107" s="423"/>
      <c r="W107" s="453" t="str">
        <f>IFERROR(VLOOKUP($P107, dropdown!$S$4:$T$15, 2, FALSE),
 IFERROR(VLOOKUP($R107, dropdown!$S$4:$T$15, 2, FALSE),
 IFERROR(VLOOKUP($T107, dropdown!$S$4:$T$15, 2, FALSE),
 "")))</f>
        <v/>
      </c>
      <c r="X107" s="430"/>
      <c r="Y107" s="55"/>
      <c r="AB107" s="11"/>
      <c r="AE107" s="11"/>
    </row>
    <row r="108" spans="9:31" ht="14" x14ac:dyDescent="0.2">
      <c r="I108" s="451" t="str">
        <f t="shared" si="3"/>
        <v/>
      </c>
      <c r="J108" s="430"/>
      <c r="K108" s="449"/>
      <c r="L108" s="424"/>
      <c r="M108" s="425"/>
      <c r="N108" s="426"/>
      <c r="O108" s="427"/>
      <c r="P108" s="421"/>
      <c r="Q108" s="422"/>
      <c r="R108" s="421"/>
      <c r="S108" s="423"/>
      <c r="T108" s="421"/>
      <c r="U108" s="423"/>
      <c r="V108" s="423"/>
      <c r="W108" s="453" t="str">
        <f>IFERROR(VLOOKUP($P108, dropdown!$S$4:$T$15, 2, FALSE),
 IFERROR(VLOOKUP($R108, dropdown!$S$4:$T$15, 2, FALSE),
 IFERROR(VLOOKUP($T108, dropdown!$S$4:$T$15, 2, FALSE),
 "")))</f>
        <v/>
      </c>
      <c r="X108" s="430"/>
      <c r="AB108" s="11"/>
      <c r="AE108" s="11"/>
    </row>
    <row r="109" spans="9:31" x14ac:dyDescent="0.2">
      <c r="W109" s="55"/>
    </row>
    <row r="110" spans="9:31" x14ac:dyDescent="0.2">
      <c r="I110" s="326" t="s">
        <v>189</v>
      </c>
    </row>
  </sheetData>
  <sheetProtection algorithmName="SHA-512" hashValue="xI4ifeZiDRoP6eePsyCz3ve6Ppqs1ez+yT+W6R4RiegY/SUsEA3DnWqOZWam65x228jspn1X1n009A9rtvwlkQ==" saltValue="IK5yOmwl1ilpwOyC/jDuIw==" spinCount="100000" sheet="1" objects="1" scenarios="1" selectLockedCells="1"/>
  <protectedRanges>
    <protectedRange sqref="I8:V108 X8:X108" name="Range1"/>
  </protectedRanges>
  <mergeCells count="20">
    <mergeCell ref="C6:G6"/>
    <mergeCell ref="C7:G7"/>
    <mergeCell ref="C22:D23"/>
    <mergeCell ref="E22:G23"/>
    <mergeCell ref="E24:G25"/>
    <mergeCell ref="P7:Q7"/>
    <mergeCell ref="R7:S7"/>
    <mergeCell ref="T7:V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P9:P13 P15:P108">
    <cfRule type="expression" dxfId="92" priority="12">
      <formula>$O9="New installation"</formula>
    </cfRule>
  </conditionalFormatting>
  <conditionalFormatting sqref="Q9:Q13 Q15:Q108">
    <cfRule type="expression" dxfId="91" priority="11">
      <formula>$O9="New installation"</formula>
    </cfRule>
  </conditionalFormatting>
  <conditionalFormatting sqref="R9 R14 R18:R108">
    <cfRule type="expression" dxfId="90" priority="10">
      <formula>$O9="In operation"</formula>
    </cfRule>
  </conditionalFormatting>
  <conditionalFormatting sqref="S9 S14 S18:S108">
    <cfRule type="expression" dxfId="89" priority="9">
      <formula>$O9="In operation"</formula>
    </cfRule>
  </conditionalFormatting>
  <conditionalFormatting sqref="T9:T108">
    <cfRule type="expression" dxfId="88" priority="8">
      <formula>$O9="Disposed"</formula>
    </cfRule>
  </conditionalFormatting>
  <conditionalFormatting sqref="U9:V108">
    <cfRule type="expression" dxfId="87" priority="7">
      <formula>$O9="Disposed"</formula>
    </cfRule>
  </conditionalFormatting>
  <conditionalFormatting sqref="P14">
    <cfRule type="expression" dxfId="86" priority="6">
      <formula>$O14="New installation"</formula>
    </cfRule>
  </conditionalFormatting>
  <conditionalFormatting sqref="Q14">
    <cfRule type="expression" dxfId="85" priority="5">
      <formula>$O14="New installation"</formula>
    </cfRule>
  </conditionalFormatting>
  <conditionalFormatting sqref="R10:R13">
    <cfRule type="expression" dxfId="84" priority="4">
      <formula>$O10="In operation"</formula>
    </cfRule>
  </conditionalFormatting>
  <conditionalFormatting sqref="S10:S13">
    <cfRule type="expression" dxfId="83" priority="3">
      <formula>$O10="In operation"</formula>
    </cfRule>
  </conditionalFormatting>
  <conditionalFormatting sqref="R15:R17">
    <cfRule type="expression" dxfId="82" priority="2">
      <formula>$O15="In operation"</formula>
    </cfRule>
  </conditionalFormatting>
  <conditionalFormatting sqref="S15:S17">
    <cfRule type="expression" dxfId="81" priority="1">
      <formula>$O15="In operation"</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076F2A91-9D2E-8B4D-A50B-67DF1A8C3984}">
          <x14:formula1>
            <xm:f>dropdown!$AM$4:$AM$8</xm:f>
          </x14:formula1>
          <xm:sqref>L9:L108</xm:sqref>
        </x14:dataValidation>
        <x14:dataValidation type="list" allowBlank="1" showInputMessage="1" showErrorMessage="1" xr:uid="{4B3D50AA-7B2F-2C4D-B07F-5154DDDFB8B6}">
          <x14:formula1>
            <xm:f>dropdown!$AB$4:$AB$6</xm:f>
          </x14:formula1>
          <xm:sqref>O9:O108</xm:sqref>
        </x14:dataValidation>
        <x14:dataValidation type="list" allowBlank="1" showInputMessage="1" showErrorMessage="1" xr:uid="{0E547278-C0B8-474A-8383-12D64FFFCDFD}">
          <x14:formula1>
            <xm:f>dropdown!$X$4:$X$9</xm:f>
          </x14:formula1>
          <xm:sqref>N9:N108</xm:sqref>
        </x14:dataValidation>
        <x14:dataValidation type="list" allowBlank="1" showInputMessage="1" showErrorMessage="1" xr:uid="{5F73F391-9616-7B40-A2FD-96DBF90DCE8B}">
          <x14:formula1>
            <xm:f>dropdown!$S$4:$S$15</xm:f>
          </x14:formula1>
          <xm:sqref>P9:P108 R9:R108 T9:T108</xm:sqref>
        </x14:dataValidation>
        <x14:dataValidation type="list" allowBlank="1" showInputMessage="1" showErrorMessage="1" xr:uid="{B8E85EA0-6602-4FD7-A474-2FEFBE2B19F4}">
          <x14:formula1>
            <xm:f>dropdown!$N$4:$N$5</xm:f>
          </x14:formula1>
          <xm:sqref>K9:K108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R109"/>
  <sheetViews>
    <sheetView showGridLines="0" topLeftCell="A4" zoomScaleNormal="100" workbookViewId="0">
      <selection activeCell="K10" sqref="K10"/>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22.5" style="20" customWidth="1"/>
    <col min="11" max="11" width="14.33203125" style="21" customWidth="1"/>
    <col min="12" max="12" width="9" style="21" customWidth="1"/>
    <col min="13" max="13" width="11.5" style="22" customWidth="1"/>
    <col min="14" max="14" width="17.33203125" style="45" customWidth="1"/>
    <col min="15" max="15" width="17.33203125" style="169" customWidth="1"/>
    <col min="16" max="16" width="37" style="20" customWidth="1"/>
    <col min="17" max="17" width="21.5" style="20" customWidth="1"/>
    <col min="18" max="18" width="10.83203125" style="47" customWidth="1"/>
    <col min="19" max="16384" width="10.83203125" style="20"/>
  </cols>
  <sheetData>
    <row r="2" spans="2:16" ht="19" x14ac:dyDescent="0.25">
      <c r="B2" s="261" t="s">
        <v>30</v>
      </c>
      <c r="C2" s="30"/>
      <c r="D2" s="30"/>
      <c r="E2" s="30"/>
      <c r="F2" s="30"/>
      <c r="G2" s="31"/>
      <c r="I2" s="311" t="s">
        <v>232</v>
      </c>
      <c r="J2" s="312"/>
      <c r="K2" s="313"/>
      <c r="L2" s="313"/>
      <c r="M2" s="314"/>
      <c r="N2" s="315"/>
      <c r="O2" s="316"/>
      <c r="P2" s="317"/>
    </row>
    <row r="3" spans="2:16" x14ac:dyDescent="0.2">
      <c r="B3" s="32" t="s">
        <v>9</v>
      </c>
      <c r="C3" s="33"/>
      <c r="D3" s="34" t="s">
        <v>172</v>
      </c>
      <c r="E3" s="33"/>
      <c r="F3" s="33" t="s">
        <v>173</v>
      </c>
      <c r="G3" s="35"/>
      <c r="I3" s="289" t="s">
        <v>174</v>
      </c>
      <c r="J3" s="290"/>
      <c r="K3" s="291"/>
      <c r="L3" s="291"/>
      <c r="M3" s="292"/>
      <c r="N3" s="318"/>
      <c r="O3" s="319"/>
      <c r="P3" s="294"/>
    </row>
    <row r="4" spans="2:16" x14ac:dyDescent="0.2">
      <c r="B4" s="166" t="str">
        <f>'1. Data Info and Summary'!$D$2</f>
        <v>Security Plant Complex</v>
      </c>
      <c r="C4" s="36"/>
      <c r="D4" s="37">
        <f>IF('1. Data Info and Summary'!$D$3=0,"-",'1. Data Info and Summary'!$D$3)</f>
        <v>2024</v>
      </c>
      <c r="E4" s="36"/>
      <c r="F4" s="36" t="s">
        <v>166</v>
      </c>
      <c r="G4" s="38"/>
      <c r="I4" s="320"/>
      <c r="J4" s="275"/>
      <c r="P4" s="296"/>
    </row>
    <row r="5" spans="2:16" x14ac:dyDescent="0.2">
      <c r="B5" s="274"/>
      <c r="D5" s="274"/>
      <c r="I5" s="321"/>
      <c r="J5" s="297"/>
      <c r="K5" s="299"/>
      <c r="L5" s="299"/>
      <c r="M5" s="300"/>
      <c r="N5" s="322"/>
      <c r="O5" s="323"/>
      <c r="P5" s="302"/>
    </row>
    <row r="6" spans="2:16" x14ac:dyDescent="0.2">
      <c r="B6" s="283" t="s">
        <v>176</v>
      </c>
      <c r="C6" s="460"/>
      <c r="D6" s="461"/>
      <c r="E6" s="461"/>
      <c r="F6" s="461"/>
      <c r="G6" s="462"/>
    </row>
    <row r="7" spans="2:16" ht="30" x14ac:dyDescent="0.2">
      <c r="B7" s="283" t="s">
        <v>178</v>
      </c>
      <c r="C7" s="460"/>
      <c r="D7" s="461"/>
      <c r="E7" s="461"/>
      <c r="F7" s="461"/>
      <c r="G7" s="462"/>
      <c r="I7" s="252" t="s">
        <v>177</v>
      </c>
      <c r="J7" s="252" t="s">
        <v>36</v>
      </c>
      <c r="K7" s="253" t="s">
        <v>43</v>
      </c>
      <c r="L7" s="253" t="s">
        <v>47</v>
      </c>
      <c r="M7" s="254" t="s">
        <v>109</v>
      </c>
      <c r="N7" s="255" t="s">
        <v>111</v>
      </c>
      <c r="O7" s="256" t="s">
        <v>113</v>
      </c>
      <c r="P7" s="257" t="s">
        <v>58</v>
      </c>
    </row>
    <row r="8" spans="2:16" x14ac:dyDescent="0.2">
      <c r="B8" s="274"/>
      <c r="D8" s="274"/>
      <c r="I8" s="198">
        <f>IF($M8="","",1)</f>
        <v>1</v>
      </c>
      <c r="J8" s="57" t="s">
        <v>38</v>
      </c>
      <c r="K8" s="57" t="s">
        <v>193</v>
      </c>
      <c r="L8" s="18" t="str">
        <f>IF(Electricity[[#This Row],[Month]]&lt;&gt;"",VLOOKUP(Electricity[[#This Row],[Month]], dropdown!$S$4:$T$15, 2, FALSE),"")</f>
        <v>Q1</v>
      </c>
      <c r="M8" s="28">
        <v>263</v>
      </c>
      <c r="N8" s="46">
        <v>4664.72</v>
      </c>
      <c r="O8" s="170" t="s">
        <v>115</v>
      </c>
      <c r="P8" s="199" t="s">
        <v>233</v>
      </c>
    </row>
    <row r="9" spans="2:16" x14ac:dyDescent="0.2">
      <c r="I9" s="198">
        <f t="shared" ref="I9:I40" si="0">IF($M9="","",$I8+1)</f>
        <v>2</v>
      </c>
      <c r="J9" s="57" t="s">
        <v>179</v>
      </c>
      <c r="K9" s="57" t="s">
        <v>193</v>
      </c>
      <c r="L9" s="18" t="str">
        <f>IF(Electricity[[#This Row],[Month]]&lt;&gt;"",VLOOKUP(Electricity[[#This Row],[Month]], dropdown!$S$4:$T$15, 2, FALSE),"")</f>
        <v>Q1</v>
      </c>
      <c r="M9" s="28">
        <v>763000</v>
      </c>
      <c r="N9" s="46">
        <v>7533286.5999999996</v>
      </c>
      <c r="O9" s="170" t="s">
        <v>115</v>
      </c>
      <c r="P9" s="199" t="s">
        <v>234</v>
      </c>
    </row>
    <row r="10" spans="2:16" ht="15" x14ac:dyDescent="0.2">
      <c r="B10" s="338" t="s">
        <v>107</v>
      </c>
      <c r="C10" s="14"/>
      <c r="D10" s="14"/>
      <c r="E10" s="14"/>
      <c r="F10" s="14"/>
      <c r="G10" s="14"/>
      <c r="I10" s="198">
        <f t="shared" si="0"/>
        <v>3</v>
      </c>
      <c r="J10" s="57" t="s">
        <v>179</v>
      </c>
      <c r="K10" s="57" t="s">
        <v>193</v>
      </c>
      <c r="L10" s="18" t="str">
        <f>IF(Electricity[[#This Row],[Month]]&lt;&gt;"",VLOOKUP(Electricity[[#This Row],[Month]], dropdown!$S$4:$T$15, 2, FALSE),"")</f>
        <v>Q1</v>
      </c>
      <c r="M10" s="28">
        <v>406000</v>
      </c>
      <c r="N10" s="46">
        <v>4473058.88</v>
      </c>
      <c r="O10" s="170" t="s">
        <v>115</v>
      </c>
      <c r="P10" s="199" t="s">
        <v>235</v>
      </c>
    </row>
    <row r="11" spans="2:16" x14ac:dyDescent="0.2">
      <c r="B11" s="13" t="s">
        <v>159</v>
      </c>
      <c r="C11" s="13" t="s">
        <v>55</v>
      </c>
      <c r="D11" s="39" t="s">
        <v>49</v>
      </c>
      <c r="E11" s="39" t="s">
        <v>153</v>
      </c>
      <c r="F11" s="39" t="s">
        <v>154</v>
      </c>
      <c r="G11" s="39" t="s">
        <v>155</v>
      </c>
      <c r="I11" s="198">
        <f t="shared" si="0"/>
        <v>4</v>
      </c>
      <c r="J11" s="57" t="s">
        <v>38</v>
      </c>
      <c r="K11" s="57" t="s">
        <v>193</v>
      </c>
      <c r="L11" s="18" t="str">
        <f>IF(Electricity[[#This Row],[Month]]&lt;&gt;"",VLOOKUP(Electricity[[#This Row],[Month]], dropdown!$S$4:$T$15, 2, FALSE),"")</f>
        <v>Q1</v>
      </c>
      <c r="M11" s="28">
        <v>7200</v>
      </c>
      <c r="N11" s="46">
        <v>81297.3</v>
      </c>
      <c r="O11" s="170" t="s">
        <v>115</v>
      </c>
      <c r="P11" s="199" t="s">
        <v>236</v>
      </c>
    </row>
    <row r="12" spans="2:16" x14ac:dyDescent="0.2">
      <c r="B12" s="17" t="s">
        <v>237</v>
      </c>
      <c r="C12" s="17" t="s">
        <v>238</v>
      </c>
      <c r="D12" s="40">
        <f>SUMIFS(Electricity[Consumption (kWh)],Electricity[Quarter],D$11)</f>
        <v>4491861</v>
      </c>
      <c r="E12" s="40">
        <f>SUMIFS(Electricity[Consumption (kWh)],Electricity[Quarter],E$11)</f>
        <v>4904037.59</v>
      </c>
      <c r="F12" s="40">
        <f>SUMIFS(Electricity[Consumption (kWh)],Electricity[Quarter],F$11)</f>
        <v>5104743</v>
      </c>
      <c r="G12" s="40">
        <f>SUMIFS(Electricity[Consumption (kWh)],Electricity[Quarter],G$11)</f>
        <v>3998976</v>
      </c>
      <c r="I12" s="198">
        <f t="shared" si="0"/>
        <v>5</v>
      </c>
      <c r="J12" s="57" t="s">
        <v>179</v>
      </c>
      <c r="K12" s="57" t="s">
        <v>193</v>
      </c>
      <c r="L12" s="18" t="str">
        <f>IF(Electricity[[#This Row],[Month]]&lt;&gt;"",VLOOKUP(Electricity[[#This Row],[Month]], dropdown!$S$4:$T$15, 2, FALSE),"")</f>
        <v>Q1</v>
      </c>
      <c r="M12" s="28">
        <v>171500</v>
      </c>
      <c r="N12" s="46">
        <v>2086955.48</v>
      </c>
      <c r="O12" s="170" t="s">
        <v>115</v>
      </c>
      <c r="P12" s="199" t="s">
        <v>239</v>
      </c>
    </row>
    <row r="13" spans="2:16" x14ac:dyDescent="0.2">
      <c r="D13" s="172" t="str">
        <f>IF(SUM(D$12:D$12)&gt;0,"x","")</f>
        <v>x</v>
      </c>
      <c r="E13" s="172" t="str">
        <f>IF(SUM(E$12:E$12)&gt;0,"x","")</f>
        <v>x</v>
      </c>
      <c r="F13" s="172" t="str">
        <f>IF(SUM(F$12:F$12)&gt;0,"x","")</f>
        <v>x</v>
      </c>
      <c r="G13" s="172" t="str">
        <f>IF(SUM(G$12:G$12)&gt;0,"x","")</f>
        <v>x</v>
      </c>
      <c r="I13" s="198">
        <f t="shared" si="0"/>
        <v>6</v>
      </c>
      <c r="J13" s="57" t="s">
        <v>38</v>
      </c>
      <c r="K13" s="57" t="s">
        <v>193</v>
      </c>
      <c r="L13" s="18" t="str">
        <f>IF(Electricity[[#This Row],[Month]]&lt;&gt;"",VLOOKUP(Electricity[[#This Row],[Month]], dropdown!$S$4:$T$15, 2, FALSE),"")</f>
        <v>Q1</v>
      </c>
      <c r="M13" s="28">
        <v>3687</v>
      </c>
      <c r="N13" s="46">
        <v>42519.41</v>
      </c>
      <c r="O13" s="170" t="s">
        <v>115</v>
      </c>
      <c r="P13" s="199" t="s">
        <v>240</v>
      </c>
    </row>
    <row r="14" spans="2:16" x14ac:dyDescent="0.2">
      <c r="B14" s="125" t="s">
        <v>42</v>
      </c>
      <c r="D14" s="173"/>
      <c r="I14" s="198">
        <f t="shared" si="0"/>
        <v>7</v>
      </c>
      <c r="J14" s="57" t="s">
        <v>38</v>
      </c>
      <c r="K14" s="57" t="s">
        <v>92</v>
      </c>
      <c r="L14" s="18" t="str">
        <f>IF(Electricity[[#This Row],[Month]]&lt;&gt;"",VLOOKUP(Electricity[[#This Row],[Month]], dropdown!$S$4:$T$15, 2, FALSE),"")</f>
        <v>Q1</v>
      </c>
      <c r="M14" s="28">
        <v>275</v>
      </c>
      <c r="N14" s="46">
        <v>4871.5200000000004</v>
      </c>
      <c r="O14" s="170" t="s">
        <v>115</v>
      </c>
      <c r="P14" s="199" t="s">
        <v>233</v>
      </c>
    </row>
    <row r="15" spans="2:16" x14ac:dyDescent="0.2">
      <c r="B15" s="126" t="s">
        <v>186</v>
      </c>
      <c r="D15" s="173"/>
      <c r="I15" s="198">
        <f t="shared" si="0"/>
        <v>8</v>
      </c>
      <c r="J15" s="57" t="s">
        <v>179</v>
      </c>
      <c r="K15" s="57" t="s">
        <v>92</v>
      </c>
      <c r="L15" s="18" t="str">
        <f>IF(Electricity[[#This Row],[Month]]&lt;&gt;"",VLOOKUP(Electricity[[#This Row],[Month]], dropdown!$S$4:$T$15, 2, FALSE),"")</f>
        <v>Q1</v>
      </c>
      <c r="M15" s="28">
        <v>889000</v>
      </c>
      <c r="N15" s="46">
        <v>9107109.7400000002</v>
      </c>
      <c r="O15" s="170" t="s">
        <v>115</v>
      </c>
      <c r="P15" s="199" t="s">
        <v>234</v>
      </c>
    </row>
    <row r="16" spans="2:16" x14ac:dyDescent="0.2">
      <c r="B16" s="127" t="s">
        <v>187</v>
      </c>
      <c r="I16" s="198">
        <f t="shared" si="0"/>
        <v>9</v>
      </c>
      <c r="J16" s="57" t="s">
        <v>179</v>
      </c>
      <c r="K16" s="57" t="s">
        <v>92</v>
      </c>
      <c r="L16" s="18" t="str">
        <f>IF(Electricity[[#This Row],[Month]]&lt;&gt;"",VLOOKUP(Electricity[[#This Row],[Month]], dropdown!$S$4:$T$15, 2, FALSE),"")</f>
        <v>Q1</v>
      </c>
      <c r="M16" s="28">
        <v>497000</v>
      </c>
      <c r="N16" s="46">
        <v>5510128.6399999997</v>
      </c>
      <c r="O16" s="170" t="s">
        <v>115</v>
      </c>
      <c r="P16" s="199" t="s">
        <v>235</v>
      </c>
    </row>
    <row r="17" spans="2:18" x14ac:dyDescent="0.2">
      <c r="B17" s="128" t="s">
        <v>188</v>
      </c>
      <c r="I17" s="198">
        <f t="shared" si="0"/>
        <v>10</v>
      </c>
      <c r="J17" s="57" t="s">
        <v>38</v>
      </c>
      <c r="K17" s="57" t="s">
        <v>92</v>
      </c>
      <c r="L17" s="18" t="str">
        <f>IF(Electricity[[#This Row],[Month]]&lt;&gt;"",VLOOKUP(Electricity[[#This Row],[Month]], dropdown!$S$4:$T$15, 2, FALSE),"")</f>
        <v>Q1</v>
      </c>
      <c r="M17" s="28">
        <v>7000</v>
      </c>
      <c r="N17" s="46">
        <v>83510.64</v>
      </c>
      <c r="O17" s="170" t="s">
        <v>115</v>
      </c>
      <c r="P17" s="199" t="s">
        <v>236</v>
      </c>
    </row>
    <row r="18" spans="2:18" x14ac:dyDescent="0.2">
      <c r="I18" s="198">
        <f t="shared" si="0"/>
        <v>11</v>
      </c>
      <c r="J18" s="57" t="s">
        <v>179</v>
      </c>
      <c r="K18" s="57" t="s">
        <v>92</v>
      </c>
      <c r="L18" s="18" t="str">
        <f>IF(Electricity[[#This Row],[Month]]&lt;&gt;"",VLOOKUP(Electricity[[#This Row],[Month]], dropdown!$S$4:$T$15, 2, FALSE),"")</f>
        <v>Q1</v>
      </c>
      <c r="M18" s="28">
        <v>175000</v>
      </c>
      <c r="N18" s="46">
        <v>2227818.19</v>
      </c>
      <c r="O18" s="170" t="s">
        <v>115</v>
      </c>
      <c r="P18" s="199" t="s">
        <v>239</v>
      </c>
    </row>
    <row r="19" spans="2:18" x14ac:dyDescent="0.2">
      <c r="I19" s="198">
        <f t="shared" si="0"/>
        <v>12</v>
      </c>
      <c r="J19" s="57" t="s">
        <v>38</v>
      </c>
      <c r="K19" s="57" t="s">
        <v>92</v>
      </c>
      <c r="L19" s="18" t="str">
        <f>IF(Electricity[[#This Row],[Month]]&lt;&gt;"",VLOOKUP(Electricity[[#This Row],[Month]], dropdown!$S$4:$T$15, 2, FALSE),"")</f>
        <v>Q1</v>
      </c>
      <c r="M19" s="28">
        <v>4005</v>
      </c>
      <c r="N19" s="46">
        <v>47038.99</v>
      </c>
      <c r="O19" s="170" t="s">
        <v>115</v>
      </c>
      <c r="P19" s="199" t="s">
        <v>240</v>
      </c>
    </row>
    <row r="20" spans="2:18" x14ac:dyDescent="0.2">
      <c r="I20" s="198">
        <f t="shared" si="0"/>
        <v>13</v>
      </c>
      <c r="J20" s="57" t="s">
        <v>38</v>
      </c>
      <c r="K20" s="57" t="s">
        <v>180</v>
      </c>
      <c r="L20" s="18" t="str">
        <f>IF(Electricity[[#This Row],[Month]]&lt;&gt;"",VLOOKUP(Electricity[[#This Row],[Month]], dropdown!$S$4:$T$15, 2, FALSE),"")</f>
        <v>Q1</v>
      </c>
      <c r="M20" s="28">
        <v>241</v>
      </c>
      <c r="N20" s="46">
        <v>9423.91</v>
      </c>
      <c r="O20" s="170" t="s">
        <v>115</v>
      </c>
      <c r="P20" s="199" t="s">
        <v>233</v>
      </c>
    </row>
    <row r="21" spans="2:18" x14ac:dyDescent="0.2">
      <c r="I21" s="198">
        <f t="shared" si="0"/>
        <v>14</v>
      </c>
      <c r="J21" s="57" t="s">
        <v>179</v>
      </c>
      <c r="K21" s="57" t="s">
        <v>180</v>
      </c>
      <c r="L21" s="18" t="str">
        <f>IF(Electricity[[#This Row],[Month]]&lt;&gt;"",VLOOKUP(Electricity[[#This Row],[Month]], dropdown!$S$4:$T$15, 2, FALSE),"")</f>
        <v>Q1</v>
      </c>
      <c r="M21" s="28">
        <v>847000</v>
      </c>
      <c r="N21" s="46">
        <v>17811424.039999999</v>
      </c>
      <c r="O21" s="170" t="s">
        <v>115</v>
      </c>
      <c r="P21" s="199" t="s">
        <v>234</v>
      </c>
    </row>
    <row r="22" spans="2:18" x14ac:dyDescent="0.2">
      <c r="I22" s="198">
        <f t="shared" si="0"/>
        <v>15</v>
      </c>
      <c r="J22" s="57" t="s">
        <v>179</v>
      </c>
      <c r="K22" s="200" t="s">
        <v>180</v>
      </c>
      <c r="L22" s="18" t="str">
        <f>IF(Electricity[[#This Row],[Month]]&lt;&gt;"",VLOOKUP(Electricity[[#This Row],[Month]], dropdown!$S$4:$T$15, 2, FALSE),"")</f>
        <v>Q1</v>
      </c>
      <c r="M22" s="201">
        <v>511000</v>
      </c>
      <c r="N22" s="250">
        <v>11223398.6</v>
      </c>
      <c r="O22" s="251" t="s">
        <v>115</v>
      </c>
      <c r="P22" s="203" t="s">
        <v>235</v>
      </c>
    </row>
    <row r="23" spans="2:18" x14ac:dyDescent="0.2">
      <c r="I23" s="198">
        <f t="shared" si="0"/>
        <v>16</v>
      </c>
      <c r="J23" s="57" t="s">
        <v>38</v>
      </c>
      <c r="K23" s="200" t="s">
        <v>180</v>
      </c>
      <c r="L23" s="18" t="str">
        <f>IF(Electricity[[#This Row],[Month]]&lt;&gt;"",VLOOKUP(Electricity[[#This Row],[Month]], dropdown!$S$4:$T$15, 2, FALSE),"")</f>
        <v>Q1</v>
      </c>
      <c r="M23" s="201">
        <v>6520</v>
      </c>
      <c r="N23" s="250">
        <v>162548.70000000001</v>
      </c>
      <c r="O23" s="251" t="s">
        <v>115</v>
      </c>
      <c r="P23" s="203" t="s">
        <v>236</v>
      </c>
    </row>
    <row r="24" spans="2:18" x14ac:dyDescent="0.2">
      <c r="I24" s="198">
        <f t="shared" si="0"/>
        <v>17</v>
      </c>
      <c r="J24" s="57" t="s">
        <v>179</v>
      </c>
      <c r="K24" s="200" t="s">
        <v>180</v>
      </c>
      <c r="L24" s="18" t="str">
        <f>IF(Electricity[[#This Row],[Month]]&lt;&gt;"",VLOOKUP(Electricity[[#This Row],[Month]], dropdown!$S$4:$T$15, 2, FALSE),"")</f>
        <v>Q1</v>
      </c>
      <c r="M24" s="201">
        <v>199500</v>
      </c>
      <c r="N24" s="250">
        <v>4753531.55</v>
      </c>
      <c r="O24" s="251" t="s">
        <v>115</v>
      </c>
      <c r="P24" s="203" t="s">
        <v>239</v>
      </c>
    </row>
    <row r="25" spans="2:18" x14ac:dyDescent="0.2">
      <c r="I25" s="198">
        <f t="shared" si="0"/>
        <v>18</v>
      </c>
      <c r="J25" s="57" t="s">
        <v>38</v>
      </c>
      <c r="K25" s="200" t="s">
        <v>180</v>
      </c>
      <c r="L25" s="18" t="str">
        <f>IF(Electricity[[#This Row],[Month]]&lt;&gt;"",VLOOKUP(Electricity[[#This Row],[Month]], dropdown!$S$4:$T$15, 2, FALSE),"")</f>
        <v>Q1</v>
      </c>
      <c r="M25" s="201">
        <v>3670</v>
      </c>
      <c r="N25" s="250">
        <v>91124.32</v>
      </c>
      <c r="O25" s="251" t="s">
        <v>115</v>
      </c>
      <c r="P25" s="203" t="s">
        <v>240</v>
      </c>
      <c r="R25" s="47" t="str">
        <f>IF(K17="","",VLOOKUP($K17,dropdown!$S$3:$T$15,2,FALSE))</f>
        <v>Q1</v>
      </c>
    </row>
    <row r="26" spans="2:18" x14ac:dyDescent="0.2">
      <c r="I26" s="198">
        <f t="shared" si="0"/>
        <v>19</v>
      </c>
      <c r="J26" s="57" t="s">
        <v>38</v>
      </c>
      <c r="K26" s="200" t="s">
        <v>196</v>
      </c>
      <c r="L26" s="18" t="str">
        <f>IF(Electricity[[#This Row],[Month]]&lt;&gt;"",VLOOKUP(Electricity[[#This Row],[Month]], dropdown!$S$4:$T$15, 2, FALSE),"")</f>
        <v>Q2</v>
      </c>
      <c r="M26" s="201">
        <v>252</v>
      </c>
      <c r="N26" s="250">
        <v>4393.1400000000003</v>
      </c>
      <c r="O26" s="251" t="s">
        <v>115</v>
      </c>
      <c r="P26" s="203" t="s">
        <v>233</v>
      </c>
      <c r="R26" s="47" t="str">
        <f>IF(K18="","",VLOOKUP($K18,dropdown!$S$3:$T$15,2,FALSE))</f>
        <v>Q1</v>
      </c>
    </row>
    <row r="27" spans="2:18" x14ac:dyDescent="0.2">
      <c r="I27" s="198">
        <f t="shared" si="0"/>
        <v>20</v>
      </c>
      <c r="J27" s="57" t="s">
        <v>179</v>
      </c>
      <c r="K27" s="200" t="s">
        <v>196</v>
      </c>
      <c r="L27" s="18" t="str">
        <f>IF(Electricity[[#This Row],[Month]]&lt;&gt;"",VLOOKUP(Electricity[[#This Row],[Month]], dropdown!$S$4:$T$15, 2, FALSE),"")</f>
        <v>Q2</v>
      </c>
      <c r="M27" s="201">
        <v>644000</v>
      </c>
      <c r="N27" s="250">
        <v>6380202.4000000004</v>
      </c>
      <c r="O27" s="251" t="s">
        <v>115</v>
      </c>
      <c r="P27" s="203" t="s">
        <v>234</v>
      </c>
      <c r="R27" s="47" t="str">
        <f>IF(K19="","",VLOOKUP($K19,dropdown!$S$3:$T$15,2,FALSE))</f>
        <v>Q1</v>
      </c>
    </row>
    <row r="28" spans="2:18" x14ac:dyDescent="0.2">
      <c r="I28" s="198">
        <f t="shared" si="0"/>
        <v>21</v>
      </c>
      <c r="J28" s="57" t="s">
        <v>179</v>
      </c>
      <c r="K28" s="200" t="s">
        <v>196</v>
      </c>
      <c r="L28" s="18" t="str">
        <f>IF(Electricity[[#This Row],[Month]]&lt;&gt;"",VLOOKUP(Electricity[[#This Row],[Month]], dropdown!$S$4:$T$15, 2, FALSE),"")</f>
        <v>Q2</v>
      </c>
      <c r="M28" s="201">
        <v>693000</v>
      </c>
      <c r="N28" s="250">
        <v>7207468.9299999997</v>
      </c>
      <c r="O28" s="251" t="s">
        <v>115</v>
      </c>
      <c r="P28" s="203" t="s">
        <v>235</v>
      </c>
      <c r="R28" s="47" t="str">
        <f>IF(K20="","",VLOOKUP($K20,dropdown!$S$3:$T$15,2,FALSE))</f>
        <v>Q1</v>
      </c>
    </row>
    <row r="29" spans="2:18" x14ac:dyDescent="0.2">
      <c r="I29" s="198">
        <f t="shared" si="0"/>
        <v>22</v>
      </c>
      <c r="J29" s="57" t="s">
        <v>38</v>
      </c>
      <c r="K29" s="200" t="s">
        <v>196</v>
      </c>
      <c r="L29" s="18" t="str">
        <f>IF(Electricity[[#This Row],[Month]]&lt;&gt;"",VLOOKUP(Electricity[[#This Row],[Month]], dropdown!$S$4:$T$15, 2, FALSE),"")</f>
        <v>Q2</v>
      </c>
      <c r="M29" s="201">
        <v>9080</v>
      </c>
      <c r="N29" s="250">
        <v>94691.39</v>
      </c>
      <c r="O29" s="251" t="s">
        <v>115</v>
      </c>
      <c r="P29" s="203" t="s">
        <v>236</v>
      </c>
      <c r="R29" s="47" t="str">
        <f>IF(K21="","",VLOOKUP($K21,dropdown!$S$3:$T$15,2,FALSE))</f>
        <v>Q1</v>
      </c>
    </row>
    <row r="30" spans="2:18" x14ac:dyDescent="0.2">
      <c r="I30" s="198">
        <f t="shared" si="0"/>
        <v>23</v>
      </c>
      <c r="J30" s="57" t="s">
        <v>179</v>
      </c>
      <c r="K30" s="200" t="s">
        <v>196</v>
      </c>
      <c r="L30" s="18" t="str">
        <f>IF(Electricity[[#This Row],[Month]]&lt;&gt;"",VLOOKUP(Electricity[[#This Row],[Month]], dropdown!$S$4:$T$15, 2, FALSE),"")</f>
        <v>Q2</v>
      </c>
      <c r="M30" s="201">
        <v>203000</v>
      </c>
      <c r="N30" s="250">
        <v>2312488.31</v>
      </c>
      <c r="O30" s="251" t="s">
        <v>115</v>
      </c>
      <c r="P30" s="203" t="s">
        <v>239</v>
      </c>
      <c r="R30" s="47" t="str">
        <f>IF(K22="","",VLOOKUP($K22,dropdown!$S$3:$T$15,2,FALSE))</f>
        <v>Q1</v>
      </c>
    </row>
    <row r="31" spans="2:18" x14ac:dyDescent="0.2">
      <c r="I31" s="198">
        <f t="shared" si="0"/>
        <v>24</v>
      </c>
      <c r="J31" s="57" t="s">
        <v>38</v>
      </c>
      <c r="K31" s="200" t="s">
        <v>196</v>
      </c>
      <c r="L31" s="18" t="str">
        <f>IF(Electricity[[#This Row],[Month]]&lt;&gt;"",VLOOKUP(Electricity[[#This Row],[Month]], dropdown!$S$4:$T$15, 2, FALSE),"")</f>
        <v>Q2</v>
      </c>
      <c r="M31" s="201">
        <v>3901</v>
      </c>
      <c r="N31" s="250">
        <v>41933.480000000003</v>
      </c>
      <c r="O31" s="251" t="s">
        <v>115</v>
      </c>
      <c r="P31" s="203" t="s">
        <v>240</v>
      </c>
    </row>
    <row r="32" spans="2:18" x14ac:dyDescent="0.2">
      <c r="I32" s="198">
        <f t="shared" si="0"/>
        <v>25</v>
      </c>
      <c r="J32" s="57" t="s">
        <v>38</v>
      </c>
      <c r="K32" s="200" t="s">
        <v>197</v>
      </c>
      <c r="L32" s="18" t="str">
        <f>IF(Electricity[[#This Row],[Month]]&lt;&gt;"",VLOOKUP(Electricity[[#This Row],[Month]], dropdown!$S$4:$T$15, 2, FALSE),"")</f>
        <v>Q2</v>
      </c>
      <c r="M32" s="201">
        <v>270</v>
      </c>
      <c r="N32" s="250">
        <v>4692.32</v>
      </c>
      <c r="O32" s="251" t="s">
        <v>115</v>
      </c>
      <c r="P32" s="203" t="s">
        <v>233</v>
      </c>
    </row>
    <row r="33" spans="9:16" x14ac:dyDescent="0.2">
      <c r="I33" s="198">
        <f t="shared" si="0"/>
        <v>26</v>
      </c>
      <c r="J33" s="57" t="s">
        <v>179</v>
      </c>
      <c r="K33" s="200" t="s">
        <v>197</v>
      </c>
      <c r="L33" s="18" t="str">
        <f>IF(Electricity[[#This Row],[Month]]&lt;&gt;"",VLOOKUP(Electricity[[#This Row],[Month]], dropdown!$S$4:$T$15, 2, FALSE),"")</f>
        <v>Q2</v>
      </c>
      <c r="M33" s="201">
        <v>7000</v>
      </c>
      <c r="N33" s="250">
        <v>930393.09</v>
      </c>
      <c r="O33" s="251" t="s">
        <v>115</v>
      </c>
      <c r="P33" s="203" t="s">
        <v>234</v>
      </c>
    </row>
    <row r="34" spans="9:16" x14ac:dyDescent="0.2">
      <c r="I34" s="198">
        <f t="shared" si="0"/>
        <v>27</v>
      </c>
      <c r="J34" s="57" t="s">
        <v>179</v>
      </c>
      <c r="K34" s="200" t="s">
        <v>197</v>
      </c>
      <c r="L34" s="18" t="str">
        <f>IF(Electricity[[#This Row],[Month]]&lt;&gt;"",VLOOKUP(Electricity[[#This Row],[Month]], dropdown!$S$4:$T$15, 2, FALSE),"")</f>
        <v>Q2</v>
      </c>
      <c r="M34" s="201">
        <v>1491000</v>
      </c>
      <c r="N34" s="250">
        <v>14056798.91</v>
      </c>
      <c r="O34" s="251" t="s">
        <v>115</v>
      </c>
      <c r="P34" s="203" t="s">
        <v>235</v>
      </c>
    </row>
    <row r="35" spans="9:16" x14ac:dyDescent="0.2">
      <c r="I35" s="198">
        <f t="shared" si="0"/>
        <v>28</v>
      </c>
      <c r="J35" s="57" t="s">
        <v>38</v>
      </c>
      <c r="K35" s="200" t="s">
        <v>197</v>
      </c>
      <c r="L35" s="18" t="str">
        <f>IF(Electricity[[#This Row],[Month]]&lt;&gt;"",VLOOKUP(Electricity[[#This Row],[Month]], dropdown!$S$4:$T$15, 2, FALSE),"")</f>
        <v>Q2</v>
      </c>
      <c r="M35" s="201">
        <v>8880</v>
      </c>
      <c r="N35" s="250">
        <v>97700.78</v>
      </c>
      <c r="O35" s="251" t="s">
        <v>115</v>
      </c>
      <c r="P35" s="203" t="s">
        <v>236</v>
      </c>
    </row>
    <row r="36" spans="9:16" x14ac:dyDescent="0.2">
      <c r="I36" s="198">
        <f t="shared" si="0"/>
        <v>29</v>
      </c>
      <c r="J36" s="57" t="s">
        <v>179</v>
      </c>
      <c r="K36" s="200" t="s">
        <v>197</v>
      </c>
      <c r="L36" s="18" t="str">
        <f>IF(Electricity[[#This Row],[Month]]&lt;&gt;"",VLOOKUP(Electricity[[#This Row],[Month]], dropdown!$S$4:$T$15, 2, FALSE),"")</f>
        <v>Q2</v>
      </c>
      <c r="M36" s="201">
        <f>[2]!Electricity[[#This Row],[Cost (PHP)]]/11</f>
        <v>55672.59</v>
      </c>
      <c r="N36" s="250">
        <v>612398.49</v>
      </c>
      <c r="O36" s="251" t="s">
        <v>115</v>
      </c>
      <c r="P36" s="203" t="s">
        <v>239</v>
      </c>
    </row>
    <row r="37" spans="9:16" x14ac:dyDescent="0.2">
      <c r="I37" s="198">
        <f t="shared" si="0"/>
        <v>30</v>
      </c>
      <c r="J37" s="57" t="s">
        <v>38</v>
      </c>
      <c r="K37" s="200" t="s">
        <v>197</v>
      </c>
      <c r="L37" s="18" t="str">
        <f>IF(Electricity[[#This Row],[Month]]&lt;&gt;"",VLOOKUP(Electricity[[#This Row],[Month]], dropdown!$S$4:$T$15, 2, FALSE),"")</f>
        <v>Q2</v>
      </c>
      <c r="M37" s="201">
        <v>4619</v>
      </c>
      <c r="N37" s="250">
        <v>50427.1</v>
      </c>
      <c r="O37" s="251" t="s">
        <v>115</v>
      </c>
      <c r="P37" s="203" t="s">
        <v>240</v>
      </c>
    </row>
    <row r="38" spans="9:16" x14ac:dyDescent="0.2">
      <c r="I38" s="198">
        <f t="shared" si="0"/>
        <v>31</v>
      </c>
      <c r="J38" s="57" t="s">
        <v>38</v>
      </c>
      <c r="K38" s="200" t="s">
        <v>183</v>
      </c>
      <c r="L38" s="18" t="str">
        <f>IF(Electricity[[#This Row],[Month]]&lt;&gt;"",VLOOKUP(Electricity[[#This Row],[Month]], dropdown!$S$4:$T$15, 2, FALSE),"")</f>
        <v>Q2</v>
      </c>
      <c r="M38" s="201">
        <v>291</v>
      </c>
      <c r="N38" s="250">
        <v>9016.39</v>
      </c>
      <c r="O38" s="251" t="s">
        <v>115</v>
      </c>
      <c r="P38" s="203" t="s">
        <v>233</v>
      </c>
    </row>
    <row r="39" spans="9:16" x14ac:dyDescent="0.2">
      <c r="I39" s="198">
        <f t="shared" si="0"/>
        <v>32</v>
      </c>
      <c r="J39" s="57" t="s">
        <v>179</v>
      </c>
      <c r="K39" s="200" t="s">
        <v>183</v>
      </c>
      <c r="L39" s="18" t="str">
        <f>IF(Electricity[[#This Row],[Month]]&lt;&gt;"",VLOOKUP(Electricity[[#This Row],[Month]], dropdown!$S$4:$T$15, 2, FALSE),"")</f>
        <v>Q2</v>
      </c>
      <c r="M39" s="201">
        <v>7000</v>
      </c>
      <c r="N39" s="250">
        <v>1860786.18</v>
      </c>
      <c r="O39" s="251" t="s">
        <v>115</v>
      </c>
      <c r="P39" s="203" t="s">
        <v>234</v>
      </c>
    </row>
    <row r="40" spans="9:16" x14ac:dyDescent="0.2">
      <c r="I40" s="198">
        <f t="shared" si="0"/>
        <v>33</v>
      </c>
      <c r="J40" s="57" t="s">
        <v>179</v>
      </c>
      <c r="K40" s="200" t="s">
        <v>183</v>
      </c>
      <c r="L40" s="18" t="str">
        <f>IF(Electricity[[#This Row],[Month]]&lt;&gt;"",VLOOKUP(Electricity[[#This Row],[Month]], dropdown!$S$4:$T$15, 2, FALSE),"")</f>
        <v>Q2</v>
      </c>
      <c r="M40" s="201">
        <v>1533000</v>
      </c>
      <c r="N40" s="250">
        <v>25561751.010000002</v>
      </c>
      <c r="O40" s="251" t="s">
        <v>115</v>
      </c>
      <c r="P40" s="203" t="s">
        <v>235</v>
      </c>
    </row>
    <row r="41" spans="9:16" x14ac:dyDescent="0.2">
      <c r="I41" s="198">
        <f t="shared" ref="I41:I72" si="1">IF($M41="","",$I40+1)</f>
        <v>34</v>
      </c>
      <c r="J41" s="57" t="s">
        <v>38</v>
      </c>
      <c r="K41" s="200" t="s">
        <v>183</v>
      </c>
      <c r="L41" s="18" t="str">
        <f>IF(Electricity[[#This Row],[Month]]&lt;&gt;"",VLOOKUP(Electricity[[#This Row],[Month]], dropdown!$S$4:$T$15, 2, FALSE),"")</f>
        <v>Q2</v>
      </c>
      <c r="M41" s="201">
        <v>8080</v>
      </c>
      <c r="N41" s="250">
        <v>171634.57</v>
      </c>
      <c r="O41" s="251" t="s">
        <v>115</v>
      </c>
      <c r="P41" s="203" t="s">
        <v>236</v>
      </c>
    </row>
    <row r="42" spans="9:16" x14ac:dyDescent="0.2">
      <c r="I42" s="198">
        <f t="shared" si="1"/>
        <v>35</v>
      </c>
      <c r="J42" s="57" t="s">
        <v>179</v>
      </c>
      <c r="K42" s="200" t="s">
        <v>183</v>
      </c>
      <c r="L42" s="18" t="str">
        <f>IF(Electricity[[#This Row],[Month]]&lt;&gt;"",VLOOKUP(Electricity[[#This Row],[Month]], dropdown!$S$4:$T$15, 2, FALSE),"")</f>
        <v>Q2</v>
      </c>
      <c r="M42" s="201">
        <v>231000</v>
      </c>
      <c r="N42" s="250">
        <v>4880750.3600000003</v>
      </c>
      <c r="O42" s="251" t="s">
        <v>115</v>
      </c>
      <c r="P42" s="203" t="s">
        <v>239</v>
      </c>
    </row>
    <row r="43" spans="9:16" x14ac:dyDescent="0.2">
      <c r="I43" s="198">
        <f t="shared" si="1"/>
        <v>36</v>
      </c>
      <c r="J43" s="57" t="s">
        <v>38</v>
      </c>
      <c r="K43" s="200" t="s">
        <v>183</v>
      </c>
      <c r="L43" s="18" t="str">
        <f>IF(Electricity[[#This Row],[Month]]&lt;&gt;"",VLOOKUP(Electricity[[#This Row],[Month]], dropdown!$S$4:$T$15, 2, FALSE),"")</f>
        <v>Q2</v>
      </c>
      <c r="M43" s="201">
        <v>3992</v>
      </c>
      <c r="N43" s="250">
        <v>88473.02</v>
      </c>
      <c r="O43" s="251" t="s">
        <v>115</v>
      </c>
      <c r="P43" s="203" t="s">
        <v>240</v>
      </c>
    </row>
    <row r="44" spans="9:16" x14ac:dyDescent="0.2">
      <c r="I44" s="198">
        <f t="shared" si="1"/>
        <v>37</v>
      </c>
      <c r="J44" s="57" t="s">
        <v>38</v>
      </c>
      <c r="K44" s="200" t="s">
        <v>198</v>
      </c>
      <c r="L44" s="18" t="str">
        <f>IF(Electricity[[#This Row],[Month]]&lt;&gt;"",VLOOKUP(Electricity[[#This Row],[Month]], dropdown!$S$4:$T$15, 2, FALSE),"")</f>
        <v>Q3</v>
      </c>
      <c r="M44" s="201">
        <v>294</v>
      </c>
      <c r="N44" s="250">
        <v>4999.6499999999996</v>
      </c>
      <c r="O44" s="251" t="s">
        <v>115</v>
      </c>
      <c r="P44" s="203" t="s">
        <v>233</v>
      </c>
    </row>
    <row r="45" spans="9:16" x14ac:dyDescent="0.2">
      <c r="I45" s="198">
        <f t="shared" si="1"/>
        <v>38</v>
      </c>
      <c r="J45" s="57" t="s">
        <v>179</v>
      </c>
      <c r="K45" s="200" t="s">
        <v>198</v>
      </c>
      <c r="L45" s="18" t="str">
        <f>IF(Electricity[[#This Row],[Month]]&lt;&gt;"",VLOOKUP(Electricity[[#This Row],[Month]], dropdown!$S$4:$T$15, 2, FALSE),"")</f>
        <v>Q3</v>
      </c>
      <c r="M45" s="201">
        <v>7000</v>
      </c>
      <c r="N45" s="250">
        <v>930393.09</v>
      </c>
      <c r="O45" s="251" t="s">
        <v>115</v>
      </c>
      <c r="P45" s="203" t="s">
        <v>234</v>
      </c>
    </row>
    <row r="46" spans="9:16" x14ac:dyDescent="0.2">
      <c r="I46" s="198">
        <f t="shared" si="1"/>
        <v>39</v>
      </c>
      <c r="J46" s="57" t="s">
        <v>179</v>
      </c>
      <c r="K46" s="200" t="s">
        <v>198</v>
      </c>
      <c r="L46" s="18" t="str">
        <f>IF(Electricity[[#This Row],[Month]]&lt;&gt;"",VLOOKUP(Electricity[[#This Row],[Month]], dropdown!$S$4:$T$15, 2, FALSE),"")</f>
        <v>Q3</v>
      </c>
      <c r="M46" s="201">
        <v>1435000</v>
      </c>
      <c r="N46" s="250">
        <v>13839409.699999999</v>
      </c>
      <c r="O46" s="251" t="s">
        <v>115</v>
      </c>
      <c r="P46" s="203" t="s">
        <v>235</v>
      </c>
    </row>
    <row r="47" spans="9:16" x14ac:dyDescent="0.2">
      <c r="I47" s="198">
        <f t="shared" si="1"/>
        <v>40</v>
      </c>
      <c r="J47" s="57" t="s">
        <v>38</v>
      </c>
      <c r="K47" s="200" t="s">
        <v>198</v>
      </c>
      <c r="L47" s="18" t="str">
        <f>IF(Electricity[[#This Row],[Month]]&lt;&gt;"",VLOOKUP(Electricity[[#This Row],[Month]], dropdown!$S$4:$T$15, 2, FALSE),"")</f>
        <v>Q3</v>
      </c>
      <c r="M47" s="201">
        <v>8400</v>
      </c>
      <c r="N47" s="250">
        <v>94777.21</v>
      </c>
      <c r="O47" s="251" t="s">
        <v>115</v>
      </c>
      <c r="P47" s="203" t="s">
        <v>236</v>
      </c>
    </row>
    <row r="48" spans="9:16" x14ac:dyDescent="0.2">
      <c r="I48" s="198">
        <f t="shared" si="1"/>
        <v>41</v>
      </c>
      <c r="J48" s="57" t="s">
        <v>179</v>
      </c>
      <c r="K48" s="200" t="s">
        <v>198</v>
      </c>
      <c r="L48" s="18" t="str">
        <f>IF(Electricity[[#This Row],[Month]]&lt;&gt;"",VLOOKUP(Electricity[[#This Row],[Month]], dropdown!$S$4:$T$15, 2, FALSE),"")</f>
        <v>Q3</v>
      </c>
      <c r="M48" s="201">
        <v>217000</v>
      </c>
      <c r="N48" s="250">
        <v>2595584.88</v>
      </c>
      <c r="O48" s="251" t="s">
        <v>115</v>
      </c>
      <c r="P48" s="203" t="s">
        <v>239</v>
      </c>
    </row>
    <row r="49" spans="9:16" x14ac:dyDescent="0.2">
      <c r="I49" s="198">
        <f t="shared" si="1"/>
        <v>42</v>
      </c>
      <c r="J49" s="57" t="s">
        <v>38</v>
      </c>
      <c r="K49" s="200" t="s">
        <v>198</v>
      </c>
      <c r="L49" s="18" t="str">
        <f>IF(Electricity[[#This Row],[Month]]&lt;&gt;"",VLOOKUP(Electricity[[#This Row],[Month]], dropdown!$S$4:$T$15, 2, FALSE),"")</f>
        <v>Q3</v>
      </c>
      <c r="M49" s="201">
        <v>3537</v>
      </c>
      <c r="N49" s="250">
        <v>42097.88</v>
      </c>
      <c r="O49" s="251" t="s">
        <v>115</v>
      </c>
      <c r="P49" s="203" t="s">
        <v>240</v>
      </c>
    </row>
    <row r="50" spans="9:16" x14ac:dyDescent="0.2">
      <c r="I50" s="198">
        <f t="shared" si="1"/>
        <v>43</v>
      </c>
      <c r="J50" s="57" t="s">
        <v>38</v>
      </c>
      <c r="K50" s="200" t="s">
        <v>45</v>
      </c>
      <c r="L50" s="18" t="str">
        <f>IF(Electricity[[#This Row],[Month]]&lt;&gt;"",VLOOKUP(Electricity[[#This Row],[Month]], dropdown!$S$4:$T$15, 2, FALSE),"")</f>
        <v>Q3</v>
      </c>
      <c r="M50" s="201">
        <v>235</v>
      </c>
      <c r="N50" s="250">
        <v>9470.35</v>
      </c>
      <c r="O50" s="251" t="s">
        <v>115</v>
      </c>
      <c r="P50" s="203" t="s">
        <v>233</v>
      </c>
    </row>
    <row r="51" spans="9:16" x14ac:dyDescent="0.2">
      <c r="I51" s="198">
        <f t="shared" si="1"/>
        <v>44</v>
      </c>
      <c r="J51" s="57" t="s">
        <v>179</v>
      </c>
      <c r="K51" s="200" t="s">
        <v>45</v>
      </c>
      <c r="L51" s="18" t="str">
        <f>IF(Electricity[[#This Row],[Month]]&lt;&gt;"",VLOOKUP(Electricity[[#This Row],[Month]], dropdown!$S$4:$T$15, 2, FALSE),"")</f>
        <v>Q3</v>
      </c>
      <c r="M51" s="201">
        <v>28000</v>
      </c>
      <c r="N51" s="250">
        <v>2609302.66</v>
      </c>
      <c r="O51" s="251" t="s">
        <v>115</v>
      </c>
      <c r="P51" s="203" t="s">
        <v>234</v>
      </c>
    </row>
    <row r="52" spans="9:16" x14ac:dyDescent="0.2">
      <c r="I52" s="198">
        <f t="shared" si="1"/>
        <v>45</v>
      </c>
      <c r="J52" s="57" t="s">
        <v>179</v>
      </c>
      <c r="K52" s="200" t="s">
        <v>45</v>
      </c>
      <c r="L52" s="18" t="str">
        <f>IF(Electricity[[#This Row],[Month]]&lt;&gt;"",VLOOKUP(Electricity[[#This Row],[Month]], dropdown!$S$4:$T$15, 2, FALSE),"")</f>
        <v>Q3</v>
      </c>
      <c r="M52" s="201">
        <v>1477000</v>
      </c>
      <c r="N52" s="250">
        <v>28066238.850000001</v>
      </c>
      <c r="O52" s="251" t="s">
        <v>115</v>
      </c>
      <c r="P52" s="203" t="s">
        <v>235</v>
      </c>
    </row>
    <row r="53" spans="9:16" x14ac:dyDescent="0.2">
      <c r="I53" s="198">
        <f t="shared" si="1"/>
        <v>46</v>
      </c>
      <c r="J53" s="57" t="s">
        <v>38</v>
      </c>
      <c r="K53" s="200" t="s">
        <v>45</v>
      </c>
      <c r="L53" s="18" t="str">
        <f>IF(Electricity[[#This Row],[Month]]&lt;&gt;"",VLOOKUP(Electricity[[#This Row],[Month]], dropdown!$S$4:$T$15, 2, FALSE),"")</f>
        <v>Q3</v>
      </c>
      <c r="M53" s="201">
        <v>8080</v>
      </c>
      <c r="N53" s="250">
        <v>186706.67</v>
      </c>
      <c r="O53" s="251" t="s">
        <v>115</v>
      </c>
      <c r="P53" s="203" t="s">
        <v>236</v>
      </c>
    </row>
    <row r="54" spans="9:16" x14ac:dyDescent="0.2">
      <c r="I54" s="198">
        <f t="shared" si="1"/>
        <v>47</v>
      </c>
      <c r="J54" s="57" t="s">
        <v>179</v>
      </c>
      <c r="K54" s="200" t="s">
        <v>45</v>
      </c>
      <c r="L54" s="18" t="str">
        <f>IF(Electricity[[#This Row],[Month]]&lt;&gt;"",VLOOKUP(Electricity[[#This Row],[Month]], dropdown!$S$4:$T$15, 2, FALSE),"")</f>
        <v>Q3</v>
      </c>
      <c r="M54" s="201">
        <v>224000</v>
      </c>
      <c r="N54" s="250">
        <v>5282900.93</v>
      </c>
      <c r="O54" s="251" t="s">
        <v>115</v>
      </c>
      <c r="P54" s="203" t="s">
        <v>239</v>
      </c>
    </row>
    <row r="55" spans="9:16" x14ac:dyDescent="0.2">
      <c r="I55" s="198">
        <f t="shared" si="1"/>
        <v>48</v>
      </c>
      <c r="J55" s="57" t="s">
        <v>38</v>
      </c>
      <c r="K55" s="200" t="s">
        <v>45</v>
      </c>
      <c r="L55" s="18" t="str">
        <f>IF(Electricity[[#This Row],[Month]]&lt;&gt;"",VLOOKUP(Electricity[[#This Row],[Month]], dropdown!$S$4:$T$15, 2, FALSE),"")</f>
        <v>Q3</v>
      </c>
      <c r="M55" s="201">
        <v>3903</v>
      </c>
      <c r="N55" s="250">
        <v>88122.92</v>
      </c>
      <c r="O55" s="251" t="s">
        <v>115</v>
      </c>
      <c r="P55" s="203" t="s">
        <v>240</v>
      </c>
    </row>
    <row r="56" spans="9:16" x14ac:dyDescent="0.2">
      <c r="I56" s="198">
        <f t="shared" si="1"/>
        <v>49</v>
      </c>
      <c r="J56" s="57" t="s">
        <v>38</v>
      </c>
      <c r="K56" s="200" t="s">
        <v>184</v>
      </c>
      <c r="L56" s="18" t="str">
        <f>IF(Electricity[[#This Row],[Month]]&lt;&gt;"",VLOOKUP(Electricity[[#This Row],[Month]], dropdown!$S$4:$T$15, 2, FALSE),"")</f>
        <v>Q3</v>
      </c>
      <c r="M56" s="201">
        <v>223</v>
      </c>
      <c r="N56" s="250">
        <v>0</v>
      </c>
      <c r="O56" s="251" t="s">
        <v>115</v>
      </c>
      <c r="P56" s="203" t="s">
        <v>233</v>
      </c>
    </row>
    <row r="57" spans="9:16" x14ac:dyDescent="0.2">
      <c r="I57" s="198">
        <f t="shared" si="1"/>
        <v>50</v>
      </c>
      <c r="J57" s="57" t="s">
        <v>179</v>
      </c>
      <c r="K57" s="200" t="s">
        <v>184</v>
      </c>
      <c r="L57" s="18" t="str">
        <f>IF(Electricity[[#This Row],[Month]]&lt;&gt;"",VLOOKUP(Electricity[[#This Row],[Month]], dropdown!$S$4:$T$15, 2, FALSE),"")</f>
        <v>Q3</v>
      </c>
      <c r="M57" s="201">
        <v>567000</v>
      </c>
      <c r="N57" s="250">
        <v>6400815.9199999999</v>
      </c>
      <c r="O57" s="251" t="s">
        <v>115</v>
      </c>
      <c r="P57" s="203" t="s">
        <v>234</v>
      </c>
    </row>
    <row r="58" spans="9:16" x14ac:dyDescent="0.2">
      <c r="I58" s="198">
        <f t="shared" si="1"/>
        <v>51</v>
      </c>
      <c r="J58" s="57" t="s">
        <v>179</v>
      </c>
      <c r="K58" s="200" t="s">
        <v>184</v>
      </c>
      <c r="L58" s="18" t="str">
        <f>IF(Electricity[[#This Row],[Month]]&lt;&gt;"",VLOOKUP(Electricity[[#This Row],[Month]], dropdown!$S$4:$T$15, 2, FALSE),"")</f>
        <v>Q3</v>
      </c>
      <c r="M58" s="201">
        <v>896000</v>
      </c>
      <c r="N58" s="250">
        <v>9592806.1400000006</v>
      </c>
      <c r="O58" s="251" t="s">
        <v>115</v>
      </c>
      <c r="P58" s="203" t="s">
        <v>235</v>
      </c>
    </row>
    <row r="59" spans="9:16" x14ac:dyDescent="0.2">
      <c r="I59" s="198">
        <f t="shared" si="1"/>
        <v>52</v>
      </c>
      <c r="J59" s="57" t="s">
        <v>38</v>
      </c>
      <c r="K59" s="200" t="s">
        <v>184</v>
      </c>
      <c r="L59" s="18" t="str">
        <f>IF(Electricity[[#This Row],[Month]]&lt;&gt;"",VLOOKUP(Electricity[[#This Row],[Month]], dropdown!$S$4:$T$15, 2, FALSE),"")</f>
        <v>Q3</v>
      </c>
      <c r="M59" s="201">
        <v>8240</v>
      </c>
      <c r="N59" s="250">
        <v>94300.61</v>
      </c>
      <c r="O59" s="251" t="s">
        <v>115</v>
      </c>
      <c r="P59" s="203" t="s">
        <v>236</v>
      </c>
    </row>
    <row r="60" spans="9:16" x14ac:dyDescent="0.2">
      <c r="I60" s="198">
        <f t="shared" si="1"/>
        <v>53</v>
      </c>
      <c r="J60" s="57" t="s">
        <v>179</v>
      </c>
      <c r="K60" s="200" t="s">
        <v>184</v>
      </c>
      <c r="L60" s="18" t="str">
        <f>IF(Electricity[[#This Row],[Month]]&lt;&gt;"",VLOOKUP(Electricity[[#This Row],[Month]], dropdown!$S$4:$T$15, 2, FALSE),"")</f>
        <v>Q3</v>
      </c>
      <c r="M60" s="201">
        <v>217000</v>
      </c>
      <c r="N60" s="250">
        <v>2675059.5699999998</v>
      </c>
      <c r="O60" s="251" t="s">
        <v>115</v>
      </c>
      <c r="P60" s="203" t="s">
        <v>239</v>
      </c>
    </row>
    <row r="61" spans="9:16" x14ac:dyDescent="0.2">
      <c r="I61" s="198">
        <f t="shared" si="1"/>
        <v>54</v>
      </c>
      <c r="J61" s="57" t="s">
        <v>38</v>
      </c>
      <c r="K61" s="200" t="s">
        <v>184</v>
      </c>
      <c r="L61" s="18" t="str">
        <f>IF(Electricity[[#This Row],[Month]]&lt;&gt;"",VLOOKUP(Electricity[[#This Row],[Month]], dropdown!$S$4:$T$15, 2, FALSE),"")</f>
        <v>Q3</v>
      </c>
      <c r="M61" s="201">
        <v>3831</v>
      </c>
      <c r="N61" s="250">
        <v>44492.959999999999</v>
      </c>
      <c r="O61" s="251" t="s">
        <v>115</v>
      </c>
      <c r="P61" s="203" t="s">
        <v>240</v>
      </c>
    </row>
    <row r="62" spans="9:16" x14ac:dyDescent="0.2">
      <c r="I62" s="198">
        <f t="shared" si="1"/>
        <v>55</v>
      </c>
      <c r="J62" s="57" t="s">
        <v>38</v>
      </c>
      <c r="K62" s="200" t="s">
        <v>199</v>
      </c>
      <c r="L62" s="18" t="str">
        <f>IF(Electricity[[#This Row],[Month]]&lt;&gt;"",VLOOKUP(Electricity[[#This Row],[Month]], dropdown!$S$4:$T$15, 2, FALSE),"")</f>
        <v>Q4</v>
      </c>
      <c r="M62" s="201">
        <v>213</v>
      </c>
      <c r="N62" s="250">
        <v>0</v>
      </c>
      <c r="O62" s="251" t="s">
        <v>115</v>
      </c>
      <c r="P62" s="203" t="s">
        <v>233</v>
      </c>
    </row>
    <row r="63" spans="9:16" x14ac:dyDescent="0.2">
      <c r="I63" s="198">
        <f t="shared" si="1"/>
        <v>56</v>
      </c>
      <c r="J63" s="57" t="s">
        <v>179</v>
      </c>
      <c r="K63" s="200" t="s">
        <v>199</v>
      </c>
      <c r="L63" s="18" t="str">
        <f>IF(Electricity[[#This Row],[Month]]&lt;&gt;"",VLOOKUP(Electricity[[#This Row],[Month]], dropdown!$S$4:$T$15, 2, FALSE),"")</f>
        <v>Q4</v>
      </c>
      <c r="M63" s="201">
        <v>938000</v>
      </c>
      <c r="N63" s="250">
        <v>15634125.859999999</v>
      </c>
      <c r="O63" s="251" t="s">
        <v>115</v>
      </c>
      <c r="P63" s="203" t="s">
        <v>234</v>
      </c>
    </row>
    <row r="64" spans="9:16" x14ac:dyDescent="0.2">
      <c r="I64" s="198">
        <f t="shared" si="1"/>
        <v>57</v>
      </c>
      <c r="J64" s="57" t="s">
        <v>179</v>
      </c>
      <c r="K64" s="200" t="s">
        <v>199</v>
      </c>
      <c r="L64" s="18" t="str">
        <f>IF(Electricity[[#This Row],[Month]]&lt;&gt;"",VLOOKUP(Electricity[[#This Row],[Month]], dropdown!$S$4:$T$15, 2, FALSE),"")</f>
        <v>Q4</v>
      </c>
      <c r="M64" s="201">
        <v>490000</v>
      </c>
      <c r="N64" s="250">
        <v>15193034.880000001</v>
      </c>
      <c r="O64" s="251" t="s">
        <v>115</v>
      </c>
      <c r="P64" s="203" t="s">
        <v>235</v>
      </c>
    </row>
    <row r="65" spans="9:16" x14ac:dyDescent="0.2">
      <c r="I65" s="198">
        <f t="shared" si="1"/>
        <v>58</v>
      </c>
      <c r="J65" s="57" t="s">
        <v>38</v>
      </c>
      <c r="K65" s="200" t="s">
        <v>199</v>
      </c>
      <c r="L65" s="18" t="str">
        <f>IF(Electricity[[#This Row],[Month]]&lt;&gt;"",VLOOKUP(Electricity[[#This Row],[Month]], dropdown!$S$4:$T$15, 2, FALSE),"")</f>
        <v>Q4</v>
      </c>
      <c r="M65" s="201">
        <v>8440</v>
      </c>
      <c r="N65" s="250">
        <v>194321.36</v>
      </c>
      <c r="O65" s="251" t="s">
        <v>115</v>
      </c>
      <c r="P65" s="203" t="s">
        <v>236</v>
      </c>
    </row>
    <row r="66" spans="9:16" x14ac:dyDescent="0.2">
      <c r="I66" s="198">
        <f t="shared" si="1"/>
        <v>59</v>
      </c>
      <c r="J66" s="57" t="s">
        <v>179</v>
      </c>
      <c r="K66" s="200" t="s">
        <v>199</v>
      </c>
      <c r="L66" s="18" t="str">
        <f>IF(Electricity[[#This Row],[Month]]&lt;&gt;"",VLOOKUP(Electricity[[#This Row],[Month]], dropdown!$S$4:$T$15, 2, FALSE),"")</f>
        <v>Q4</v>
      </c>
      <c r="M66" s="201">
        <v>206500</v>
      </c>
      <c r="N66" s="250">
        <v>5287557.37</v>
      </c>
      <c r="O66" s="251" t="s">
        <v>115</v>
      </c>
      <c r="P66" s="203" t="s">
        <v>239</v>
      </c>
    </row>
    <row r="67" spans="9:16" x14ac:dyDescent="0.2">
      <c r="I67" s="198">
        <f t="shared" si="1"/>
        <v>60</v>
      </c>
      <c r="J67" s="57" t="s">
        <v>38</v>
      </c>
      <c r="K67" s="200" t="s">
        <v>199</v>
      </c>
      <c r="L67" s="18" t="str">
        <f>IF(Electricity[[#This Row],[Month]]&lt;&gt;"",VLOOKUP(Electricity[[#This Row],[Month]], dropdown!$S$4:$T$15, 2, FALSE),"")</f>
        <v>Q4</v>
      </c>
      <c r="M67" s="201">
        <v>3644</v>
      </c>
      <c r="N67" s="250">
        <v>87661.65</v>
      </c>
      <c r="O67" s="251" t="s">
        <v>115</v>
      </c>
      <c r="P67" s="203" t="s">
        <v>240</v>
      </c>
    </row>
    <row r="68" spans="9:16" x14ac:dyDescent="0.2">
      <c r="I68" s="198">
        <f t="shared" si="1"/>
        <v>61</v>
      </c>
      <c r="J68" s="57" t="s">
        <v>38</v>
      </c>
      <c r="K68" s="200" t="s">
        <v>200</v>
      </c>
      <c r="L68" s="18" t="str">
        <f>IF(Electricity[[#This Row],[Month]]&lt;&gt;"",VLOOKUP(Electricity[[#This Row],[Month]], dropdown!$S$4:$T$15, 2, FALSE),"")</f>
        <v>Q4</v>
      </c>
      <c r="M68" s="201">
        <v>213</v>
      </c>
      <c r="N68" s="250">
        <v>0</v>
      </c>
      <c r="O68" s="251" t="s">
        <v>115</v>
      </c>
      <c r="P68" s="203" t="s">
        <v>233</v>
      </c>
    </row>
    <row r="69" spans="9:16" x14ac:dyDescent="0.2">
      <c r="I69" s="198">
        <f t="shared" si="1"/>
        <v>62</v>
      </c>
      <c r="J69" s="57" t="s">
        <v>179</v>
      </c>
      <c r="K69" s="200" t="s">
        <v>200</v>
      </c>
      <c r="L69" s="18" t="str">
        <f>IF(Electricity[[#This Row],[Month]]&lt;&gt;"",VLOOKUP(Electricity[[#This Row],[Month]], dropdown!$S$4:$T$15, 2, FALSE),"")</f>
        <v>Q4</v>
      </c>
      <c r="M69" s="201">
        <v>73500</v>
      </c>
      <c r="N69" s="250">
        <v>16962259.379999999</v>
      </c>
      <c r="O69" s="251" t="s">
        <v>115</v>
      </c>
      <c r="P69" s="203" t="s">
        <v>234</v>
      </c>
    </row>
    <row r="70" spans="9:16" x14ac:dyDescent="0.2">
      <c r="I70" s="198">
        <f t="shared" si="1"/>
        <v>63</v>
      </c>
      <c r="J70" s="57" t="s">
        <v>179</v>
      </c>
      <c r="K70" s="200" t="s">
        <v>200</v>
      </c>
      <c r="L70" s="18" t="str">
        <f>IF(Electricity[[#This Row],[Month]]&lt;&gt;"",VLOOKUP(Electricity[[#This Row],[Month]], dropdown!$S$4:$T$15, 2, FALSE),"")</f>
        <v>Q4</v>
      </c>
      <c r="M70" s="201">
        <v>623000</v>
      </c>
      <c r="N70" s="250">
        <v>12311601.470000001</v>
      </c>
      <c r="O70" s="251" t="s">
        <v>115</v>
      </c>
      <c r="P70" s="203" t="s">
        <v>235</v>
      </c>
    </row>
    <row r="71" spans="9:16" x14ac:dyDescent="0.2">
      <c r="I71" s="198">
        <f t="shared" si="1"/>
        <v>64</v>
      </c>
      <c r="J71" s="57" t="s">
        <v>38</v>
      </c>
      <c r="K71" s="200" t="s">
        <v>200</v>
      </c>
      <c r="L71" s="18" t="str">
        <f>IF(Electricity[[#This Row],[Month]]&lt;&gt;"",VLOOKUP(Electricity[[#This Row],[Month]], dropdown!$S$4:$T$15, 2, FALSE),"")</f>
        <v>Q4</v>
      </c>
      <c r="M71" s="201">
        <v>7160</v>
      </c>
      <c r="N71" s="250">
        <v>188039.55</v>
      </c>
      <c r="O71" s="251" t="s">
        <v>115</v>
      </c>
      <c r="P71" s="203" t="s">
        <v>236</v>
      </c>
    </row>
    <row r="72" spans="9:16" x14ac:dyDescent="0.2">
      <c r="I72" s="198">
        <f t="shared" si="1"/>
        <v>65</v>
      </c>
      <c r="J72" s="57" t="s">
        <v>179</v>
      </c>
      <c r="K72" s="200" t="s">
        <v>200</v>
      </c>
      <c r="L72" s="18" t="str">
        <f>IF(Electricity[[#This Row],[Month]]&lt;&gt;"",VLOOKUP(Electricity[[#This Row],[Month]], dropdown!$S$4:$T$15, 2, FALSE),"")</f>
        <v>Q4</v>
      </c>
      <c r="M72" s="201">
        <v>213500</v>
      </c>
      <c r="N72" s="250">
        <v>5305378.49</v>
      </c>
      <c r="O72" s="251" t="s">
        <v>115</v>
      </c>
      <c r="P72" s="203" t="s">
        <v>239</v>
      </c>
    </row>
    <row r="73" spans="9:16" x14ac:dyDescent="0.2">
      <c r="I73" s="198">
        <f t="shared" ref="I73:I107" si="2">IF($M73="","",$I72+1)</f>
        <v>66</v>
      </c>
      <c r="J73" s="57" t="s">
        <v>38</v>
      </c>
      <c r="K73" s="200" t="s">
        <v>200</v>
      </c>
      <c r="L73" s="18" t="str">
        <f>IF(Electricity[[#This Row],[Month]]&lt;&gt;"",VLOOKUP(Electricity[[#This Row],[Month]], dropdown!$S$4:$T$15, 2, FALSE),"")</f>
        <v>Q4</v>
      </c>
      <c r="M73" s="201">
        <v>3768</v>
      </c>
      <c r="N73" s="250">
        <v>88470.94</v>
      </c>
      <c r="O73" s="251" t="s">
        <v>115</v>
      </c>
      <c r="P73" s="203" t="s">
        <v>240</v>
      </c>
    </row>
    <row r="74" spans="9:16" x14ac:dyDescent="0.2">
      <c r="I74" s="198">
        <f t="shared" si="2"/>
        <v>67</v>
      </c>
      <c r="J74" s="57" t="s">
        <v>38</v>
      </c>
      <c r="K74" s="200" t="s">
        <v>185</v>
      </c>
      <c r="L74" s="18" t="str">
        <f>IF(Electricity[[#This Row],[Month]]&lt;&gt;"",VLOOKUP(Electricity[[#This Row],[Month]], dropdown!$S$4:$T$15, 2, FALSE),"")</f>
        <v>Q4</v>
      </c>
      <c r="M74" s="201">
        <v>217</v>
      </c>
      <c r="N74" s="250">
        <v>3505.33</v>
      </c>
      <c r="O74" s="251" t="s">
        <v>115</v>
      </c>
      <c r="P74" s="203" t="s">
        <v>233</v>
      </c>
    </row>
    <row r="75" spans="9:16" x14ac:dyDescent="0.2">
      <c r="I75" s="198">
        <f t="shared" si="2"/>
        <v>68</v>
      </c>
      <c r="J75" s="57" t="s">
        <v>179</v>
      </c>
      <c r="K75" s="200" t="s">
        <v>185</v>
      </c>
      <c r="L75" s="18" t="str">
        <f>IF(Electricity[[#This Row],[Month]]&lt;&gt;"",VLOOKUP(Electricity[[#This Row],[Month]], dropdown!$S$4:$T$15, 2, FALSE),"")</f>
        <v>Q4</v>
      </c>
      <c r="M75" s="201">
        <v>798000</v>
      </c>
      <c r="N75" s="250">
        <v>16141473.720000001</v>
      </c>
      <c r="O75" s="251" t="s">
        <v>115</v>
      </c>
      <c r="P75" s="203" t="s">
        <v>234</v>
      </c>
    </row>
    <row r="76" spans="9:16" x14ac:dyDescent="0.2">
      <c r="I76" s="198">
        <f t="shared" si="2"/>
        <v>69</v>
      </c>
      <c r="J76" s="57" t="s">
        <v>179</v>
      </c>
      <c r="K76" s="200" t="s">
        <v>185</v>
      </c>
      <c r="L76" s="18" t="str">
        <f>IF(Electricity[[#This Row],[Month]]&lt;&gt;"",VLOOKUP(Electricity[[#This Row],[Month]], dropdown!$S$4:$T$15, 2, FALSE),"")</f>
        <v>Q4</v>
      </c>
      <c r="M76" s="201">
        <v>434000</v>
      </c>
      <c r="N76" s="250">
        <v>12166342.65</v>
      </c>
      <c r="O76" s="251" t="s">
        <v>115</v>
      </c>
      <c r="P76" s="203" t="s">
        <v>235</v>
      </c>
    </row>
    <row r="77" spans="9:16" x14ac:dyDescent="0.2">
      <c r="I77" s="198">
        <f t="shared" si="2"/>
        <v>70</v>
      </c>
      <c r="J77" s="57" t="s">
        <v>38</v>
      </c>
      <c r="K77" s="200" t="s">
        <v>185</v>
      </c>
      <c r="L77" s="18" t="str">
        <f>IF(Electricity[[#This Row],[Month]]&lt;&gt;"",VLOOKUP(Electricity[[#This Row],[Month]], dropdown!$S$4:$T$15, 2, FALSE),"")</f>
        <v>Q4</v>
      </c>
      <c r="M77" s="201">
        <v>6840</v>
      </c>
      <c r="N77" s="250">
        <v>174383.98</v>
      </c>
      <c r="O77" s="251" t="s">
        <v>115</v>
      </c>
      <c r="P77" s="203" t="s">
        <v>236</v>
      </c>
    </row>
    <row r="78" spans="9:16" x14ac:dyDescent="0.2">
      <c r="I78" s="198">
        <f t="shared" si="2"/>
        <v>71</v>
      </c>
      <c r="J78" s="57" t="s">
        <v>179</v>
      </c>
      <c r="K78" s="200" t="s">
        <v>185</v>
      </c>
      <c r="L78" s="18" t="str">
        <f>IF(Electricity[[#This Row],[Month]]&lt;&gt;"",VLOOKUP(Electricity[[#This Row],[Month]], dropdown!$S$4:$T$15, 2, FALSE),"")</f>
        <v>Q4</v>
      </c>
      <c r="M78" s="201">
        <v>189000</v>
      </c>
      <c r="N78" s="250">
        <v>5185571.92</v>
      </c>
      <c r="O78" s="251" t="s">
        <v>115</v>
      </c>
      <c r="P78" s="203" t="s">
        <v>239</v>
      </c>
    </row>
    <row r="79" spans="9:16" x14ac:dyDescent="0.2">
      <c r="I79" s="198">
        <f t="shared" si="2"/>
        <v>72</v>
      </c>
      <c r="J79" s="57" t="s">
        <v>38</v>
      </c>
      <c r="K79" s="200" t="s">
        <v>185</v>
      </c>
      <c r="L79" s="18" t="str">
        <f>IF(Electricity[[#This Row],[Month]]&lt;&gt;"",VLOOKUP(Electricity[[#This Row],[Month]], dropdown!$S$4:$T$15, 2, FALSE),"")</f>
        <v>Q4</v>
      </c>
      <c r="M79" s="201">
        <v>2981</v>
      </c>
      <c r="N79" s="250">
        <v>82899.520000000004</v>
      </c>
      <c r="O79" s="251" t="s">
        <v>115</v>
      </c>
      <c r="P79" s="203" t="s">
        <v>240</v>
      </c>
    </row>
    <row r="80" spans="9:16" x14ac:dyDescent="0.2">
      <c r="I80" s="198" t="str">
        <f t="shared" si="2"/>
        <v/>
      </c>
      <c r="J80" s="57"/>
      <c r="K80" s="200"/>
      <c r="L80" s="18" t="str">
        <f>IF(Electricity[[#This Row],[Month]]&lt;&gt;"",VLOOKUP(Electricity[[#This Row],[Month]], dropdown!$S$4:$T$15, 2, FALSE),"")</f>
        <v/>
      </c>
      <c r="M80" s="201"/>
      <c r="N80" s="250"/>
      <c r="O80" s="251"/>
      <c r="P80" s="203"/>
    </row>
    <row r="81" spans="9:16" x14ac:dyDescent="0.2">
      <c r="I81" s="198" t="str">
        <f t="shared" si="2"/>
        <v/>
      </c>
      <c r="J81" s="57"/>
      <c r="K81" s="200"/>
      <c r="L81" s="18" t="str">
        <f>IF(Electricity[[#This Row],[Month]]&lt;&gt;"",VLOOKUP(Electricity[[#This Row],[Month]], dropdown!$S$4:$T$15, 2, FALSE),"")</f>
        <v/>
      </c>
      <c r="M81" s="201"/>
      <c r="N81" s="250"/>
      <c r="O81" s="251"/>
      <c r="P81" s="203"/>
    </row>
    <row r="82" spans="9:16" x14ac:dyDescent="0.2">
      <c r="I82" s="198" t="str">
        <f t="shared" si="2"/>
        <v/>
      </c>
      <c r="J82" s="57"/>
      <c r="K82" s="200"/>
      <c r="L82" s="18" t="str">
        <f>IF(Electricity[[#This Row],[Month]]&lt;&gt;"",VLOOKUP(Electricity[[#This Row],[Month]], dropdown!$S$4:$T$15, 2, FALSE),"")</f>
        <v/>
      </c>
      <c r="M82" s="201"/>
      <c r="N82" s="250"/>
      <c r="O82" s="251"/>
      <c r="P82" s="203"/>
    </row>
    <row r="83" spans="9:16" x14ac:dyDescent="0.2">
      <c r="I83" s="198" t="str">
        <f t="shared" si="2"/>
        <v/>
      </c>
      <c r="J83" s="57"/>
      <c r="K83" s="200"/>
      <c r="L83" s="18" t="str">
        <f>IF(Electricity[[#This Row],[Month]]&lt;&gt;"",VLOOKUP(Electricity[[#This Row],[Month]], dropdown!$S$4:$T$15, 2, FALSE),"")</f>
        <v/>
      </c>
      <c r="M83" s="201"/>
      <c r="N83" s="250"/>
      <c r="O83" s="251"/>
      <c r="P83" s="203"/>
    </row>
    <row r="84" spans="9:16" x14ac:dyDescent="0.2">
      <c r="I84" s="198" t="str">
        <f t="shared" si="2"/>
        <v/>
      </c>
      <c r="J84" s="57"/>
      <c r="K84" s="200"/>
      <c r="L84" s="18" t="str">
        <f>IF(Electricity[[#This Row],[Month]]&lt;&gt;"",VLOOKUP(Electricity[[#This Row],[Month]], dropdown!$S$4:$T$15, 2, FALSE),"")</f>
        <v/>
      </c>
      <c r="M84" s="201"/>
      <c r="N84" s="250"/>
      <c r="O84" s="251"/>
      <c r="P84" s="203"/>
    </row>
    <row r="85" spans="9:16" x14ac:dyDescent="0.2">
      <c r="I85" s="198" t="str">
        <f t="shared" si="2"/>
        <v/>
      </c>
      <c r="J85" s="57"/>
      <c r="K85" s="200"/>
      <c r="L85" s="18" t="str">
        <f>IF(Electricity[[#This Row],[Month]]&lt;&gt;"",VLOOKUP(Electricity[[#This Row],[Month]], dropdown!$S$4:$T$15, 2, FALSE),"")</f>
        <v/>
      </c>
      <c r="M85" s="201"/>
      <c r="N85" s="250"/>
      <c r="O85" s="251"/>
      <c r="P85" s="203"/>
    </row>
    <row r="86" spans="9:16" x14ac:dyDescent="0.2">
      <c r="I86" s="198" t="str">
        <f t="shared" si="2"/>
        <v/>
      </c>
      <c r="J86" s="57"/>
      <c r="K86" s="200"/>
      <c r="L86" s="18" t="str">
        <f>IF(Electricity[[#This Row],[Month]]&lt;&gt;"",VLOOKUP(Electricity[[#This Row],[Month]], dropdown!$S$4:$T$15, 2, FALSE),"")</f>
        <v/>
      </c>
      <c r="M86" s="201"/>
      <c r="N86" s="250"/>
      <c r="O86" s="251"/>
      <c r="P86" s="203"/>
    </row>
    <row r="87" spans="9:16" x14ac:dyDescent="0.2">
      <c r="I87" s="198" t="str">
        <f t="shared" si="2"/>
        <v/>
      </c>
      <c r="J87" s="57"/>
      <c r="K87" s="200"/>
      <c r="L87" s="18" t="str">
        <f>IF(Electricity[[#This Row],[Month]]&lt;&gt;"",VLOOKUP(Electricity[[#This Row],[Month]], dropdown!$S$4:$T$15, 2, FALSE),"")</f>
        <v/>
      </c>
      <c r="M87" s="201"/>
      <c r="N87" s="250"/>
      <c r="O87" s="251"/>
      <c r="P87" s="203"/>
    </row>
    <row r="88" spans="9:16" x14ac:dyDescent="0.2">
      <c r="I88" s="198" t="str">
        <f t="shared" si="2"/>
        <v/>
      </c>
      <c r="J88" s="57"/>
      <c r="K88" s="200"/>
      <c r="L88" s="18" t="str">
        <f>IF(Electricity[[#This Row],[Month]]&lt;&gt;"",VLOOKUP(Electricity[[#This Row],[Month]], dropdown!$S$4:$T$15, 2, FALSE),"")</f>
        <v/>
      </c>
      <c r="M88" s="201"/>
      <c r="N88" s="250"/>
      <c r="O88" s="251"/>
      <c r="P88" s="203"/>
    </row>
    <row r="89" spans="9:16" x14ac:dyDescent="0.2">
      <c r="I89" s="198" t="str">
        <f t="shared" si="2"/>
        <v/>
      </c>
      <c r="J89" s="57"/>
      <c r="K89" s="200"/>
      <c r="L89" s="18" t="str">
        <f>IF(Electricity[[#This Row],[Month]]&lt;&gt;"",VLOOKUP(Electricity[[#This Row],[Month]], dropdown!$S$4:$T$15, 2, FALSE),"")</f>
        <v/>
      </c>
      <c r="M89" s="201"/>
      <c r="N89" s="250"/>
      <c r="O89" s="251"/>
      <c r="P89" s="203"/>
    </row>
    <row r="90" spans="9:16" x14ac:dyDescent="0.2">
      <c r="I90" s="198" t="str">
        <f t="shared" si="2"/>
        <v/>
      </c>
      <c r="J90" s="57"/>
      <c r="K90" s="200"/>
      <c r="L90" s="18" t="str">
        <f>IF(Electricity[[#This Row],[Month]]&lt;&gt;"",VLOOKUP(Electricity[[#This Row],[Month]], dropdown!$S$4:$T$15, 2, FALSE),"")</f>
        <v/>
      </c>
      <c r="M90" s="201"/>
      <c r="N90" s="250"/>
      <c r="O90" s="251"/>
      <c r="P90" s="203"/>
    </row>
    <row r="91" spans="9:16" x14ac:dyDescent="0.2">
      <c r="I91" s="198" t="str">
        <f t="shared" si="2"/>
        <v/>
      </c>
      <c r="J91" s="57"/>
      <c r="K91" s="200"/>
      <c r="L91" s="18" t="str">
        <f>IF(Electricity[[#This Row],[Month]]&lt;&gt;"",VLOOKUP(Electricity[[#This Row],[Month]], dropdown!$S$4:$T$15, 2, FALSE),"")</f>
        <v/>
      </c>
      <c r="M91" s="201"/>
      <c r="N91" s="250"/>
      <c r="O91" s="251"/>
      <c r="P91" s="203"/>
    </row>
    <row r="92" spans="9:16" x14ac:dyDescent="0.2">
      <c r="I92" s="198" t="str">
        <f t="shared" si="2"/>
        <v/>
      </c>
      <c r="J92" s="57"/>
      <c r="K92" s="200"/>
      <c r="L92" s="18" t="str">
        <f>IF(Electricity[[#This Row],[Month]]&lt;&gt;"",VLOOKUP(Electricity[[#This Row],[Month]], dropdown!$S$4:$T$15, 2, FALSE),"")</f>
        <v/>
      </c>
      <c r="M92" s="201"/>
      <c r="N92" s="250"/>
      <c r="O92" s="251"/>
      <c r="P92" s="203"/>
    </row>
    <row r="93" spans="9:16" x14ac:dyDescent="0.2">
      <c r="I93" s="198" t="str">
        <f t="shared" si="2"/>
        <v/>
      </c>
      <c r="J93" s="57"/>
      <c r="K93" s="200"/>
      <c r="L93" s="18" t="str">
        <f>IF(Electricity[[#This Row],[Month]]&lt;&gt;"",VLOOKUP(Electricity[[#This Row],[Month]], dropdown!$S$4:$T$15, 2, FALSE),"")</f>
        <v/>
      </c>
      <c r="M93" s="201"/>
      <c r="N93" s="250"/>
      <c r="O93" s="251"/>
      <c r="P93" s="203"/>
    </row>
    <row r="94" spans="9:16" x14ac:dyDescent="0.2">
      <c r="I94" s="198" t="str">
        <f t="shared" si="2"/>
        <v/>
      </c>
      <c r="J94" s="57"/>
      <c r="K94" s="200"/>
      <c r="L94" s="18" t="str">
        <f>IF(Electricity[[#This Row],[Month]]&lt;&gt;"",VLOOKUP(Electricity[[#This Row],[Month]], dropdown!$S$4:$T$15, 2, FALSE),"")</f>
        <v/>
      </c>
      <c r="M94" s="201"/>
      <c r="N94" s="250"/>
      <c r="O94" s="251"/>
      <c r="P94" s="203"/>
    </row>
    <row r="95" spans="9:16" x14ac:dyDescent="0.2">
      <c r="I95" s="198" t="str">
        <f t="shared" si="2"/>
        <v/>
      </c>
      <c r="J95" s="57"/>
      <c r="K95" s="200"/>
      <c r="L95" s="18" t="str">
        <f>IF(Electricity[[#This Row],[Month]]&lt;&gt;"",VLOOKUP(Electricity[[#This Row],[Month]], dropdown!$S$4:$T$15, 2, FALSE),"")</f>
        <v/>
      </c>
      <c r="M95" s="201"/>
      <c r="N95" s="250"/>
      <c r="O95" s="251"/>
      <c r="P95" s="203"/>
    </row>
    <row r="96" spans="9:16" x14ac:dyDescent="0.2">
      <c r="I96" s="198" t="str">
        <f t="shared" si="2"/>
        <v/>
      </c>
      <c r="J96" s="57"/>
      <c r="K96" s="200"/>
      <c r="L96" s="18" t="str">
        <f>IF(Electricity[[#This Row],[Month]]&lt;&gt;"",VLOOKUP(Electricity[[#This Row],[Month]], dropdown!$S$4:$T$15, 2, FALSE),"")</f>
        <v/>
      </c>
      <c r="M96" s="201"/>
      <c r="N96" s="250"/>
      <c r="O96" s="251"/>
      <c r="P96" s="203"/>
    </row>
    <row r="97" spans="9:16" x14ac:dyDescent="0.2">
      <c r="I97" s="198" t="str">
        <f t="shared" si="2"/>
        <v/>
      </c>
      <c r="J97" s="57"/>
      <c r="K97" s="200"/>
      <c r="L97" s="18" t="str">
        <f>IF(Electricity[[#This Row],[Month]]&lt;&gt;"",VLOOKUP(Electricity[[#This Row],[Month]], dropdown!$S$4:$T$15, 2, FALSE),"")</f>
        <v/>
      </c>
      <c r="M97" s="201"/>
      <c r="N97" s="250"/>
      <c r="O97" s="251"/>
      <c r="P97" s="203"/>
    </row>
    <row r="98" spans="9:16" x14ac:dyDescent="0.2">
      <c r="I98" s="198" t="str">
        <f t="shared" si="2"/>
        <v/>
      </c>
      <c r="J98" s="57"/>
      <c r="K98" s="200"/>
      <c r="L98" s="18" t="str">
        <f>IF(Electricity[[#This Row],[Month]]&lt;&gt;"",VLOOKUP(Electricity[[#This Row],[Month]], dropdown!$S$4:$T$15, 2, FALSE),"")</f>
        <v/>
      </c>
      <c r="M98" s="201"/>
      <c r="N98" s="250"/>
      <c r="O98" s="251"/>
      <c r="P98" s="203"/>
    </row>
    <row r="99" spans="9:16" x14ac:dyDescent="0.2">
      <c r="I99" s="198" t="str">
        <f t="shared" si="2"/>
        <v/>
      </c>
      <c r="J99" s="57"/>
      <c r="K99" s="200"/>
      <c r="L99" s="18" t="str">
        <f>IF(Electricity[[#This Row],[Month]]&lt;&gt;"",VLOOKUP(Electricity[[#This Row],[Month]], dropdown!$S$4:$T$15, 2, FALSE),"")</f>
        <v/>
      </c>
      <c r="M99" s="201"/>
      <c r="N99" s="250"/>
      <c r="O99" s="251"/>
      <c r="P99" s="203"/>
    </row>
    <row r="100" spans="9:16" x14ac:dyDescent="0.2">
      <c r="I100" s="198" t="str">
        <f t="shared" si="2"/>
        <v/>
      </c>
      <c r="J100" s="57"/>
      <c r="K100" s="200"/>
      <c r="L100" s="18" t="str">
        <f>IF(Electricity[[#This Row],[Month]]&lt;&gt;"",VLOOKUP(Electricity[[#This Row],[Month]], dropdown!$S$4:$T$15, 2, FALSE),"")</f>
        <v/>
      </c>
      <c r="M100" s="201"/>
      <c r="N100" s="250"/>
      <c r="O100" s="251"/>
      <c r="P100" s="203"/>
    </row>
    <row r="101" spans="9:16" x14ac:dyDescent="0.2">
      <c r="I101" s="198" t="str">
        <f t="shared" si="2"/>
        <v/>
      </c>
      <c r="J101" s="57"/>
      <c r="K101" s="200"/>
      <c r="L101" s="18" t="str">
        <f>IF(Electricity[[#This Row],[Month]]&lt;&gt;"",VLOOKUP(Electricity[[#This Row],[Month]], dropdown!$S$4:$T$15, 2, FALSE),"")</f>
        <v/>
      </c>
      <c r="M101" s="201"/>
      <c r="N101" s="250"/>
      <c r="O101" s="251"/>
      <c r="P101" s="203"/>
    </row>
    <row r="102" spans="9:16" x14ac:dyDescent="0.2">
      <c r="I102" s="198" t="str">
        <f t="shared" si="2"/>
        <v/>
      </c>
      <c r="J102" s="57"/>
      <c r="K102" s="200"/>
      <c r="L102" s="18" t="str">
        <f>IF(Electricity[[#This Row],[Month]]&lt;&gt;"",VLOOKUP(Electricity[[#This Row],[Month]], dropdown!$S$4:$T$15, 2, FALSE),"")</f>
        <v/>
      </c>
      <c r="M102" s="201"/>
      <c r="N102" s="250"/>
      <c r="O102" s="251"/>
      <c r="P102" s="203"/>
    </row>
    <row r="103" spans="9:16" x14ac:dyDescent="0.2">
      <c r="I103" s="198" t="str">
        <f t="shared" si="2"/>
        <v/>
      </c>
      <c r="J103" s="57"/>
      <c r="K103" s="200"/>
      <c r="L103" s="18" t="str">
        <f>IF(Electricity[[#This Row],[Month]]&lt;&gt;"",VLOOKUP(Electricity[[#This Row],[Month]], dropdown!$S$4:$T$15, 2, FALSE),"")</f>
        <v/>
      </c>
      <c r="M103" s="201"/>
      <c r="N103" s="250"/>
      <c r="O103" s="251"/>
      <c r="P103" s="203"/>
    </row>
    <row r="104" spans="9:16" x14ac:dyDescent="0.2">
      <c r="I104" s="198" t="str">
        <f t="shared" si="2"/>
        <v/>
      </c>
      <c r="J104" s="57"/>
      <c r="K104" s="200"/>
      <c r="L104" s="18" t="str">
        <f>IF(Electricity[[#This Row],[Month]]&lt;&gt;"",VLOOKUP(Electricity[[#This Row],[Month]], dropdown!$S$4:$T$15, 2, FALSE),"")</f>
        <v/>
      </c>
      <c r="M104" s="201"/>
      <c r="N104" s="250"/>
      <c r="O104" s="251"/>
      <c r="P104" s="203"/>
    </row>
    <row r="105" spans="9:16" x14ac:dyDescent="0.2">
      <c r="I105" s="198" t="str">
        <f t="shared" si="2"/>
        <v/>
      </c>
      <c r="J105" s="57"/>
      <c r="K105" s="200"/>
      <c r="L105" s="18" t="str">
        <f>IF(Electricity[[#This Row],[Month]]&lt;&gt;"",VLOOKUP(Electricity[[#This Row],[Month]], dropdown!$S$4:$T$15, 2, FALSE),"")</f>
        <v/>
      </c>
      <c r="M105" s="201"/>
      <c r="N105" s="250"/>
      <c r="O105" s="251"/>
      <c r="P105" s="203"/>
    </row>
    <row r="106" spans="9:16" x14ac:dyDescent="0.2">
      <c r="I106" s="198" t="str">
        <f t="shared" si="2"/>
        <v/>
      </c>
      <c r="J106" s="57"/>
      <c r="K106" s="200"/>
      <c r="L106" s="18" t="str">
        <f>IF(Electricity[[#This Row],[Month]]&lt;&gt;"",VLOOKUP(Electricity[[#This Row],[Month]], dropdown!$S$4:$T$15, 2, FALSE),"")</f>
        <v/>
      </c>
      <c r="M106" s="201"/>
      <c r="N106" s="250"/>
      <c r="O106" s="251"/>
      <c r="P106" s="203"/>
    </row>
    <row r="107" spans="9:16" x14ac:dyDescent="0.2">
      <c r="I107" s="198" t="str">
        <f t="shared" si="2"/>
        <v/>
      </c>
      <c r="J107" s="57"/>
      <c r="K107" s="200"/>
      <c r="L107" s="18" t="str">
        <f>IF(Electricity[[#This Row],[Month]]&lt;&gt;"",VLOOKUP(Electricity[[#This Row],[Month]], dropdown!$S$4:$T$15, 2, FALSE),"")</f>
        <v/>
      </c>
      <c r="M107" s="201"/>
      <c r="N107" s="250"/>
      <c r="O107" s="251"/>
      <c r="P107" s="203"/>
    </row>
    <row r="109" spans="9:16" x14ac:dyDescent="0.2">
      <c r="I109" s="326" t="s">
        <v>189</v>
      </c>
    </row>
  </sheetData>
  <sheetProtection algorithmName="SHA-512" hashValue="Mh8txj+Sp9whoUl+QoOg0M/HMFvj0JQ7jrqUQi2l0VJ9y9L3765ThPTdpa5BEDDlzVlqDH2gNGsD5ZHANStYdQ==" saltValue="CDQ3o7jw9xX3qXxu0UTSqQ==" spinCount="100000" sheet="1" objects="1" scenarios="1" selectLockedCells="1"/>
  <protectedRanges>
    <protectedRange sqref="J7:K107 M7:M107 N7:N107 O7:P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EEF40FA1-E3C6-FA4D-B485-0CC37F637319}">
          <x14:formula1>
            <xm:f>dropdown!$S$4:$S$15</xm:f>
          </x14:formula1>
          <xm:sqref>K8:K107</xm:sqref>
        </x14:dataValidation>
        <x14:dataValidation type="list" allowBlank="1" showInputMessage="1" showErrorMessage="1" xr:uid="{7345C049-4FDB-E148-8CAB-905FA6EC1DBF}">
          <x14:formula1>
            <xm:f>dropdown!$AO$4:$AO$156</xm:f>
          </x14:formula1>
          <xm:sqref>O8:O107</xm:sqref>
        </x14:dataValidation>
        <x14:dataValidation type="list" allowBlank="1" showInputMessage="1" showErrorMessage="1" xr:uid="{386241F1-4CA2-40B4-B0AA-FDD0072C1D1E}">
          <x14:formula1>
            <xm:f>dropdown!$N$4:$N$5</xm:f>
          </x14:formula1>
          <xm:sqref>J8:J107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M14" sqref="M14"/>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6" width="10" style="11" customWidth="1"/>
    <col min="7" max="7" width="14.5"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5" customWidth="1"/>
    <col min="15" max="15" width="4.6640625" style="20" customWidth="1"/>
    <col min="16" max="16" width="10.83203125" style="47" customWidth="1"/>
    <col min="17" max="16384" width="10.83203125" style="20"/>
  </cols>
  <sheetData>
    <row r="2" spans="2:16" ht="19" x14ac:dyDescent="0.25">
      <c r="B2" s="261" t="s">
        <v>30</v>
      </c>
      <c r="C2" s="30"/>
      <c r="D2" s="30"/>
      <c r="E2" s="30"/>
      <c r="F2" s="30"/>
      <c r="G2" s="31"/>
      <c r="I2" s="371" t="s">
        <v>241</v>
      </c>
      <c r="J2" s="372"/>
      <c r="K2" s="372"/>
      <c r="L2" s="373"/>
      <c r="M2" s="373"/>
      <c r="N2" s="374"/>
    </row>
    <row r="3" spans="2:16" x14ac:dyDescent="0.2">
      <c r="B3" s="32" t="s">
        <v>9</v>
      </c>
      <c r="C3" s="33"/>
      <c r="D3" s="34" t="s">
        <v>172</v>
      </c>
      <c r="E3" s="33"/>
      <c r="F3" s="33" t="s">
        <v>173</v>
      </c>
      <c r="G3" s="33"/>
      <c r="I3" s="474" t="s">
        <v>242</v>
      </c>
      <c r="J3" s="475"/>
      <c r="K3" s="475"/>
      <c r="L3" s="475"/>
      <c r="M3" s="475"/>
      <c r="N3" s="476"/>
    </row>
    <row r="4" spans="2:16" x14ac:dyDescent="0.2">
      <c r="B4" s="166" t="str">
        <f>'1. Data Info and Summary'!$D$2</f>
        <v>Security Plant Complex</v>
      </c>
      <c r="C4" s="36"/>
      <c r="D4" s="37">
        <f>IF('1. Data Info and Summary'!$D$3=0,"-",'1. Data Info and Summary'!$D$3)</f>
        <v>2024</v>
      </c>
      <c r="E4" s="36"/>
      <c r="F4" s="36" t="s">
        <v>243</v>
      </c>
      <c r="G4" s="38"/>
      <c r="I4" s="477"/>
      <c r="J4" s="478"/>
      <c r="K4" s="478"/>
      <c r="L4" s="478"/>
      <c r="M4" s="478"/>
      <c r="N4" s="479"/>
    </row>
    <row r="5" spans="2:16" x14ac:dyDescent="0.2">
      <c r="B5" s="274"/>
      <c r="D5" s="274"/>
    </row>
    <row r="6" spans="2:16" ht="33" customHeight="1" x14ac:dyDescent="0.2">
      <c r="B6" s="283" t="s">
        <v>176</v>
      </c>
      <c r="C6" s="460"/>
      <c r="D6" s="461"/>
      <c r="E6" s="461"/>
      <c r="F6" s="461"/>
      <c r="G6" s="462"/>
      <c r="I6" s="252" t="s">
        <v>177</v>
      </c>
      <c r="J6" s="253" t="s">
        <v>43</v>
      </c>
      <c r="K6" s="253" t="s">
        <v>47</v>
      </c>
      <c r="L6" s="254" t="s">
        <v>118</v>
      </c>
      <c r="M6" s="356" t="s">
        <v>244</v>
      </c>
      <c r="N6" s="257" t="s">
        <v>58</v>
      </c>
      <c r="O6" s="353"/>
    </row>
    <row r="7" spans="2:16" x14ac:dyDescent="0.2">
      <c r="B7" s="283" t="s">
        <v>178</v>
      </c>
      <c r="C7" s="460"/>
      <c r="D7" s="461"/>
      <c r="E7" s="461"/>
      <c r="F7" s="461"/>
      <c r="G7" s="462"/>
      <c r="I7" s="198">
        <f>IF(RE_solar[[#This Row],[Month]]="","",1)</f>
        <v>1</v>
      </c>
      <c r="J7" s="57" t="s">
        <v>193</v>
      </c>
      <c r="K7" s="18" t="str">
        <f>IF(RE_solar[[#This Row],[Month]]&lt;&gt;"",VLOOKUP(RE_solar[[#This Row],[Month]], dropdown!$S$4:$T$15, 2, FALSE),"")</f>
        <v>Q1</v>
      </c>
      <c r="L7" s="28">
        <v>27840</v>
      </c>
      <c r="M7" s="354"/>
      <c r="N7" s="199"/>
    </row>
    <row r="8" spans="2:16" x14ac:dyDescent="0.2">
      <c r="B8" s="262"/>
      <c r="C8" s="262"/>
      <c r="D8" s="262"/>
      <c r="E8" s="262"/>
      <c r="F8" s="262"/>
      <c r="G8" s="262"/>
      <c r="I8" s="198">
        <f>IF(RE_solar[[#This Row],[Month]]="","",I7+1)</f>
        <v>2</v>
      </c>
      <c r="J8" s="57" t="s">
        <v>92</v>
      </c>
      <c r="K8" s="18" t="str">
        <f>IF(RE_solar[[#This Row],[Month]]&lt;&gt;"",VLOOKUP(RE_solar[[#This Row],[Month]], dropdown!$S$4:$T$15, 2, FALSE),"")</f>
        <v>Q1</v>
      </c>
      <c r="L8" s="28">
        <v>37440</v>
      </c>
      <c r="M8" s="354"/>
      <c r="N8" s="199"/>
    </row>
    <row r="9" spans="2:16" ht="15" x14ac:dyDescent="0.2">
      <c r="B9" s="338" t="s">
        <v>245</v>
      </c>
      <c r="C9" s="14"/>
      <c r="D9" s="14"/>
      <c r="E9" s="14"/>
      <c r="F9" s="14"/>
      <c r="G9" s="14"/>
      <c r="I9" s="198">
        <f>IF(RE_solar[[#This Row],[Month]]="","",I8+1)</f>
        <v>3</v>
      </c>
      <c r="J9" s="57" t="s">
        <v>180</v>
      </c>
      <c r="K9" s="18" t="str">
        <f>IF(RE_solar[[#This Row],[Month]]&lt;&gt;"",VLOOKUP(RE_solar[[#This Row],[Month]], dropdown!$S$4:$T$15, 2, FALSE),"")</f>
        <v>Q1</v>
      </c>
      <c r="L9" s="28">
        <v>28680</v>
      </c>
      <c r="M9" s="354"/>
      <c r="N9" s="199"/>
    </row>
    <row r="10" spans="2:16" x14ac:dyDescent="0.2">
      <c r="B10" s="13" t="s">
        <v>159</v>
      </c>
      <c r="C10" s="13" t="s">
        <v>55</v>
      </c>
      <c r="D10" s="39" t="s">
        <v>49</v>
      </c>
      <c r="E10" s="39" t="s">
        <v>153</v>
      </c>
      <c r="F10" s="39" t="s">
        <v>154</v>
      </c>
      <c r="G10" s="39" t="s">
        <v>155</v>
      </c>
      <c r="I10" s="198">
        <f>IF(RE_solar[[#This Row],[Month]]="","",I9+1)</f>
        <v>4</v>
      </c>
      <c r="J10" s="57" t="s">
        <v>196</v>
      </c>
      <c r="K10" s="18" t="str">
        <f>IF(RE_solar[[#This Row],[Month]]&lt;&gt;"",VLOOKUP(RE_solar[[#This Row],[Month]], dropdown!$S$4:$T$15, 2, FALSE),"")</f>
        <v>Q2</v>
      </c>
      <c r="L10" s="28">
        <v>39480</v>
      </c>
      <c r="M10" s="354"/>
      <c r="N10" s="199"/>
    </row>
    <row r="11" spans="2:16" x14ac:dyDescent="0.2">
      <c r="B11" s="17" t="s">
        <v>237</v>
      </c>
      <c r="C11" s="17" t="s">
        <v>238</v>
      </c>
      <c r="D11" s="40">
        <f>SUMIFS(RE_solar[Solar Energy Generated (kWh)],RE_solar[Quarter],D$10)</f>
        <v>93960</v>
      </c>
      <c r="E11" s="40">
        <f>SUMIFS(RE_solar[Solar Energy Generated (kWh)],RE_solar[Quarter],E$10)</f>
        <v>97046.63</v>
      </c>
      <c r="F11" s="40">
        <f>SUMIFS(RE_solar[Solar Energy Generated (kWh)],RE_solar[Quarter],F$10)</f>
        <v>92160</v>
      </c>
      <c r="G11" s="40">
        <f>SUMIFS(RE_solar[Solar Energy Generated (kWh)],RE_solar[Quarter],G$10)</f>
        <v>63000</v>
      </c>
      <c r="I11" s="198">
        <f>IF(RE_solar[[#This Row],[Month]]="","",I10+1)</f>
        <v>5</v>
      </c>
      <c r="J11" s="57" t="s">
        <v>197</v>
      </c>
      <c r="K11" s="18" t="str">
        <f>IF(RE_solar[[#This Row],[Month]]&lt;&gt;"",VLOOKUP(RE_solar[[#This Row],[Month]], dropdown!$S$4:$T$15, 2, FALSE),"")</f>
        <v>Q2</v>
      </c>
      <c r="L11" s="28">
        <v>31526.63</v>
      </c>
      <c r="M11" s="354"/>
      <c r="N11" s="199"/>
    </row>
    <row r="12" spans="2:16" s="262" customFormat="1" x14ac:dyDescent="0.2">
      <c r="B12" s="11"/>
      <c r="C12" s="11"/>
      <c r="D12" s="172" t="str">
        <f>IF(SUM(D$11:D$11)&gt;0,"x","")</f>
        <v>x</v>
      </c>
      <c r="E12" s="172" t="str">
        <f>IF(SUM(E$11:E$11)&gt;0,"x","")</f>
        <v>x</v>
      </c>
      <c r="F12" s="172" t="str">
        <f>IF(SUM(F$11:F$11)&gt;0,"x","")</f>
        <v>x</v>
      </c>
      <c r="G12" s="172" t="str">
        <f>IF(SUM(G$11:G$11)&gt;0,"x","")</f>
        <v>x</v>
      </c>
      <c r="H12" s="20"/>
      <c r="I12" s="198">
        <f>IF(RE_solar[[#This Row],[Month]]="","",I11+1)</f>
        <v>6</v>
      </c>
      <c r="J12" s="57" t="s">
        <v>183</v>
      </c>
      <c r="K12" s="18" t="str">
        <f>IF(RE_solar[[#This Row],[Month]]&lt;&gt;"",VLOOKUP(RE_solar[[#This Row],[Month]], dropdown!$S$4:$T$15, 2, FALSE),"")</f>
        <v>Q2</v>
      </c>
      <c r="L12" s="28">
        <v>26040</v>
      </c>
      <c r="M12" s="354"/>
      <c r="N12" s="199"/>
      <c r="P12" s="263"/>
    </row>
    <row r="13" spans="2:16" x14ac:dyDescent="0.2">
      <c r="B13" s="125" t="s">
        <v>42</v>
      </c>
      <c r="D13" s="173"/>
      <c r="I13" s="198">
        <f>IF(RE_solar[[#This Row],[Month]]="","",I12+1)</f>
        <v>7</v>
      </c>
      <c r="J13" s="57" t="s">
        <v>198</v>
      </c>
      <c r="K13" s="18" t="str">
        <f>IF(RE_solar[[#This Row],[Month]]&lt;&gt;"",VLOOKUP(RE_solar[[#This Row],[Month]], dropdown!$S$4:$T$15, 2, FALSE),"")</f>
        <v>Q3</v>
      </c>
      <c r="L13" s="28">
        <v>26040</v>
      </c>
      <c r="M13" s="354"/>
      <c r="N13" s="199"/>
    </row>
    <row r="14" spans="2:16" x14ac:dyDescent="0.2">
      <c r="B14" s="126" t="s">
        <v>186</v>
      </c>
      <c r="D14" s="173"/>
      <c r="I14" s="198">
        <f>IF(RE_solar[[#This Row],[Month]]="","",I13+1)</f>
        <v>8</v>
      </c>
      <c r="J14" s="57" t="s">
        <v>45</v>
      </c>
      <c r="K14" s="18" t="str">
        <f>IF(RE_solar[[#This Row],[Month]]&lt;&gt;"",VLOOKUP(RE_solar[[#This Row],[Month]], dropdown!$S$4:$T$15, 2, FALSE),"")</f>
        <v>Q3</v>
      </c>
      <c r="L14" s="28">
        <v>40920</v>
      </c>
      <c r="M14" s="354"/>
      <c r="N14" s="199"/>
    </row>
    <row r="15" spans="2:16" x14ac:dyDescent="0.2">
      <c r="B15" s="127" t="s">
        <v>187</v>
      </c>
      <c r="I15" s="198">
        <f>IF(RE_solar[[#This Row],[Month]]="","",I14+1)</f>
        <v>9</v>
      </c>
      <c r="J15" s="57" t="s">
        <v>184</v>
      </c>
      <c r="K15" s="18" t="str">
        <f>IF(RE_solar[[#This Row],[Month]]&lt;&gt;"",VLOOKUP(RE_solar[[#This Row],[Month]], dropdown!$S$4:$T$15, 2, FALSE),"")</f>
        <v>Q3</v>
      </c>
      <c r="L15" s="28">
        <v>25200</v>
      </c>
      <c r="M15" s="354"/>
      <c r="N15" s="199"/>
    </row>
    <row r="16" spans="2:16" x14ac:dyDescent="0.2">
      <c r="B16" s="128" t="s">
        <v>188</v>
      </c>
      <c r="I16" s="198">
        <f>IF(RE_solar[[#This Row],[Month]]="","",I15+1)</f>
        <v>10</v>
      </c>
      <c r="J16" s="57" t="s">
        <v>199</v>
      </c>
      <c r="K16" s="18" t="str">
        <f>IF(RE_solar[[#This Row],[Month]]&lt;&gt;"",VLOOKUP(RE_solar[[#This Row],[Month]], dropdown!$S$4:$T$15, 2, FALSE),"")</f>
        <v>Q4</v>
      </c>
      <c r="L16" s="28">
        <v>23880</v>
      </c>
      <c r="M16" s="354"/>
      <c r="N16" s="199"/>
      <c r="P16" s="20"/>
    </row>
    <row r="17" spans="2:16" x14ac:dyDescent="0.2">
      <c r="I17" s="198">
        <f>IF(RE_solar[[#This Row],[Month]]="","",I16+1)</f>
        <v>11</v>
      </c>
      <c r="J17" s="57" t="s">
        <v>200</v>
      </c>
      <c r="K17" s="18" t="str">
        <f>IF(RE_solar[[#This Row],[Month]]&lt;&gt;"",VLOOKUP(RE_solar[[#This Row],[Month]], dropdown!$S$4:$T$15, 2, FALSE),"")</f>
        <v>Q4</v>
      </c>
      <c r="L17" s="28">
        <v>23640</v>
      </c>
      <c r="M17" s="354"/>
      <c r="N17" s="199"/>
      <c r="P17" s="20"/>
    </row>
    <row r="18" spans="2:16" x14ac:dyDescent="0.2">
      <c r="I18" s="198">
        <f>IF(RE_solar[[#This Row],[Month]]="","",I17+1)</f>
        <v>12</v>
      </c>
      <c r="J18" s="57" t="s">
        <v>185</v>
      </c>
      <c r="K18" s="18" t="str">
        <f>IF(RE_solar[[#This Row],[Month]]&lt;&gt;"",VLOOKUP(RE_solar[[#This Row],[Month]], dropdown!$S$4:$T$15, 2, FALSE),"")</f>
        <v>Q4</v>
      </c>
      <c r="L18" s="28">
        <v>15480</v>
      </c>
      <c r="M18" s="354"/>
      <c r="N18" s="199"/>
      <c r="P18" s="20"/>
    </row>
    <row r="19" spans="2:16" x14ac:dyDescent="0.2">
      <c r="B19" s="20"/>
      <c r="C19" s="20"/>
      <c r="D19" s="20"/>
      <c r="E19" s="20"/>
      <c r="F19" s="20"/>
      <c r="G19" s="20"/>
      <c r="I19" s="198" t="str">
        <f>IF(RE_solar[[#This Row],[Month]]="","",I18+1)</f>
        <v/>
      </c>
      <c r="J19" s="57"/>
      <c r="K19" s="18" t="str">
        <f>IF(RE_solar[[#This Row],[Month]]&lt;&gt;"",VLOOKUP(RE_solar[[#This Row],[Month]], dropdown!$S$4:$T$15, 2, FALSE),"")</f>
        <v/>
      </c>
      <c r="L19" s="28"/>
      <c r="M19" s="354"/>
      <c r="N19" s="199"/>
      <c r="P19" s="20"/>
    </row>
    <row r="20" spans="2:16" x14ac:dyDescent="0.2">
      <c r="B20" s="20"/>
      <c r="C20" s="20"/>
      <c r="D20" s="20"/>
      <c r="E20" s="20"/>
      <c r="F20" s="20"/>
      <c r="G20" s="20"/>
      <c r="I20" s="198" t="str">
        <f>IF(RE_solar[[#This Row],[Month]]="","",I19+1)</f>
        <v/>
      </c>
      <c r="J20" s="200"/>
      <c r="K20" s="18" t="str">
        <f>IF(RE_solar[[#This Row],[Month]]&lt;&gt;"",VLOOKUP(RE_solar[[#This Row],[Month]], dropdown!$S$4:$T$15, 2, FALSE),"")</f>
        <v/>
      </c>
      <c r="L20" s="201"/>
      <c r="M20" s="355"/>
      <c r="N20" s="203"/>
      <c r="P20" s="20"/>
    </row>
    <row r="21" spans="2:16" x14ac:dyDescent="0.2">
      <c r="B21" s="20"/>
      <c r="C21" s="20"/>
      <c r="D21" s="20"/>
      <c r="E21" s="20"/>
      <c r="F21" s="20"/>
      <c r="G21" s="20"/>
      <c r="I21" s="198" t="str">
        <f>IF(RE_solar[[#This Row],[Month]]="","",I20+1)</f>
        <v/>
      </c>
      <c r="J21" s="57"/>
      <c r="K21" s="18" t="str">
        <f>IF(RE_solar[[#This Row],[Month]]&lt;&gt;"",VLOOKUP(RE_solar[[#This Row],[Month]], dropdown!$S$4:$T$15, 2, FALSE),"")</f>
        <v/>
      </c>
      <c r="L21" s="28"/>
      <c r="M21" s="354"/>
      <c r="N21" s="375"/>
      <c r="P21" s="20"/>
    </row>
    <row r="22" spans="2:16" x14ac:dyDescent="0.2">
      <c r="B22" s="20"/>
      <c r="C22" s="20"/>
      <c r="D22" s="20"/>
      <c r="E22" s="20"/>
      <c r="F22" s="20"/>
      <c r="G22" s="20"/>
      <c r="I22" s="198" t="str">
        <f>IF(RE_solar[[#This Row],[Month]]="","",I21+1)</f>
        <v/>
      </c>
      <c r="J22" s="57"/>
      <c r="K22" s="18" t="str">
        <f>IF(RE_solar[[#This Row],[Month]]&lt;&gt;"",VLOOKUP(RE_solar[[#This Row],[Month]], dropdown!$S$4:$T$15, 2, FALSE),"")</f>
        <v/>
      </c>
      <c r="L22" s="28"/>
      <c r="M22" s="354"/>
      <c r="N22" s="375"/>
      <c r="P22" s="20"/>
    </row>
    <row r="23" spans="2:16" x14ac:dyDescent="0.2">
      <c r="B23" s="20"/>
      <c r="C23" s="20"/>
      <c r="D23" s="20"/>
      <c r="E23" s="20"/>
      <c r="F23" s="20"/>
      <c r="G23" s="20"/>
      <c r="I23" s="198" t="str">
        <f>IF(RE_solar[[#This Row],[Month]]="","",I22+1)</f>
        <v/>
      </c>
      <c r="J23" s="57"/>
      <c r="K23" s="18" t="str">
        <f>IF(RE_solar[[#This Row],[Month]]&lt;&gt;"",VLOOKUP(RE_solar[[#This Row],[Month]], dropdown!$S$4:$T$15, 2, FALSE),"")</f>
        <v/>
      </c>
      <c r="L23" s="28"/>
      <c r="M23" s="354"/>
      <c r="N23" s="375"/>
      <c r="P23" s="20"/>
    </row>
    <row r="24" spans="2:16" x14ac:dyDescent="0.2">
      <c r="B24" s="20"/>
      <c r="C24" s="20"/>
      <c r="D24" s="20"/>
      <c r="E24" s="20"/>
      <c r="F24" s="20"/>
      <c r="G24" s="20"/>
      <c r="I24" s="198" t="str">
        <f>IF(RE_solar[[#This Row],[Month]]="","",I23+1)</f>
        <v/>
      </c>
      <c r="J24" s="57"/>
      <c r="K24" s="18" t="str">
        <f>IF(RE_solar[[#This Row],[Month]]&lt;&gt;"",VLOOKUP(RE_solar[[#This Row],[Month]], dropdown!$S$4:$T$15, 2, FALSE),"")</f>
        <v/>
      </c>
      <c r="L24" s="28"/>
      <c r="M24" s="354"/>
      <c r="N24" s="375"/>
      <c r="P24" s="20"/>
    </row>
    <row r="25" spans="2:16" x14ac:dyDescent="0.2">
      <c r="B25" s="20"/>
      <c r="C25" s="20"/>
      <c r="D25" s="20"/>
      <c r="E25" s="20"/>
      <c r="F25" s="20"/>
      <c r="G25" s="20"/>
      <c r="I25" s="198" t="str">
        <f>IF(RE_solar[[#This Row],[Month]]="","",I24+1)</f>
        <v/>
      </c>
      <c r="J25" s="57"/>
      <c r="K25" s="18" t="str">
        <f>IF(RE_solar[[#This Row],[Month]]&lt;&gt;"",VLOOKUP(RE_solar[[#This Row],[Month]], dropdown!$S$4:$T$15, 2, FALSE),"")</f>
        <v/>
      </c>
      <c r="L25" s="28"/>
      <c r="M25" s="354"/>
      <c r="N25" s="375"/>
      <c r="P25" s="20"/>
    </row>
    <row r="26" spans="2:16" x14ac:dyDescent="0.2">
      <c r="B26" s="20"/>
      <c r="C26" s="20"/>
      <c r="D26" s="20"/>
      <c r="E26" s="20"/>
      <c r="F26" s="20"/>
      <c r="G26" s="20"/>
      <c r="I26" s="198" t="str">
        <f>IF(RE_solar[[#This Row],[Month]]="","",I25+1)</f>
        <v/>
      </c>
      <c r="J26" s="57"/>
      <c r="K26" s="18" t="str">
        <f>IF(RE_solar[[#This Row],[Month]]&lt;&gt;"",VLOOKUP(RE_solar[[#This Row],[Month]], dropdown!$S$4:$T$15, 2, FALSE),"")</f>
        <v/>
      </c>
      <c r="L26" s="28"/>
      <c r="M26" s="354"/>
      <c r="N26" s="375"/>
      <c r="P26" s="20"/>
    </row>
    <row r="27" spans="2:16" x14ac:dyDescent="0.2">
      <c r="B27" s="20"/>
      <c r="C27" s="20"/>
      <c r="D27" s="20"/>
      <c r="E27" s="20"/>
      <c r="F27" s="20"/>
      <c r="G27" s="20"/>
      <c r="I27" s="198" t="str">
        <f>IF(RE_solar[[#This Row],[Month]]="","",I26+1)</f>
        <v/>
      </c>
      <c r="J27" s="57"/>
      <c r="K27" s="18" t="str">
        <f>IF(RE_solar[[#This Row],[Month]]&lt;&gt;"",VLOOKUP(RE_solar[[#This Row],[Month]], dropdown!$S$4:$T$15, 2, FALSE),"")</f>
        <v/>
      </c>
      <c r="L27" s="28"/>
      <c r="M27" s="354"/>
      <c r="N27" s="375"/>
      <c r="P27" s="20"/>
    </row>
    <row r="28" spans="2:16" x14ac:dyDescent="0.2">
      <c r="I28" s="198" t="str">
        <f>IF(RE_solar[[#This Row],[Month]]="","",I27+1)</f>
        <v/>
      </c>
      <c r="J28" s="57"/>
      <c r="K28" s="18" t="str">
        <f>IF(RE_solar[[#This Row],[Month]]&lt;&gt;"",VLOOKUP(RE_solar[[#This Row],[Month]], dropdown!$S$4:$T$15, 2, FALSE),"")</f>
        <v/>
      </c>
      <c r="L28" s="28"/>
      <c r="M28" s="354"/>
      <c r="N28" s="375"/>
      <c r="P28" s="20"/>
    </row>
    <row r="29" spans="2:16" x14ac:dyDescent="0.2">
      <c r="I29" s="198" t="str">
        <f>IF(RE_solar[[#This Row],[Month]]="","",I28+1)</f>
        <v/>
      </c>
      <c r="J29" s="57"/>
      <c r="K29" s="18" t="str">
        <f>IF(RE_solar[[#This Row],[Month]]&lt;&gt;"",VLOOKUP(RE_solar[[#This Row],[Month]], dropdown!$S$4:$T$15, 2, FALSE),"")</f>
        <v/>
      </c>
      <c r="L29" s="28"/>
      <c r="M29" s="354"/>
      <c r="N29" s="375"/>
      <c r="P29" s="20"/>
    </row>
    <row r="30" spans="2:16" x14ac:dyDescent="0.2">
      <c r="I30" s="198" t="str">
        <f>IF(RE_solar[[#This Row],[Month]]="","",I29+1)</f>
        <v/>
      </c>
      <c r="J30" s="57"/>
      <c r="K30" s="18" t="str">
        <f>IF(RE_solar[[#This Row],[Month]]&lt;&gt;"",VLOOKUP(RE_solar[[#This Row],[Month]], dropdown!$S$4:$T$15, 2, FALSE),"")</f>
        <v/>
      </c>
      <c r="L30" s="28"/>
      <c r="M30" s="354"/>
      <c r="N30" s="375"/>
    </row>
    <row r="31" spans="2:16" x14ac:dyDescent="0.2">
      <c r="I31" s="198" t="str">
        <f>IF(RE_solar[[#This Row],[Month]]="","",I30+1)</f>
        <v/>
      </c>
      <c r="J31" s="57"/>
      <c r="K31" s="18" t="str">
        <f>IF(RE_solar[[#This Row],[Month]]&lt;&gt;"",VLOOKUP(RE_solar[[#This Row],[Month]], dropdown!$S$4:$T$15, 2, FALSE),"")</f>
        <v/>
      </c>
      <c r="L31" s="28"/>
      <c r="M31" s="354"/>
      <c r="N31" s="375"/>
    </row>
    <row r="32" spans="2:16" x14ac:dyDescent="0.2">
      <c r="I32" s="198" t="str">
        <f>IF(RE_solar[[#This Row],[Month]]="","",I31+1)</f>
        <v/>
      </c>
      <c r="J32" s="57"/>
      <c r="K32" s="18" t="str">
        <f>IF(RE_solar[[#This Row],[Month]]&lt;&gt;"",VLOOKUP(RE_solar[[#This Row],[Month]], dropdown!$S$4:$T$15, 2, FALSE),"")</f>
        <v/>
      </c>
      <c r="L32" s="28"/>
      <c r="M32" s="354"/>
      <c r="N32" s="375"/>
    </row>
    <row r="33" spans="9:14" x14ac:dyDescent="0.2">
      <c r="I33" s="198" t="str">
        <f>IF(RE_solar[[#This Row],[Month]]="","",I32+1)</f>
        <v/>
      </c>
      <c r="J33" s="57"/>
      <c r="K33" s="18" t="str">
        <f>IF(RE_solar[[#This Row],[Month]]&lt;&gt;"",VLOOKUP(RE_solar[[#This Row],[Month]], dropdown!$S$4:$T$15, 2, FALSE),"")</f>
        <v/>
      </c>
      <c r="L33" s="28"/>
      <c r="M33" s="354"/>
      <c r="N33" s="375"/>
    </row>
    <row r="34" spans="9:14" x14ac:dyDescent="0.2">
      <c r="I34" s="198" t="str">
        <f>IF(RE_solar[[#This Row],[Month]]="","",I33+1)</f>
        <v/>
      </c>
      <c r="J34" s="57"/>
      <c r="K34" s="18" t="str">
        <f>IF(RE_solar[[#This Row],[Month]]&lt;&gt;"",VLOOKUP(RE_solar[[#This Row],[Month]], dropdown!$S$4:$T$15, 2, FALSE),"")</f>
        <v/>
      </c>
      <c r="L34" s="28"/>
      <c r="M34" s="354"/>
      <c r="N34" s="375"/>
    </row>
    <row r="35" spans="9:14" x14ac:dyDescent="0.2">
      <c r="I35" s="198" t="str">
        <f>IF(RE_solar[[#This Row],[Month]]="","",I34+1)</f>
        <v/>
      </c>
      <c r="J35" s="57"/>
      <c r="K35" s="18" t="str">
        <f>IF(RE_solar[[#This Row],[Month]]&lt;&gt;"",VLOOKUP(RE_solar[[#This Row],[Month]], dropdown!$S$4:$T$15, 2, FALSE),"")</f>
        <v/>
      </c>
      <c r="L35" s="28"/>
      <c r="M35" s="354"/>
      <c r="N35" s="375"/>
    </row>
    <row r="36" spans="9:14" x14ac:dyDescent="0.2">
      <c r="I36" s="198" t="str">
        <f>IF(RE_solar[[#This Row],[Month]]="","",I35+1)</f>
        <v/>
      </c>
      <c r="J36" s="57"/>
      <c r="K36" s="18" t="str">
        <f>IF(RE_solar[[#This Row],[Month]]&lt;&gt;"",VLOOKUP(RE_solar[[#This Row],[Month]], dropdown!$S$4:$T$15, 2, FALSE),"")</f>
        <v/>
      </c>
      <c r="L36" s="28"/>
      <c r="M36" s="354"/>
      <c r="N36" s="375"/>
    </row>
    <row r="37" spans="9:14" x14ac:dyDescent="0.2">
      <c r="I37" s="198" t="str">
        <f>IF(RE_solar[[#This Row],[Month]]="","",I36+1)</f>
        <v/>
      </c>
      <c r="J37" s="57"/>
      <c r="K37" s="18" t="str">
        <f>IF(RE_solar[[#This Row],[Month]]&lt;&gt;"",VLOOKUP(RE_solar[[#This Row],[Month]], dropdown!$S$4:$T$15, 2, FALSE),"")</f>
        <v/>
      </c>
      <c r="L37" s="28"/>
      <c r="M37" s="354"/>
      <c r="N37" s="375"/>
    </row>
    <row r="38" spans="9:14" x14ac:dyDescent="0.2">
      <c r="I38" s="198" t="str">
        <f>IF(RE_solar[[#This Row],[Month]]="","",I37+1)</f>
        <v/>
      </c>
      <c r="J38" s="57"/>
      <c r="K38" s="18" t="str">
        <f>IF(RE_solar[[#This Row],[Month]]&lt;&gt;"",VLOOKUP(RE_solar[[#This Row],[Month]], dropdown!$S$4:$T$15, 2, FALSE),"")</f>
        <v/>
      </c>
      <c r="L38" s="28"/>
      <c r="M38" s="354"/>
      <c r="N38" s="375"/>
    </row>
    <row r="39" spans="9:14" x14ac:dyDescent="0.2">
      <c r="I39" s="198" t="str">
        <f>IF(RE_solar[[#This Row],[Month]]="","",I38+1)</f>
        <v/>
      </c>
      <c r="J39" s="57"/>
      <c r="K39" s="18" t="str">
        <f>IF(RE_solar[[#This Row],[Month]]&lt;&gt;"",VLOOKUP(RE_solar[[#This Row],[Month]], dropdown!$S$4:$T$15, 2, FALSE),"")</f>
        <v/>
      </c>
      <c r="L39" s="28"/>
      <c r="M39" s="354"/>
      <c r="N39" s="375"/>
    </row>
    <row r="40" spans="9:14" x14ac:dyDescent="0.2">
      <c r="I40" s="198" t="str">
        <f>IF(RE_solar[[#This Row],[Month]]="","",I39+1)</f>
        <v/>
      </c>
      <c r="J40" s="57"/>
      <c r="K40" s="18" t="str">
        <f>IF(RE_solar[[#This Row],[Month]]&lt;&gt;"",VLOOKUP(RE_solar[[#This Row],[Month]], dropdown!$S$4:$T$15, 2, FALSE),"")</f>
        <v/>
      </c>
      <c r="L40" s="28"/>
      <c r="M40" s="354"/>
      <c r="N40" s="375"/>
    </row>
    <row r="41" spans="9:14" x14ac:dyDescent="0.2">
      <c r="I41" s="198" t="str">
        <f>IF(RE_solar[[#This Row],[Month]]="","",I40+1)</f>
        <v/>
      </c>
      <c r="J41" s="57"/>
      <c r="K41" s="18" t="str">
        <f>IF(RE_solar[[#This Row],[Month]]&lt;&gt;"",VLOOKUP(RE_solar[[#This Row],[Month]], dropdown!$S$4:$T$15, 2, FALSE),"")</f>
        <v/>
      </c>
      <c r="L41" s="28"/>
      <c r="M41" s="354"/>
      <c r="N41" s="375"/>
    </row>
    <row r="42" spans="9:14" x14ac:dyDescent="0.2">
      <c r="I42" s="198" t="str">
        <f>IF(RE_solar[[#This Row],[Month]]="","",I41+1)</f>
        <v/>
      </c>
      <c r="J42" s="57"/>
      <c r="K42" s="18" t="str">
        <f>IF(RE_solar[[#This Row],[Month]]&lt;&gt;"",VLOOKUP(RE_solar[[#This Row],[Month]], dropdown!$S$4:$T$15, 2, FALSE),"")</f>
        <v/>
      </c>
      <c r="L42" s="28"/>
      <c r="M42" s="354"/>
      <c r="N42" s="375"/>
    </row>
    <row r="43" spans="9:14" x14ac:dyDescent="0.2">
      <c r="I43" s="198" t="str">
        <f>IF(RE_solar[[#This Row],[Month]]="","",I42+1)</f>
        <v/>
      </c>
      <c r="J43" s="57"/>
      <c r="K43" s="18" t="str">
        <f>IF(RE_solar[[#This Row],[Month]]&lt;&gt;"",VLOOKUP(RE_solar[[#This Row],[Month]], dropdown!$S$4:$T$15, 2, FALSE),"")</f>
        <v/>
      </c>
      <c r="L43" s="28"/>
      <c r="M43" s="354"/>
      <c r="N43" s="375"/>
    </row>
    <row r="44" spans="9:14" x14ac:dyDescent="0.2">
      <c r="I44" s="198" t="str">
        <f>IF(RE_solar[[#This Row],[Month]]="","",I43+1)</f>
        <v/>
      </c>
      <c r="J44" s="57"/>
      <c r="K44" s="18" t="str">
        <f>IF(RE_solar[[#This Row],[Month]]&lt;&gt;"",VLOOKUP(RE_solar[[#This Row],[Month]], dropdown!$S$4:$T$15, 2, FALSE),"")</f>
        <v/>
      </c>
      <c r="L44" s="28"/>
      <c r="M44" s="354"/>
      <c r="N44" s="375"/>
    </row>
    <row r="45" spans="9:14" x14ac:dyDescent="0.2">
      <c r="I45" s="198" t="str">
        <f>IF(RE_solar[[#This Row],[Month]]="","",I44+1)</f>
        <v/>
      </c>
      <c r="J45" s="57"/>
      <c r="K45" s="18" t="str">
        <f>IF(RE_solar[[#This Row],[Month]]&lt;&gt;"",VLOOKUP(RE_solar[[#This Row],[Month]], dropdown!$S$4:$T$15, 2, FALSE),"")</f>
        <v/>
      </c>
      <c r="L45" s="28"/>
      <c r="M45" s="354"/>
      <c r="N45" s="375"/>
    </row>
    <row r="46" spans="9:14" x14ac:dyDescent="0.2">
      <c r="I46" s="198" t="str">
        <f>IF(RE_solar[[#This Row],[Month]]="","",I45+1)</f>
        <v/>
      </c>
      <c r="J46" s="57"/>
      <c r="K46" s="18" t="str">
        <f>IF(RE_solar[[#This Row],[Month]]&lt;&gt;"",VLOOKUP(RE_solar[[#This Row],[Month]], dropdown!$S$4:$T$15, 2, FALSE),"")</f>
        <v/>
      </c>
      <c r="L46" s="28"/>
      <c r="M46" s="354"/>
      <c r="N46" s="375"/>
    </row>
    <row r="47" spans="9:14" x14ac:dyDescent="0.2">
      <c r="I47" s="198" t="str">
        <f>IF(RE_solar[[#This Row],[Month]]="","",I46+1)</f>
        <v/>
      </c>
      <c r="J47" s="57"/>
      <c r="K47" s="18" t="str">
        <f>IF(RE_solar[[#This Row],[Month]]&lt;&gt;"",VLOOKUP(RE_solar[[#This Row],[Month]], dropdown!$S$4:$T$15, 2, FALSE),"")</f>
        <v/>
      </c>
      <c r="L47" s="28"/>
      <c r="M47" s="354"/>
      <c r="N47" s="375"/>
    </row>
    <row r="48" spans="9:14" x14ac:dyDescent="0.2">
      <c r="I48" s="198" t="str">
        <f>IF(RE_solar[[#This Row],[Month]]="","",I47+1)</f>
        <v/>
      </c>
      <c r="J48" s="57"/>
      <c r="K48" s="18" t="str">
        <f>IF(RE_solar[[#This Row],[Month]]&lt;&gt;"",VLOOKUP(RE_solar[[#This Row],[Month]], dropdown!$S$4:$T$15, 2, FALSE),"")</f>
        <v/>
      </c>
      <c r="L48" s="28"/>
      <c r="M48" s="354"/>
      <c r="N48" s="375"/>
    </row>
    <row r="49" spans="9:14" x14ac:dyDescent="0.2">
      <c r="I49" s="198" t="str">
        <f>IF(RE_solar[[#This Row],[Month]]="","",I48+1)</f>
        <v/>
      </c>
      <c r="J49" s="57"/>
      <c r="K49" s="18" t="str">
        <f>IF(RE_solar[[#This Row],[Month]]&lt;&gt;"",VLOOKUP(RE_solar[[#This Row],[Month]], dropdown!$S$4:$T$15, 2, FALSE),"")</f>
        <v/>
      </c>
      <c r="L49" s="28"/>
      <c r="M49" s="354"/>
      <c r="N49" s="375"/>
    </row>
    <row r="50" spans="9:14" x14ac:dyDescent="0.2">
      <c r="I50" s="198" t="str">
        <f>IF(RE_solar[[#This Row],[Month]]="","",I49+1)</f>
        <v/>
      </c>
      <c r="J50" s="57"/>
      <c r="K50" s="18" t="str">
        <f>IF(RE_solar[[#This Row],[Month]]&lt;&gt;"",VLOOKUP(RE_solar[[#This Row],[Month]], dropdown!$S$4:$T$15, 2, FALSE),"")</f>
        <v/>
      </c>
      <c r="L50" s="28"/>
      <c r="M50" s="354"/>
      <c r="N50" s="375"/>
    </row>
    <row r="51" spans="9:14" x14ac:dyDescent="0.2">
      <c r="I51" s="198" t="str">
        <f>IF(RE_solar[[#This Row],[Month]]="","",I50+1)</f>
        <v/>
      </c>
      <c r="J51" s="57"/>
      <c r="K51" s="18" t="str">
        <f>IF(RE_solar[[#This Row],[Month]]&lt;&gt;"",VLOOKUP(RE_solar[[#This Row],[Month]], dropdown!$S$4:$T$15, 2, FALSE),"")</f>
        <v/>
      </c>
      <c r="L51" s="28"/>
      <c r="M51" s="354"/>
      <c r="N51" s="375"/>
    </row>
    <row r="52" spans="9:14" x14ac:dyDescent="0.2">
      <c r="I52" s="198" t="str">
        <f>IF(RE_solar[[#This Row],[Month]]="","",I51+1)</f>
        <v/>
      </c>
      <c r="J52" s="57"/>
      <c r="K52" s="18" t="str">
        <f>IF(RE_solar[[#This Row],[Month]]&lt;&gt;"",VLOOKUP(RE_solar[[#This Row],[Month]], dropdown!$S$4:$T$15, 2, FALSE),"")</f>
        <v/>
      </c>
      <c r="L52" s="28"/>
      <c r="M52" s="354"/>
      <c r="N52" s="375"/>
    </row>
    <row r="53" spans="9:14" x14ac:dyDescent="0.2">
      <c r="I53" s="198" t="str">
        <f>IF(RE_solar[[#This Row],[Month]]="","",I52+1)</f>
        <v/>
      </c>
      <c r="J53" s="57"/>
      <c r="K53" s="18" t="str">
        <f>IF(RE_solar[[#This Row],[Month]]&lt;&gt;"",VLOOKUP(RE_solar[[#This Row],[Month]], dropdown!$S$4:$T$15, 2, FALSE),"")</f>
        <v/>
      </c>
      <c r="L53" s="28"/>
      <c r="M53" s="354"/>
      <c r="N53" s="375"/>
    </row>
    <row r="54" spans="9:14" x14ac:dyDescent="0.2">
      <c r="I54" s="198" t="str">
        <f>IF(RE_solar[[#This Row],[Month]]="","",I53+1)</f>
        <v/>
      </c>
      <c r="J54" s="57"/>
      <c r="K54" s="18" t="str">
        <f>IF(RE_solar[[#This Row],[Month]]&lt;&gt;"",VLOOKUP(RE_solar[[#This Row],[Month]], dropdown!$S$4:$T$15, 2, FALSE),"")</f>
        <v/>
      </c>
      <c r="L54" s="28"/>
      <c r="M54" s="354"/>
      <c r="N54" s="375"/>
    </row>
    <row r="55" spans="9:14" x14ac:dyDescent="0.2">
      <c r="I55" s="198" t="str">
        <f>IF(RE_solar[[#This Row],[Month]]="","",I54+1)</f>
        <v/>
      </c>
      <c r="J55" s="57"/>
      <c r="K55" s="18" t="str">
        <f>IF(RE_solar[[#This Row],[Month]]&lt;&gt;"",VLOOKUP(RE_solar[[#This Row],[Month]], dropdown!$S$4:$T$15, 2, FALSE),"")</f>
        <v/>
      </c>
      <c r="L55" s="28"/>
      <c r="M55" s="354"/>
      <c r="N55" s="375"/>
    </row>
    <row r="56" spans="9:14" x14ac:dyDescent="0.2">
      <c r="I56" s="198" t="str">
        <f>IF(RE_solar[[#This Row],[Month]]="","",I55+1)</f>
        <v/>
      </c>
      <c r="J56" s="57"/>
      <c r="K56" s="18" t="str">
        <f>IF(RE_solar[[#This Row],[Month]]&lt;&gt;"",VLOOKUP(RE_solar[[#This Row],[Month]], dropdown!$S$4:$T$15, 2, FALSE),"")</f>
        <v/>
      </c>
      <c r="L56" s="28"/>
      <c r="M56" s="354"/>
      <c r="N56" s="375"/>
    </row>
    <row r="57" spans="9:14" x14ac:dyDescent="0.2">
      <c r="I57" s="198" t="str">
        <f>IF(RE_solar[[#This Row],[Month]]="","",I56+1)</f>
        <v/>
      </c>
      <c r="J57" s="57"/>
      <c r="K57" s="18" t="str">
        <f>IF(RE_solar[[#This Row],[Month]]&lt;&gt;"",VLOOKUP(RE_solar[[#This Row],[Month]], dropdown!$S$4:$T$15, 2, FALSE),"")</f>
        <v/>
      </c>
      <c r="L57" s="28"/>
      <c r="M57" s="354"/>
      <c r="N57" s="375"/>
    </row>
    <row r="58" spans="9:14" x14ac:dyDescent="0.2">
      <c r="I58" s="198" t="str">
        <f>IF(RE_solar[[#This Row],[Month]]="","",I57+1)</f>
        <v/>
      </c>
      <c r="J58" s="57"/>
      <c r="K58" s="18" t="str">
        <f>IF(RE_solar[[#This Row],[Month]]&lt;&gt;"",VLOOKUP(RE_solar[[#This Row],[Month]], dropdown!$S$4:$T$15, 2, FALSE),"")</f>
        <v/>
      </c>
      <c r="L58" s="28"/>
      <c r="M58" s="354"/>
      <c r="N58" s="375"/>
    </row>
    <row r="59" spans="9:14" x14ac:dyDescent="0.2">
      <c r="I59" s="198" t="str">
        <f>IF(RE_solar[[#This Row],[Month]]="","",I58+1)</f>
        <v/>
      </c>
      <c r="J59" s="57"/>
      <c r="K59" s="18" t="str">
        <f>IF(RE_solar[[#This Row],[Month]]&lt;&gt;"",VLOOKUP(RE_solar[[#This Row],[Month]], dropdown!$S$4:$T$15, 2, FALSE),"")</f>
        <v/>
      </c>
      <c r="L59" s="28"/>
      <c r="M59" s="354"/>
      <c r="N59" s="375"/>
    </row>
    <row r="60" spans="9:14" x14ac:dyDescent="0.2">
      <c r="I60" s="198" t="str">
        <f>IF(RE_solar[[#This Row],[Month]]="","",I59+1)</f>
        <v/>
      </c>
      <c r="J60" s="57"/>
      <c r="K60" s="18" t="str">
        <f>IF(RE_solar[[#This Row],[Month]]&lt;&gt;"",VLOOKUP(RE_solar[[#This Row],[Month]], dropdown!$S$4:$T$15, 2, FALSE),"")</f>
        <v/>
      </c>
      <c r="L60" s="28"/>
      <c r="M60" s="354"/>
      <c r="N60" s="375"/>
    </row>
    <row r="61" spans="9:14" x14ac:dyDescent="0.2">
      <c r="I61" s="198" t="str">
        <f>IF(RE_solar[[#This Row],[Month]]="","",I60+1)</f>
        <v/>
      </c>
      <c r="J61" s="57"/>
      <c r="K61" s="18" t="str">
        <f>IF(RE_solar[[#This Row],[Month]]&lt;&gt;"",VLOOKUP(RE_solar[[#This Row],[Month]], dropdown!$S$4:$T$15, 2, FALSE),"")</f>
        <v/>
      </c>
      <c r="L61" s="28"/>
      <c r="M61" s="354"/>
      <c r="N61" s="375"/>
    </row>
    <row r="62" spans="9:14" x14ac:dyDescent="0.2">
      <c r="I62" s="198" t="str">
        <f>IF(RE_solar[[#This Row],[Month]]="","",I61+1)</f>
        <v/>
      </c>
      <c r="J62" s="57"/>
      <c r="K62" s="18" t="str">
        <f>IF(RE_solar[[#This Row],[Month]]&lt;&gt;"",VLOOKUP(RE_solar[[#This Row],[Month]], dropdown!$S$4:$T$15, 2, FALSE),"")</f>
        <v/>
      </c>
      <c r="L62" s="28"/>
      <c r="M62" s="354"/>
      <c r="N62" s="375"/>
    </row>
    <row r="63" spans="9:14" x14ac:dyDescent="0.2">
      <c r="I63" s="198" t="str">
        <f>IF(RE_solar[[#This Row],[Month]]="","",I62+1)</f>
        <v/>
      </c>
      <c r="J63" s="57"/>
      <c r="K63" s="18" t="str">
        <f>IF(RE_solar[[#This Row],[Month]]&lt;&gt;"",VLOOKUP(RE_solar[[#This Row],[Month]], dropdown!$S$4:$T$15, 2, FALSE),"")</f>
        <v/>
      </c>
      <c r="L63" s="28"/>
      <c r="M63" s="354"/>
      <c r="N63" s="375"/>
    </row>
    <row r="64" spans="9:14" x14ac:dyDescent="0.2">
      <c r="I64" s="198" t="str">
        <f>IF(RE_solar[[#This Row],[Month]]="","",I63+1)</f>
        <v/>
      </c>
      <c r="J64" s="57"/>
      <c r="K64" s="18" t="str">
        <f>IF(RE_solar[[#This Row],[Month]]&lt;&gt;"",VLOOKUP(RE_solar[[#This Row],[Month]], dropdown!$S$4:$T$15, 2, FALSE),"")</f>
        <v/>
      </c>
      <c r="L64" s="28"/>
      <c r="M64" s="354"/>
      <c r="N64" s="375"/>
    </row>
    <row r="65" spans="9:14" x14ac:dyDescent="0.2">
      <c r="I65" s="198" t="str">
        <f>IF(RE_solar[[#This Row],[Month]]="","",I64+1)</f>
        <v/>
      </c>
      <c r="J65" s="57"/>
      <c r="K65" s="18" t="str">
        <f>IF(RE_solar[[#This Row],[Month]]&lt;&gt;"",VLOOKUP(RE_solar[[#This Row],[Month]], dropdown!$S$4:$T$15, 2, FALSE),"")</f>
        <v/>
      </c>
      <c r="L65" s="28"/>
      <c r="M65" s="354"/>
      <c r="N65" s="375"/>
    </row>
    <row r="66" spans="9:14" x14ac:dyDescent="0.2">
      <c r="I66" s="198" t="str">
        <f>IF(RE_solar[[#This Row],[Month]]="","",I65+1)</f>
        <v/>
      </c>
      <c r="J66" s="57"/>
      <c r="K66" s="18" t="str">
        <f>IF(RE_solar[[#This Row],[Month]]&lt;&gt;"",VLOOKUP(RE_solar[[#This Row],[Month]], dropdown!$S$4:$T$15, 2, FALSE),"")</f>
        <v/>
      </c>
      <c r="L66" s="28"/>
      <c r="M66" s="354"/>
      <c r="N66" s="375"/>
    </row>
    <row r="67" spans="9:14" x14ac:dyDescent="0.2">
      <c r="I67" s="198" t="str">
        <f>IF(RE_solar[[#This Row],[Month]]="","",I66+1)</f>
        <v/>
      </c>
      <c r="J67" s="57"/>
      <c r="K67" s="18" t="str">
        <f>IF(RE_solar[[#This Row],[Month]]&lt;&gt;"",VLOOKUP(RE_solar[[#This Row],[Month]], dropdown!$S$4:$T$15, 2, FALSE),"")</f>
        <v/>
      </c>
      <c r="L67" s="28"/>
      <c r="M67" s="354"/>
      <c r="N67" s="375"/>
    </row>
    <row r="68" spans="9:14" x14ac:dyDescent="0.2">
      <c r="I68" s="198" t="str">
        <f>IF(RE_solar[[#This Row],[Month]]="","",I67+1)</f>
        <v/>
      </c>
      <c r="J68" s="57"/>
      <c r="K68" s="18" t="str">
        <f>IF(RE_solar[[#This Row],[Month]]&lt;&gt;"",VLOOKUP(RE_solar[[#This Row],[Month]], dropdown!$S$4:$T$15, 2, FALSE),"")</f>
        <v/>
      </c>
      <c r="L68" s="28"/>
      <c r="M68" s="354"/>
      <c r="N68" s="375"/>
    </row>
    <row r="69" spans="9:14" x14ac:dyDescent="0.2">
      <c r="I69" s="198" t="str">
        <f>IF(RE_solar[[#This Row],[Month]]="","",I68+1)</f>
        <v/>
      </c>
      <c r="J69" s="57"/>
      <c r="K69" s="18" t="str">
        <f>IF(RE_solar[[#This Row],[Month]]&lt;&gt;"",VLOOKUP(RE_solar[[#This Row],[Month]], dropdown!$S$4:$T$15, 2, FALSE),"")</f>
        <v/>
      </c>
      <c r="L69" s="28"/>
      <c r="M69" s="354"/>
      <c r="N69" s="375"/>
    </row>
    <row r="70" spans="9:14" x14ac:dyDescent="0.2">
      <c r="I70" s="198" t="str">
        <f>IF(RE_solar[[#This Row],[Month]]="","",I69+1)</f>
        <v/>
      </c>
      <c r="J70" s="57"/>
      <c r="K70" s="18" t="str">
        <f>IF(RE_solar[[#This Row],[Month]]&lt;&gt;"",VLOOKUP(RE_solar[[#This Row],[Month]], dropdown!$S$4:$T$15, 2, FALSE),"")</f>
        <v/>
      </c>
      <c r="L70" s="28"/>
      <c r="M70" s="354"/>
      <c r="N70" s="375"/>
    </row>
    <row r="71" spans="9:14" x14ac:dyDescent="0.2">
      <c r="I71" s="198" t="str">
        <f>IF(RE_solar[[#This Row],[Month]]="","",I70+1)</f>
        <v/>
      </c>
      <c r="J71" s="57"/>
      <c r="K71" s="18" t="str">
        <f>IF(RE_solar[[#This Row],[Month]]&lt;&gt;"",VLOOKUP(RE_solar[[#This Row],[Month]], dropdown!$S$4:$T$15, 2, FALSE),"")</f>
        <v/>
      </c>
      <c r="L71" s="28"/>
      <c r="M71" s="354"/>
      <c r="N71" s="375"/>
    </row>
    <row r="72" spans="9:14" x14ac:dyDescent="0.2">
      <c r="I72" s="198" t="str">
        <f>IF(RE_solar[[#This Row],[Month]]="","",I71+1)</f>
        <v/>
      </c>
      <c r="J72" s="57"/>
      <c r="K72" s="18" t="str">
        <f>IF(RE_solar[[#This Row],[Month]]&lt;&gt;"",VLOOKUP(RE_solar[[#This Row],[Month]], dropdown!$S$4:$T$15, 2, FALSE),"")</f>
        <v/>
      </c>
      <c r="L72" s="28"/>
      <c r="M72" s="354"/>
      <c r="N72" s="375"/>
    </row>
    <row r="73" spans="9:14" x14ac:dyDescent="0.2">
      <c r="I73" s="198" t="str">
        <f>IF(RE_solar[[#This Row],[Month]]="","",I72+1)</f>
        <v/>
      </c>
      <c r="J73" s="57"/>
      <c r="K73" s="18" t="str">
        <f>IF(RE_solar[[#This Row],[Month]]&lt;&gt;"",VLOOKUP(RE_solar[[#This Row],[Month]], dropdown!$S$4:$T$15, 2, FALSE),"")</f>
        <v/>
      </c>
      <c r="L73" s="28"/>
      <c r="M73" s="354"/>
      <c r="N73" s="375"/>
    </row>
    <row r="74" spans="9:14" x14ac:dyDescent="0.2">
      <c r="I74" s="198" t="str">
        <f>IF(RE_solar[[#This Row],[Month]]="","",I73+1)</f>
        <v/>
      </c>
      <c r="J74" s="57"/>
      <c r="K74" s="18" t="str">
        <f>IF(RE_solar[[#This Row],[Month]]&lt;&gt;"",VLOOKUP(RE_solar[[#This Row],[Month]], dropdown!$S$4:$T$15, 2, FALSE),"")</f>
        <v/>
      </c>
      <c r="L74" s="28"/>
      <c r="M74" s="354"/>
      <c r="N74" s="375"/>
    </row>
    <row r="75" spans="9:14" x14ac:dyDescent="0.2">
      <c r="I75" s="198" t="str">
        <f>IF(RE_solar[[#This Row],[Month]]="","",I74+1)</f>
        <v/>
      </c>
      <c r="J75" s="57"/>
      <c r="K75" s="18" t="str">
        <f>IF(RE_solar[[#This Row],[Month]]&lt;&gt;"",VLOOKUP(RE_solar[[#This Row],[Month]], dropdown!$S$4:$T$15, 2, FALSE),"")</f>
        <v/>
      </c>
      <c r="L75" s="28"/>
      <c r="M75" s="354"/>
      <c r="N75" s="375"/>
    </row>
    <row r="76" spans="9:14" x14ac:dyDescent="0.2">
      <c r="I76" s="198" t="str">
        <f>IF(RE_solar[[#This Row],[Month]]="","",I75+1)</f>
        <v/>
      </c>
      <c r="J76" s="57"/>
      <c r="K76" s="18" t="str">
        <f>IF(RE_solar[[#This Row],[Month]]&lt;&gt;"",VLOOKUP(RE_solar[[#This Row],[Month]], dropdown!$S$4:$T$15, 2, FALSE),"")</f>
        <v/>
      </c>
      <c r="L76" s="28"/>
      <c r="M76" s="354"/>
      <c r="N76" s="375"/>
    </row>
    <row r="77" spans="9:14" x14ac:dyDescent="0.2">
      <c r="I77" s="198" t="str">
        <f>IF(RE_solar[[#This Row],[Month]]="","",I76+1)</f>
        <v/>
      </c>
      <c r="J77" s="57"/>
      <c r="K77" s="18" t="str">
        <f>IF(RE_solar[[#This Row],[Month]]&lt;&gt;"",VLOOKUP(RE_solar[[#This Row],[Month]], dropdown!$S$4:$T$15, 2, FALSE),"")</f>
        <v/>
      </c>
      <c r="L77" s="28"/>
      <c r="M77" s="354"/>
      <c r="N77" s="375"/>
    </row>
    <row r="78" spans="9:14" x14ac:dyDescent="0.2">
      <c r="I78" s="198" t="str">
        <f>IF(RE_solar[[#This Row],[Month]]="","",I77+1)</f>
        <v/>
      </c>
      <c r="J78" s="57"/>
      <c r="K78" s="18" t="str">
        <f>IF(RE_solar[[#This Row],[Month]]&lt;&gt;"",VLOOKUP(RE_solar[[#This Row],[Month]], dropdown!$S$4:$T$15, 2, FALSE),"")</f>
        <v/>
      </c>
      <c r="L78" s="28"/>
      <c r="M78" s="354"/>
      <c r="N78" s="375"/>
    </row>
    <row r="79" spans="9:14" x14ac:dyDescent="0.2">
      <c r="I79" s="198" t="str">
        <f>IF(RE_solar[[#This Row],[Month]]="","",I78+1)</f>
        <v/>
      </c>
      <c r="J79" s="57"/>
      <c r="K79" s="18" t="str">
        <f>IF(RE_solar[[#This Row],[Month]]&lt;&gt;"",VLOOKUP(RE_solar[[#This Row],[Month]], dropdown!$S$4:$T$15, 2, FALSE),"")</f>
        <v/>
      </c>
      <c r="L79" s="28"/>
      <c r="M79" s="354"/>
      <c r="N79" s="375"/>
    </row>
    <row r="80" spans="9:14" x14ac:dyDescent="0.2">
      <c r="I80" s="198" t="str">
        <f>IF(RE_solar[[#This Row],[Month]]="","",I79+1)</f>
        <v/>
      </c>
      <c r="J80" s="57"/>
      <c r="K80" s="18" t="str">
        <f>IF(RE_solar[[#This Row],[Month]]&lt;&gt;"",VLOOKUP(RE_solar[[#This Row],[Month]], dropdown!$S$4:$T$15, 2, FALSE),"")</f>
        <v/>
      </c>
      <c r="L80" s="28"/>
      <c r="M80" s="354"/>
      <c r="N80" s="375"/>
    </row>
    <row r="81" spans="9:14" x14ac:dyDescent="0.2">
      <c r="I81" s="198" t="str">
        <f>IF(RE_solar[[#This Row],[Month]]="","",I80+1)</f>
        <v/>
      </c>
      <c r="J81" s="57"/>
      <c r="K81" s="18" t="str">
        <f>IF(RE_solar[[#This Row],[Month]]&lt;&gt;"",VLOOKUP(RE_solar[[#This Row],[Month]], dropdown!$S$4:$T$15, 2, FALSE),"")</f>
        <v/>
      </c>
      <c r="L81" s="28"/>
      <c r="M81" s="354"/>
      <c r="N81" s="375"/>
    </row>
    <row r="82" spans="9:14" x14ac:dyDescent="0.2">
      <c r="I82" s="198" t="str">
        <f>IF(RE_solar[[#This Row],[Month]]="","",I81+1)</f>
        <v/>
      </c>
      <c r="J82" s="57"/>
      <c r="K82" s="18" t="str">
        <f>IF(RE_solar[[#This Row],[Month]]&lt;&gt;"",VLOOKUP(RE_solar[[#This Row],[Month]], dropdown!$S$4:$T$15, 2, FALSE),"")</f>
        <v/>
      </c>
      <c r="L82" s="28"/>
      <c r="M82" s="354"/>
      <c r="N82" s="375"/>
    </row>
    <row r="83" spans="9:14" x14ac:dyDescent="0.2">
      <c r="I83" s="198" t="str">
        <f>IF(RE_solar[[#This Row],[Month]]="","",I82+1)</f>
        <v/>
      </c>
      <c r="J83" s="57"/>
      <c r="K83" s="18" t="str">
        <f>IF(RE_solar[[#This Row],[Month]]&lt;&gt;"",VLOOKUP(RE_solar[[#This Row],[Month]], dropdown!$S$4:$T$15, 2, FALSE),"")</f>
        <v/>
      </c>
      <c r="L83" s="28"/>
      <c r="M83" s="354"/>
      <c r="N83" s="375"/>
    </row>
    <row r="84" spans="9:14" x14ac:dyDescent="0.2">
      <c r="I84" s="198" t="str">
        <f>IF(RE_solar[[#This Row],[Month]]="","",I83+1)</f>
        <v/>
      </c>
      <c r="J84" s="57"/>
      <c r="K84" s="18" t="str">
        <f>IF(RE_solar[[#This Row],[Month]]&lt;&gt;"",VLOOKUP(RE_solar[[#This Row],[Month]], dropdown!$S$4:$T$15, 2, FALSE),"")</f>
        <v/>
      </c>
      <c r="L84" s="28"/>
      <c r="M84" s="354"/>
      <c r="N84" s="375"/>
    </row>
    <row r="85" spans="9:14" x14ac:dyDescent="0.2">
      <c r="I85" s="198" t="str">
        <f>IF(RE_solar[[#This Row],[Month]]="","",I84+1)</f>
        <v/>
      </c>
      <c r="J85" s="57"/>
      <c r="K85" s="18" t="str">
        <f>IF(RE_solar[[#This Row],[Month]]&lt;&gt;"",VLOOKUP(RE_solar[[#This Row],[Month]], dropdown!$S$4:$T$15, 2, FALSE),"")</f>
        <v/>
      </c>
      <c r="L85" s="28"/>
      <c r="M85" s="354"/>
      <c r="N85" s="375"/>
    </row>
    <row r="86" spans="9:14" x14ac:dyDescent="0.2">
      <c r="I86" s="198" t="str">
        <f>IF(RE_solar[[#This Row],[Month]]="","",I85+1)</f>
        <v/>
      </c>
      <c r="J86" s="57"/>
      <c r="K86" s="18" t="str">
        <f>IF(RE_solar[[#This Row],[Month]]&lt;&gt;"",VLOOKUP(RE_solar[[#This Row],[Month]], dropdown!$S$4:$T$15, 2, FALSE),"")</f>
        <v/>
      </c>
      <c r="L86" s="28"/>
      <c r="M86" s="354"/>
      <c r="N86" s="375"/>
    </row>
    <row r="87" spans="9:14" x14ac:dyDescent="0.2">
      <c r="I87" s="198" t="str">
        <f>IF(RE_solar[[#This Row],[Month]]="","",I86+1)</f>
        <v/>
      </c>
      <c r="J87" s="57"/>
      <c r="K87" s="18" t="str">
        <f>IF(RE_solar[[#This Row],[Month]]&lt;&gt;"",VLOOKUP(RE_solar[[#This Row],[Month]], dropdown!$S$4:$T$15, 2, FALSE),"")</f>
        <v/>
      </c>
      <c r="L87" s="28"/>
      <c r="M87" s="354"/>
      <c r="N87" s="375"/>
    </row>
    <row r="88" spans="9:14" x14ac:dyDescent="0.2">
      <c r="I88" s="198" t="str">
        <f>IF(RE_solar[[#This Row],[Month]]="","",I87+1)</f>
        <v/>
      </c>
      <c r="J88" s="57"/>
      <c r="K88" s="18" t="str">
        <f>IF(RE_solar[[#This Row],[Month]]&lt;&gt;"",VLOOKUP(RE_solar[[#This Row],[Month]], dropdown!$S$4:$T$15, 2, FALSE),"")</f>
        <v/>
      </c>
      <c r="L88" s="28"/>
      <c r="M88" s="354"/>
      <c r="N88" s="375"/>
    </row>
    <row r="89" spans="9:14" x14ac:dyDescent="0.2">
      <c r="I89" s="198" t="str">
        <f>IF(RE_solar[[#This Row],[Month]]="","",I88+1)</f>
        <v/>
      </c>
      <c r="J89" s="57"/>
      <c r="K89" s="18" t="str">
        <f>IF(RE_solar[[#This Row],[Month]]&lt;&gt;"",VLOOKUP(RE_solar[[#This Row],[Month]], dropdown!$S$4:$T$15, 2, FALSE),"")</f>
        <v/>
      </c>
      <c r="L89" s="28"/>
      <c r="M89" s="354"/>
      <c r="N89" s="375"/>
    </row>
    <row r="90" spans="9:14" x14ac:dyDescent="0.2">
      <c r="I90" s="198" t="str">
        <f>IF(RE_solar[[#This Row],[Month]]="","",I89+1)</f>
        <v/>
      </c>
      <c r="J90" s="57"/>
      <c r="K90" s="18" t="str">
        <f>IF(RE_solar[[#This Row],[Month]]&lt;&gt;"",VLOOKUP(RE_solar[[#This Row],[Month]], dropdown!$S$4:$T$15, 2, FALSE),"")</f>
        <v/>
      </c>
      <c r="L90" s="28"/>
      <c r="M90" s="354"/>
      <c r="N90" s="375"/>
    </row>
    <row r="91" spans="9:14" x14ac:dyDescent="0.2">
      <c r="I91" s="198" t="str">
        <f>IF(RE_solar[[#This Row],[Month]]="","",I90+1)</f>
        <v/>
      </c>
      <c r="J91" s="57"/>
      <c r="K91" s="18" t="str">
        <f>IF(RE_solar[[#This Row],[Month]]&lt;&gt;"",VLOOKUP(RE_solar[[#This Row],[Month]], dropdown!$S$4:$T$15, 2, FALSE),"")</f>
        <v/>
      </c>
      <c r="L91" s="28"/>
      <c r="M91" s="354"/>
      <c r="N91" s="375"/>
    </row>
    <row r="92" spans="9:14" x14ac:dyDescent="0.2">
      <c r="I92" s="198" t="str">
        <f>IF(RE_solar[[#This Row],[Month]]="","",I91+1)</f>
        <v/>
      </c>
      <c r="J92" s="57"/>
      <c r="K92" s="18" t="str">
        <f>IF(RE_solar[[#This Row],[Month]]&lt;&gt;"",VLOOKUP(RE_solar[[#This Row],[Month]], dropdown!$S$4:$T$15, 2, FALSE),"")</f>
        <v/>
      </c>
      <c r="L92" s="28"/>
      <c r="M92" s="354"/>
      <c r="N92" s="375"/>
    </row>
    <row r="93" spans="9:14" x14ac:dyDescent="0.2">
      <c r="I93" s="198" t="str">
        <f>IF(RE_solar[[#This Row],[Month]]="","",I92+1)</f>
        <v/>
      </c>
      <c r="J93" s="57"/>
      <c r="K93" s="18" t="str">
        <f>IF(RE_solar[[#This Row],[Month]]&lt;&gt;"",VLOOKUP(RE_solar[[#This Row],[Month]], dropdown!$S$4:$T$15, 2, FALSE),"")</f>
        <v/>
      </c>
      <c r="L93" s="28"/>
      <c r="M93" s="354"/>
      <c r="N93" s="375"/>
    </row>
    <row r="94" spans="9:14" x14ac:dyDescent="0.2">
      <c r="I94" s="198" t="str">
        <f>IF(RE_solar[[#This Row],[Month]]="","",I93+1)</f>
        <v/>
      </c>
      <c r="J94" s="57"/>
      <c r="K94" s="18" t="str">
        <f>IF(RE_solar[[#This Row],[Month]]&lt;&gt;"",VLOOKUP(RE_solar[[#This Row],[Month]], dropdown!$S$4:$T$15, 2, FALSE),"")</f>
        <v/>
      </c>
      <c r="L94" s="28"/>
      <c r="M94" s="354"/>
      <c r="N94" s="375"/>
    </row>
    <row r="95" spans="9:14" x14ac:dyDescent="0.2">
      <c r="I95" s="198" t="str">
        <f>IF(RE_solar[[#This Row],[Month]]="","",I94+1)</f>
        <v/>
      </c>
      <c r="J95" s="57"/>
      <c r="K95" s="18" t="str">
        <f>IF(RE_solar[[#This Row],[Month]]&lt;&gt;"",VLOOKUP(RE_solar[[#This Row],[Month]], dropdown!$S$4:$T$15, 2, FALSE),"")</f>
        <v/>
      </c>
      <c r="L95" s="28"/>
      <c r="M95" s="354"/>
      <c r="N95" s="375"/>
    </row>
    <row r="96" spans="9:14" x14ac:dyDescent="0.2">
      <c r="I96" s="198" t="str">
        <f>IF(RE_solar[[#This Row],[Month]]="","",I95+1)</f>
        <v/>
      </c>
      <c r="J96" s="57"/>
      <c r="K96" s="18" t="str">
        <f>IF(RE_solar[[#This Row],[Month]]&lt;&gt;"",VLOOKUP(RE_solar[[#This Row],[Month]], dropdown!$S$4:$T$15, 2, FALSE),"")</f>
        <v/>
      </c>
      <c r="L96" s="28"/>
      <c r="M96" s="354"/>
      <c r="N96" s="375"/>
    </row>
    <row r="97" spans="9:14" x14ac:dyDescent="0.2">
      <c r="I97" s="198" t="str">
        <f>IF(RE_solar[[#This Row],[Month]]="","",I96+1)</f>
        <v/>
      </c>
      <c r="J97" s="57"/>
      <c r="K97" s="18" t="str">
        <f>IF(RE_solar[[#This Row],[Month]]&lt;&gt;"",VLOOKUP(RE_solar[[#This Row],[Month]], dropdown!$S$4:$T$15, 2, FALSE),"")</f>
        <v/>
      </c>
      <c r="L97" s="28"/>
      <c r="M97" s="354"/>
      <c r="N97" s="375"/>
    </row>
    <row r="98" spans="9:14" x14ac:dyDescent="0.2">
      <c r="I98" s="198" t="str">
        <f>IF(RE_solar[[#This Row],[Month]]="","",I97+1)</f>
        <v/>
      </c>
      <c r="J98" s="57"/>
      <c r="K98" s="18" t="str">
        <f>IF(RE_solar[[#This Row],[Month]]&lt;&gt;"",VLOOKUP(RE_solar[[#This Row],[Month]], dropdown!$S$4:$T$15, 2, FALSE),"")</f>
        <v/>
      </c>
      <c r="L98" s="28"/>
      <c r="M98" s="354"/>
      <c r="N98" s="375"/>
    </row>
    <row r="99" spans="9:14" x14ac:dyDescent="0.2">
      <c r="I99" s="198" t="str">
        <f>IF(RE_solar[[#This Row],[Month]]="","",I98+1)</f>
        <v/>
      </c>
      <c r="J99" s="57"/>
      <c r="K99" s="18" t="str">
        <f>IF(RE_solar[[#This Row],[Month]]&lt;&gt;"",VLOOKUP(RE_solar[[#This Row],[Month]], dropdown!$S$4:$T$15, 2, FALSE),"")</f>
        <v/>
      </c>
      <c r="L99" s="28"/>
      <c r="M99" s="354"/>
      <c r="N99" s="375"/>
    </row>
    <row r="100" spans="9:14" x14ac:dyDescent="0.2">
      <c r="I100" s="198" t="str">
        <f>IF(RE_solar[[#This Row],[Month]]="","",I99+1)</f>
        <v/>
      </c>
      <c r="J100" s="57"/>
      <c r="K100" s="18" t="str">
        <f>IF(RE_solar[[#This Row],[Month]]&lt;&gt;"",VLOOKUP(RE_solar[[#This Row],[Month]], dropdown!$S$4:$T$15, 2, FALSE),"")</f>
        <v/>
      </c>
      <c r="L100" s="28"/>
      <c r="M100" s="354"/>
      <c r="N100" s="375"/>
    </row>
    <row r="101" spans="9:14" x14ac:dyDescent="0.2">
      <c r="I101" s="198" t="str">
        <f>IF(RE_solar[[#This Row],[Month]]="","",I100+1)</f>
        <v/>
      </c>
      <c r="J101" s="57"/>
      <c r="K101" s="18" t="str">
        <f>IF(RE_solar[[#This Row],[Month]]&lt;&gt;"",VLOOKUP(RE_solar[[#This Row],[Month]], dropdown!$S$4:$T$15, 2, FALSE),"")</f>
        <v/>
      </c>
      <c r="L101" s="28"/>
      <c r="M101" s="354"/>
      <c r="N101" s="375"/>
    </row>
    <row r="102" spans="9:14" x14ac:dyDescent="0.2">
      <c r="I102" s="198" t="str">
        <f>IF(RE_solar[[#This Row],[Month]]="","",I101+1)</f>
        <v/>
      </c>
      <c r="J102" s="57"/>
      <c r="K102" s="18" t="str">
        <f>IF(RE_solar[[#This Row],[Month]]&lt;&gt;"",VLOOKUP(RE_solar[[#This Row],[Month]], dropdown!$S$4:$T$15, 2, FALSE),"")</f>
        <v/>
      </c>
      <c r="L102" s="28"/>
      <c r="M102" s="354"/>
      <c r="N102" s="375"/>
    </row>
    <row r="103" spans="9:14" x14ac:dyDescent="0.2">
      <c r="I103" s="198" t="str">
        <f>IF(RE_solar[[#This Row],[Month]]="","",I102+1)</f>
        <v/>
      </c>
      <c r="J103" s="57"/>
      <c r="K103" s="18" t="str">
        <f>IF(RE_solar[[#This Row],[Month]]&lt;&gt;"",VLOOKUP(RE_solar[[#This Row],[Month]], dropdown!$S$4:$T$15, 2, FALSE),"")</f>
        <v/>
      </c>
      <c r="L103" s="28"/>
      <c r="M103" s="354"/>
      <c r="N103" s="375"/>
    </row>
    <row r="104" spans="9:14" x14ac:dyDescent="0.2">
      <c r="I104" s="198" t="str">
        <f>IF(RE_solar[[#This Row],[Month]]="","",I103+1)</f>
        <v/>
      </c>
      <c r="J104" s="57"/>
      <c r="K104" s="18" t="str">
        <f>IF(RE_solar[[#This Row],[Month]]&lt;&gt;"",VLOOKUP(RE_solar[[#This Row],[Month]], dropdown!$S$4:$T$15, 2, FALSE),"")</f>
        <v/>
      </c>
      <c r="L104" s="28"/>
      <c r="M104" s="354"/>
      <c r="N104" s="375"/>
    </row>
    <row r="105" spans="9:14" x14ac:dyDescent="0.2">
      <c r="I105" s="198" t="str">
        <f>IF(RE_solar[[#This Row],[Month]]="","",I104+1)</f>
        <v/>
      </c>
      <c r="J105" s="57"/>
      <c r="K105" s="18" t="str">
        <f>IF(RE_solar[[#This Row],[Month]]&lt;&gt;"",VLOOKUP(RE_solar[[#This Row],[Month]], dropdown!$S$4:$T$15, 2, FALSE),"")</f>
        <v/>
      </c>
      <c r="L105" s="28"/>
      <c r="M105" s="354"/>
      <c r="N105" s="375"/>
    </row>
    <row r="106" spans="9:14" x14ac:dyDescent="0.2">
      <c r="I106" s="198" t="str">
        <f>IF(RE_solar[[#This Row],[Month]]="","",I105+1)</f>
        <v/>
      </c>
      <c r="J106" s="57"/>
      <c r="K106" s="18" t="str">
        <f>IF(RE_solar[[#This Row],[Month]]&lt;&gt;"",VLOOKUP(RE_solar[[#This Row],[Month]], dropdown!$S$4:$T$15, 2, FALSE),"")</f>
        <v/>
      </c>
      <c r="L106" s="28"/>
      <c r="M106" s="354"/>
      <c r="N106" s="375"/>
    </row>
    <row r="108" spans="9:14" x14ac:dyDescent="0.2">
      <c r="I108" s="326" t="s">
        <v>189</v>
      </c>
    </row>
  </sheetData>
  <sheetProtection algorithmName="SHA-512" hashValue="VLM9Pz2aM8IaME0hA+e42PhEqQeToaFerPjRoeSL7oBAQvMRrOSbyioBv06z9+B9+NnaOyU0kBwhpkNbKPtkZg==" saltValue="iYNx+RrXGNtVVuWXwGtdkw==" spinCount="100000" sheet="1" objects="1" scenarios="1" selectLockedCells="1"/>
  <protectedRanges>
    <protectedRange sqref="J6:J106 L6:L106 M7:N106" name="Range1"/>
  </protectedRanges>
  <mergeCells count="3">
    <mergeCell ref="I3:N4"/>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X109"/>
  <sheetViews>
    <sheetView showGridLines="0" topLeftCell="K1" zoomScaleNormal="100" workbookViewId="0">
      <selection activeCell="R24" sqref="R24:S24"/>
    </sheetView>
  </sheetViews>
  <sheetFormatPr baseColWidth="10" defaultColWidth="10.83203125" defaultRowHeight="14"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9.33203125" style="21" customWidth="1"/>
    <col min="11" max="11" width="11.83203125" style="21" customWidth="1"/>
    <col min="12" max="12" width="8.33203125" style="21" customWidth="1"/>
    <col min="13" max="13" width="23.83203125" style="21" customWidth="1"/>
    <col min="14" max="14" width="9.6640625" style="22" customWidth="1"/>
    <col min="15" max="15" width="14.5" style="20" customWidth="1"/>
    <col min="16" max="16" width="5.5" style="20" customWidth="1"/>
    <col min="17" max="17" width="5.33203125" style="11" customWidth="1"/>
    <col min="18" max="18" width="12.5" style="20" customWidth="1"/>
    <col min="19" max="19" width="9.5" style="20" customWidth="1"/>
    <col min="20" max="20" width="10.33203125" style="20" customWidth="1"/>
    <col min="21" max="21" width="30.1640625" style="20" customWidth="1"/>
    <col min="22" max="22" width="13.1640625" style="22" customWidth="1"/>
    <col min="23" max="23" width="16.5" style="20" customWidth="1"/>
    <col min="24" max="24" width="21.5" style="21" customWidth="1"/>
    <col min="25" max="25" width="15.33203125" style="20" customWidth="1"/>
    <col min="26" max="16384" width="10.83203125" style="20"/>
  </cols>
  <sheetData>
    <row r="2" spans="2:24" ht="19" x14ac:dyDescent="0.25">
      <c r="B2" s="261" t="s">
        <v>30</v>
      </c>
      <c r="C2" s="30"/>
      <c r="D2" s="30"/>
      <c r="E2" s="30"/>
      <c r="F2" s="30"/>
      <c r="G2" s="31"/>
      <c r="I2" s="140" t="s">
        <v>246</v>
      </c>
      <c r="J2" s="136"/>
      <c r="K2" s="62"/>
      <c r="L2" s="62"/>
      <c r="M2" s="62"/>
      <c r="N2" s="64"/>
      <c r="O2" s="63"/>
      <c r="P2" s="68"/>
      <c r="Q2" s="138"/>
      <c r="R2" s="68"/>
      <c r="S2" s="68"/>
      <c r="T2" s="68"/>
      <c r="U2" s="68"/>
      <c r="V2" s="147"/>
      <c r="W2" s="438"/>
      <c r="X2" s="437"/>
    </row>
    <row r="3" spans="2:24" x14ac:dyDescent="0.2">
      <c r="B3" s="32" t="s">
        <v>9</v>
      </c>
      <c r="C3" s="33"/>
      <c r="D3" s="34" t="s">
        <v>172</v>
      </c>
      <c r="E3" s="33"/>
      <c r="F3" s="33" t="s">
        <v>173</v>
      </c>
      <c r="G3" s="35"/>
      <c r="I3" s="53" t="s">
        <v>247</v>
      </c>
      <c r="J3" s="370"/>
      <c r="W3" s="23"/>
      <c r="X3" s="437"/>
    </row>
    <row r="4" spans="2:24" x14ac:dyDescent="0.2">
      <c r="B4" s="166" t="str">
        <f>'1. Data Info and Summary'!$D$2</f>
        <v>Security Plant Complex</v>
      </c>
      <c r="C4" s="36"/>
      <c r="D4" s="37">
        <f>IF('1. Data Info and Summary'!$D$3=0,"-",'1. Data Info and Summary'!$D$3)</f>
        <v>2024</v>
      </c>
      <c r="E4" s="36"/>
      <c r="F4" s="36" t="s">
        <v>168</v>
      </c>
      <c r="G4" s="38"/>
      <c r="I4" s="141" t="s">
        <v>248</v>
      </c>
      <c r="J4" s="137"/>
      <c r="K4" s="25"/>
      <c r="L4" s="25"/>
      <c r="M4" s="25"/>
      <c r="N4" s="26"/>
      <c r="O4" s="24"/>
      <c r="P4" s="24"/>
      <c r="Q4" s="42"/>
      <c r="R4" s="24"/>
      <c r="S4" s="24"/>
      <c r="T4" s="24"/>
      <c r="U4" s="24"/>
      <c r="V4" s="26"/>
      <c r="W4" s="27"/>
      <c r="X4" s="437"/>
    </row>
    <row r="5" spans="2:24" x14ac:dyDescent="0.2">
      <c r="B5" s="216"/>
      <c r="C5" s="217"/>
      <c r="D5" s="216"/>
      <c r="E5" s="217"/>
      <c r="F5" s="217"/>
      <c r="G5" s="217"/>
      <c r="I5" s="326"/>
      <c r="J5" s="337"/>
    </row>
    <row r="6" spans="2:24" x14ac:dyDescent="0.2">
      <c r="B6" s="283" t="s">
        <v>176</v>
      </c>
      <c r="C6" s="460"/>
      <c r="D6" s="461"/>
      <c r="E6" s="461"/>
      <c r="F6" s="461"/>
      <c r="G6" s="462"/>
      <c r="I6" s="139" t="s">
        <v>123</v>
      </c>
      <c r="J6" s="65"/>
      <c r="K6" s="65"/>
      <c r="L6" s="65"/>
      <c r="M6" s="65"/>
      <c r="N6" s="66"/>
      <c r="O6" s="67"/>
      <c r="P6" s="11"/>
      <c r="Q6" s="139" t="s">
        <v>131</v>
      </c>
      <c r="R6" s="65"/>
      <c r="S6" s="65"/>
      <c r="T6" s="65"/>
      <c r="U6" s="66"/>
      <c r="V6" s="66"/>
      <c r="W6" s="70"/>
      <c r="X6" s="20"/>
    </row>
    <row r="7" spans="2:24" ht="30" x14ac:dyDescent="0.2">
      <c r="B7" s="283" t="s">
        <v>178</v>
      </c>
      <c r="C7" s="460"/>
      <c r="D7" s="461"/>
      <c r="E7" s="461"/>
      <c r="F7" s="461"/>
      <c r="G7" s="462"/>
      <c r="I7" s="252" t="s">
        <v>177</v>
      </c>
      <c r="J7" s="253" t="s">
        <v>36</v>
      </c>
      <c r="K7" s="253" t="s">
        <v>43</v>
      </c>
      <c r="L7" s="253" t="s">
        <v>47</v>
      </c>
      <c r="M7" s="253" t="s">
        <v>125</v>
      </c>
      <c r="N7" s="254" t="s">
        <v>128</v>
      </c>
      <c r="O7" s="257" t="s">
        <v>58</v>
      </c>
      <c r="P7" s="69"/>
      <c r="Q7" s="252" t="s">
        <v>177</v>
      </c>
      <c r="R7" s="253" t="s">
        <v>36</v>
      </c>
      <c r="S7" s="253" t="s">
        <v>43</v>
      </c>
      <c r="T7" s="253" t="s">
        <v>47</v>
      </c>
      <c r="U7" s="265" t="s">
        <v>134</v>
      </c>
      <c r="V7" s="254" t="s">
        <v>128</v>
      </c>
      <c r="W7" s="266" t="s">
        <v>58</v>
      </c>
      <c r="X7" s="20"/>
    </row>
    <row r="8" spans="2:24" x14ac:dyDescent="0.2">
      <c r="B8" s="20"/>
      <c r="C8" s="20"/>
      <c r="D8" s="20"/>
      <c r="E8" s="20"/>
      <c r="F8" s="20"/>
      <c r="G8" s="20"/>
      <c r="I8" s="198">
        <f>IF($N8="","",1)</f>
        <v>1</v>
      </c>
      <c r="J8" s="402" t="s">
        <v>179</v>
      </c>
      <c r="K8" s="57" t="s">
        <v>193</v>
      </c>
      <c r="L8" s="18" t="str">
        <f>IF(water_in[[#This Row],[Month]]&lt;&gt;"",VLOOKUP(water_in[[#This Row],[Month]], dropdown!$S$4:$T$15, 2, FALSE),"")</f>
        <v>Q1</v>
      </c>
      <c r="M8" s="57" t="s">
        <v>127</v>
      </c>
      <c r="N8" s="28">
        <v>24129</v>
      </c>
      <c r="O8" s="199" t="s">
        <v>249</v>
      </c>
      <c r="Q8" s="198" t="str">
        <f>IF($V8="","",1)</f>
        <v/>
      </c>
      <c r="R8" s="402"/>
      <c r="S8" s="57"/>
      <c r="T8" s="18" t="str">
        <f>IF(water_out[[#This Row],[Month]]&lt;&gt;"",VLOOKUP(water_out[[#This Row],[Month]], dropdown!$S$4:$T$15, 2, FALSE),"")</f>
        <v/>
      </c>
      <c r="U8" s="59"/>
      <c r="V8" s="28"/>
      <c r="W8" s="199"/>
      <c r="X8" s="20"/>
    </row>
    <row r="9" spans="2:24" x14ac:dyDescent="0.2">
      <c r="B9" s="14" t="s">
        <v>250</v>
      </c>
      <c r="C9" s="14"/>
      <c r="D9" s="14"/>
      <c r="E9" s="14"/>
      <c r="F9" s="14"/>
      <c r="G9" s="14"/>
      <c r="I9" s="198">
        <f t="shared" ref="I9:I55" si="0">IF($N9="","",$I8+1)</f>
        <v>2</v>
      </c>
      <c r="J9" s="402" t="s">
        <v>179</v>
      </c>
      <c r="K9" s="57" t="s">
        <v>92</v>
      </c>
      <c r="L9" s="18" t="str">
        <f>IF(water_in[[#This Row],[Month]]&lt;&gt;"",VLOOKUP(water_in[[#This Row],[Month]], dropdown!$S$4:$T$15, 2, FALSE),"")</f>
        <v>Q1</v>
      </c>
      <c r="M9" s="57" t="s">
        <v>127</v>
      </c>
      <c r="N9" s="28">
        <v>23435</v>
      </c>
      <c r="O9" s="199" t="s">
        <v>249</v>
      </c>
      <c r="Q9" s="198" t="str">
        <f t="shared" ref="Q9:Q55" si="1">IF($V9="","",$Q8+1)</f>
        <v/>
      </c>
      <c r="R9" s="402"/>
      <c r="S9" s="57"/>
      <c r="T9" s="18" t="str">
        <f>IF(water_out[[#This Row],[Month]]&lt;&gt;"",VLOOKUP(water_out[[#This Row],[Month]], dropdown!$S$4:$T$15, 2, FALSE),"")</f>
        <v/>
      </c>
      <c r="U9" s="59"/>
      <c r="V9" s="28"/>
      <c r="W9" s="199"/>
      <c r="X9" s="20"/>
    </row>
    <row r="10" spans="2:24" x14ac:dyDescent="0.2">
      <c r="B10" s="13" t="s">
        <v>161</v>
      </c>
      <c r="C10" s="13" t="s">
        <v>55</v>
      </c>
      <c r="D10" s="39" t="s">
        <v>49</v>
      </c>
      <c r="E10" s="39" t="s">
        <v>153</v>
      </c>
      <c r="F10" s="39" t="s">
        <v>154</v>
      </c>
      <c r="G10" s="39" t="s">
        <v>155</v>
      </c>
      <c r="I10" s="198">
        <f t="shared" si="0"/>
        <v>3</v>
      </c>
      <c r="J10" s="402" t="s">
        <v>179</v>
      </c>
      <c r="K10" s="57" t="s">
        <v>180</v>
      </c>
      <c r="L10" s="18" t="str">
        <f>IF(water_in[[#This Row],[Month]]&lt;&gt;"",VLOOKUP(water_in[[#This Row],[Month]], dropdown!$S$4:$T$15, 2, FALSE),"")</f>
        <v>Q1</v>
      </c>
      <c r="M10" s="57" t="s">
        <v>127</v>
      </c>
      <c r="N10" s="28">
        <v>24610</v>
      </c>
      <c r="O10" s="199" t="s">
        <v>249</v>
      </c>
      <c r="Q10" s="198" t="str">
        <f t="shared" si="1"/>
        <v/>
      </c>
      <c r="R10" s="402"/>
      <c r="S10" s="57"/>
      <c r="T10" s="18" t="str">
        <f>IF(water_out[[#This Row],[Month]]&lt;&gt;"",VLOOKUP(water_out[[#This Row],[Month]], dropdown!$S$4:$T$15, 2, FALSE),"")</f>
        <v/>
      </c>
      <c r="U10" s="59"/>
      <c r="V10" s="28"/>
      <c r="W10" s="199"/>
      <c r="X10" s="20"/>
    </row>
    <row r="11" spans="2:24" x14ac:dyDescent="0.2">
      <c r="B11" s="17" t="s">
        <v>123</v>
      </c>
      <c r="C11" s="17" t="s">
        <v>251</v>
      </c>
      <c r="D11" s="40">
        <f>SUMIFS(water_in[Volume (m3)],water_in[Quarter],D$10)</f>
        <v>74137</v>
      </c>
      <c r="E11" s="40">
        <f>SUMIFS(water_in[Volume (m3)],water_in[Quarter],E$10)</f>
        <v>64118</v>
      </c>
      <c r="F11" s="40">
        <f>SUMIFS(water_in[Volume (m3)],water_in[Quarter],F$10)</f>
        <v>69156</v>
      </c>
      <c r="G11" s="40">
        <f>SUMIFS(water_in[Volume (m3)],water_in[Quarter],G$10)</f>
        <v>63877</v>
      </c>
      <c r="I11" s="198">
        <f t="shared" si="0"/>
        <v>4</v>
      </c>
      <c r="J11" s="402" t="s">
        <v>179</v>
      </c>
      <c r="K11" s="57" t="s">
        <v>196</v>
      </c>
      <c r="L11" s="18" t="str">
        <f>IF(water_in[[#This Row],[Month]]&lt;&gt;"",VLOOKUP(water_in[[#This Row],[Month]], dropdown!$S$4:$T$15, 2, FALSE),"")</f>
        <v>Q2</v>
      </c>
      <c r="M11" s="57" t="s">
        <v>127</v>
      </c>
      <c r="N11" s="28">
        <v>20688</v>
      </c>
      <c r="O11" s="199" t="s">
        <v>249</v>
      </c>
      <c r="Q11" s="198" t="str">
        <f t="shared" si="1"/>
        <v/>
      </c>
      <c r="R11" s="402"/>
      <c r="S11" s="57"/>
      <c r="T11" s="18" t="str">
        <f>IF(water_out[[#This Row],[Month]]&lt;&gt;"",VLOOKUP(water_out[[#This Row],[Month]], dropdown!$S$4:$T$15, 2, FALSE),"")</f>
        <v/>
      </c>
      <c r="U11" s="59"/>
      <c r="V11" s="28"/>
      <c r="W11" s="199"/>
      <c r="X11" s="20"/>
    </row>
    <row r="12" spans="2:24" x14ac:dyDescent="0.2">
      <c r="B12" s="17" t="s">
        <v>131</v>
      </c>
      <c r="C12" s="17" t="s">
        <v>251</v>
      </c>
      <c r="D12" s="40">
        <f>SUMIFS(water_out[Volume (m3)],water_out[Quarter],D$10)</f>
        <v>0</v>
      </c>
      <c r="E12" s="40">
        <f>SUMIFS(water_out[Volume (m3)],water_out[Quarter],E$10)</f>
        <v>0</v>
      </c>
      <c r="F12" s="40">
        <f>SUMIFS(water_out[Volume (m3)],water_out[Quarter],F$10)</f>
        <v>0</v>
      </c>
      <c r="G12" s="40">
        <f>SUMIFS(water_out[Volume (m3)],water_out[Quarter],G$10)</f>
        <v>0</v>
      </c>
      <c r="I12" s="198">
        <f t="shared" si="0"/>
        <v>5</v>
      </c>
      <c r="J12" s="402" t="s">
        <v>179</v>
      </c>
      <c r="K12" s="57" t="s">
        <v>197</v>
      </c>
      <c r="L12" s="18" t="str">
        <f>IF(water_in[[#This Row],[Month]]&lt;&gt;"",VLOOKUP(water_in[[#This Row],[Month]], dropdown!$S$4:$T$15, 2, FALSE),"")</f>
        <v>Q2</v>
      </c>
      <c r="M12" s="57" t="s">
        <v>127</v>
      </c>
      <c r="N12" s="28">
        <v>20867</v>
      </c>
      <c r="O12" s="199" t="s">
        <v>249</v>
      </c>
      <c r="Q12" s="198" t="str">
        <f t="shared" si="1"/>
        <v/>
      </c>
      <c r="R12" s="402"/>
      <c r="S12" s="57"/>
      <c r="T12" s="18" t="str">
        <f>IF(water_out[[#This Row],[Month]]&lt;&gt;"",VLOOKUP(water_out[[#This Row],[Month]], dropdown!$S$4:$T$15, 2, FALSE),"")</f>
        <v/>
      </c>
      <c r="U12" s="59"/>
      <c r="V12" s="28"/>
      <c r="W12" s="199"/>
      <c r="X12" s="20"/>
    </row>
    <row r="13" spans="2:24" x14ac:dyDescent="0.2">
      <c r="D13" s="172" t="str">
        <f>IF(SUM(D$11:D$12)&gt;0,"x","")</f>
        <v>x</v>
      </c>
      <c r="E13" s="172" t="str">
        <f>IF(SUM(E$11:E$12)&gt;0,"x","")</f>
        <v>x</v>
      </c>
      <c r="F13" s="172" t="str">
        <f>IF(SUM(F$11:F$12)&gt;0,"x","")</f>
        <v>x</v>
      </c>
      <c r="G13" s="172" t="str">
        <f>IF(SUM(G$11:G$12)&gt;0,"x","")</f>
        <v>x</v>
      </c>
      <c r="I13" s="198">
        <f t="shared" si="0"/>
        <v>6</v>
      </c>
      <c r="J13" s="402" t="s">
        <v>179</v>
      </c>
      <c r="K13" s="57" t="s">
        <v>183</v>
      </c>
      <c r="L13" s="18" t="str">
        <f>IF(water_in[[#This Row],[Month]]&lt;&gt;"",VLOOKUP(water_in[[#This Row],[Month]], dropdown!$S$4:$T$15, 2, FALSE),"")</f>
        <v>Q2</v>
      </c>
      <c r="M13" s="57" t="s">
        <v>127</v>
      </c>
      <c r="N13" s="28">
        <v>20822</v>
      </c>
      <c r="O13" s="199" t="s">
        <v>249</v>
      </c>
      <c r="Q13" s="198" t="str">
        <f t="shared" si="1"/>
        <v/>
      </c>
      <c r="R13" s="402"/>
      <c r="S13" s="57"/>
      <c r="T13" s="18" t="str">
        <f>IF(water_out[[#This Row],[Month]]&lt;&gt;"",VLOOKUP(water_out[[#This Row],[Month]], dropdown!$S$4:$T$15, 2, FALSE),"")</f>
        <v/>
      </c>
      <c r="U13" s="59"/>
      <c r="V13" s="28"/>
      <c r="W13" s="199"/>
      <c r="X13" s="20"/>
    </row>
    <row r="14" spans="2:24" x14ac:dyDescent="0.2">
      <c r="B14" s="125" t="s">
        <v>42</v>
      </c>
      <c r="I14" s="198">
        <f t="shared" si="0"/>
        <v>7</v>
      </c>
      <c r="J14" s="402" t="s">
        <v>179</v>
      </c>
      <c r="K14" s="57" t="s">
        <v>198</v>
      </c>
      <c r="L14" s="18" t="str">
        <f>IF(water_in[[#This Row],[Month]]&lt;&gt;"",VLOOKUP(water_in[[#This Row],[Month]], dropdown!$S$4:$T$15, 2, FALSE),"")</f>
        <v>Q3</v>
      </c>
      <c r="M14" s="57" t="s">
        <v>127</v>
      </c>
      <c r="N14" s="28">
        <v>23038</v>
      </c>
      <c r="O14" s="199" t="s">
        <v>249</v>
      </c>
      <c r="Q14" s="198" t="str">
        <f t="shared" si="1"/>
        <v/>
      </c>
      <c r="R14" s="402"/>
      <c r="S14" s="57"/>
      <c r="T14" s="18" t="str">
        <f>IF(water_out[[#This Row],[Month]]&lt;&gt;"",VLOOKUP(water_out[[#This Row],[Month]], dropdown!$S$4:$T$15, 2, FALSE),"")</f>
        <v/>
      </c>
      <c r="U14" s="59"/>
      <c r="V14" s="28"/>
      <c r="W14" s="199"/>
      <c r="X14" s="20"/>
    </row>
    <row r="15" spans="2:24" ht="11" customHeight="1" x14ac:dyDescent="0.2">
      <c r="B15" s="126" t="s">
        <v>186</v>
      </c>
      <c r="I15" s="198">
        <f t="shared" si="0"/>
        <v>8</v>
      </c>
      <c r="J15" s="402" t="s">
        <v>179</v>
      </c>
      <c r="K15" s="57" t="s">
        <v>45</v>
      </c>
      <c r="L15" s="18" t="str">
        <f>IF(water_in[[#This Row],[Month]]&lt;&gt;"",VLOOKUP(water_in[[#This Row],[Month]], dropdown!$S$4:$T$15, 2, FALSE),"")</f>
        <v>Q3</v>
      </c>
      <c r="M15" s="57" t="s">
        <v>127</v>
      </c>
      <c r="N15" s="28">
        <v>24860</v>
      </c>
      <c r="O15" s="199" t="s">
        <v>249</v>
      </c>
      <c r="Q15" s="198" t="str">
        <f t="shared" si="1"/>
        <v/>
      </c>
      <c r="R15" s="402"/>
      <c r="S15" s="57"/>
      <c r="T15" s="18" t="str">
        <f>IF(water_out[[#This Row],[Month]]&lt;&gt;"",VLOOKUP(water_out[[#This Row],[Month]], dropdown!$S$4:$T$15, 2, FALSE),"")</f>
        <v/>
      </c>
      <c r="U15" s="59"/>
      <c r="V15" s="28"/>
      <c r="W15" s="199"/>
      <c r="X15" s="20"/>
    </row>
    <row r="16" spans="2:24" x14ac:dyDescent="0.2">
      <c r="B16" s="127" t="s">
        <v>187</v>
      </c>
      <c r="I16" s="198">
        <f t="shared" si="0"/>
        <v>9</v>
      </c>
      <c r="J16" s="402" t="s">
        <v>179</v>
      </c>
      <c r="K16" s="57" t="s">
        <v>184</v>
      </c>
      <c r="L16" s="18" t="str">
        <f>IF(water_in[[#This Row],[Month]]&lt;&gt;"",VLOOKUP(water_in[[#This Row],[Month]], dropdown!$S$4:$T$15, 2, FALSE),"")</f>
        <v>Q3</v>
      </c>
      <c r="M16" s="57" t="s">
        <v>127</v>
      </c>
      <c r="N16" s="28">
        <v>19738</v>
      </c>
      <c r="O16" s="199" t="s">
        <v>249</v>
      </c>
      <c r="Q16" s="198" t="str">
        <f t="shared" si="1"/>
        <v/>
      </c>
      <c r="R16" s="402"/>
      <c r="S16" s="57"/>
      <c r="T16" s="18" t="str">
        <f>IF(water_out[[#This Row],[Month]]&lt;&gt;"",VLOOKUP(water_out[[#This Row],[Month]], dropdown!$S$4:$T$15, 2, FALSE),"")</f>
        <v/>
      </c>
      <c r="U16" s="59"/>
      <c r="V16" s="28"/>
      <c r="W16" s="199"/>
      <c r="X16" s="20"/>
    </row>
    <row r="17" spans="2:24" x14ac:dyDescent="0.2">
      <c r="B17" s="128" t="s">
        <v>188</v>
      </c>
      <c r="I17" s="198">
        <f t="shared" si="0"/>
        <v>10</v>
      </c>
      <c r="J17" s="402" t="s">
        <v>179</v>
      </c>
      <c r="K17" s="57" t="s">
        <v>199</v>
      </c>
      <c r="L17" s="18" t="str">
        <f>IF(water_in[[#This Row],[Month]]&lt;&gt;"",VLOOKUP(water_in[[#This Row],[Month]], dropdown!$S$4:$T$15, 2, FALSE),"")</f>
        <v>Q4</v>
      </c>
      <c r="M17" s="57" t="s">
        <v>127</v>
      </c>
      <c r="N17" s="28">
        <v>21083</v>
      </c>
      <c r="O17" s="199" t="s">
        <v>249</v>
      </c>
      <c r="Q17" s="198" t="str">
        <f t="shared" si="1"/>
        <v/>
      </c>
      <c r="R17" s="402"/>
      <c r="S17" s="57"/>
      <c r="T17" s="18" t="str">
        <f>IF(water_out[[#This Row],[Month]]&lt;&gt;"",VLOOKUP(water_out[[#This Row],[Month]], dropdown!$S$4:$T$15, 2, FALSE),"")</f>
        <v/>
      </c>
      <c r="U17" s="59"/>
      <c r="V17" s="28"/>
      <c r="W17" s="199"/>
      <c r="X17" s="43" t="s">
        <v>47</v>
      </c>
    </row>
    <row r="18" spans="2:24" x14ac:dyDescent="0.2">
      <c r="I18" s="198">
        <f t="shared" si="0"/>
        <v>11</v>
      </c>
      <c r="J18" s="402" t="s">
        <v>179</v>
      </c>
      <c r="K18" s="57" t="s">
        <v>200</v>
      </c>
      <c r="L18" s="18" t="str">
        <f>IF(water_in[[#This Row],[Month]]&lt;&gt;"",VLOOKUP(water_in[[#This Row],[Month]], dropdown!$S$4:$T$15, 2, FALSE),"")</f>
        <v>Q4</v>
      </c>
      <c r="M18" s="57" t="s">
        <v>127</v>
      </c>
      <c r="N18" s="28">
        <v>21244</v>
      </c>
      <c r="O18" s="199" t="s">
        <v>249</v>
      </c>
      <c r="Q18" s="198" t="str">
        <f t="shared" si="1"/>
        <v/>
      </c>
      <c r="R18" s="402"/>
      <c r="S18" s="57"/>
      <c r="T18" s="18" t="str">
        <f>IF(water_out[[#This Row],[Month]]&lt;&gt;"",VLOOKUP(water_out[[#This Row],[Month]], dropdown!$S$4:$T$15, 2, FALSE),"")</f>
        <v/>
      </c>
      <c r="U18" s="59"/>
      <c r="V18" s="28"/>
      <c r="W18" s="199"/>
      <c r="X18" s="43" t="str">
        <f>IF(S8="","",VLOOKUP($S8,dropdown!$S$3:$T$15,2,FALSE))</f>
        <v/>
      </c>
    </row>
    <row r="19" spans="2:24" x14ac:dyDescent="0.2">
      <c r="I19" s="198">
        <f t="shared" si="0"/>
        <v>12</v>
      </c>
      <c r="J19" s="402" t="s">
        <v>179</v>
      </c>
      <c r="K19" s="57" t="s">
        <v>185</v>
      </c>
      <c r="L19" s="18" t="str">
        <f>IF(water_in[[#This Row],[Month]]&lt;&gt;"",VLOOKUP(water_in[[#This Row],[Month]], dropdown!$S$4:$T$15, 2, FALSE),"")</f>
        <v>Q4</v>
      </c>
      <c r="M19" s="57" t="s">
        <v>127</v>
      </c>
      <c r="N19" s="28">
        <v>19377</v>
      </c>
      <c r="O19" s="199" t="s">
        <v>249</v>
      </c>
      <c r="Q19" s="198" t="str">
        <f t="shared" si="1"/>
        <v/>
      </c>
      <c r="R19" s="402"/>
      <c r="S19" s="57"/>
      <c r="T19" s="18" t="str">
        <f>IF(water_out[[#This Row],[Month]]&lt;&gt;"",VLOOKUP(water_out[[#This Row],[Month]], dropdown!$S$4:$T$15, 2, FALSE),"")</f>
        <v/>
      </c>
      <c r="U19" s="59"/>
      <c r="V19" s="28"/>
      <c r="W19" s="199"/>
      <c r="X19" s="43" t="str">
        <f>IF(S9="","",VLOOKUP($S9,dropdown!$S$3:$T$15,2,FALSE))</f>
        <v/>
      </c>
    </row>
    <row r="20" spans="2:24" x14ac:dyDescent="0.2">
      <c r="I20" s="198">
        <f t="shared" si="0"/>
        <v>13</v>
      </c>
      <c r="J20" s="402" t="s">
        <v>38</v>
      </c>
      <c r="K20" s="57" t="s">
        <v>193</v>
      </c>
      <c r="L20" s="18" t="str">
        <f>IF(water_in[[#This Row],[Month]]&lt;&gt;"",VLOOKUP(water_in[[#This Row],[Month]], dropdown!$S$4:$T$15, 2, FALSE),"")</f>
        <v>Q1</v>
      </c>
      <c r="M20" s="57" t="s">
        <v>127</v>
      </c>
      <c r="N20" s="28">
        <v>38</v>
      </c>
      <c r="O20" s="199" t="s">
        <v>252</v>
      </c>
      <c r="Q20" s="198" t="str">
        <f t="shared" si="1"/>
        <v/>
      </c>
      <c r="R20" s="402"/>
      <c r="S20" s="57"/>
      <c r="T20" s="18" t="str">
        <f>IF(water_out[[#This Row],[Month]]&lt;&gt;"",VLOOKUP(water_out[[#This Row],[Month]], dropdown!$S$4:$T$15, 2, FALSE),"")</f>
        <v/>
      </c>
      <c r="U20" s="59"/>
      <c r="V20" s="28"/>
      <c r="W20" s="199"/>
      <c r="X20" s="43" t="str">
        <f>IF(S10="","",VLOOKUP($S10,dropdown!$S$3:$T$15,2,FALSE))</f>
        <v/>
      </c>
    </row>
    <row r="21" spans="2:24" x14ac:dyDescent="0.2">
      <c r="I21" s="198">
        <f t="shared" si="0"/>
        <v>14</v>
      </c>
      <c r="J21" s="402" t="s">
        <v>38</v>
      </c>
      <c r="K21" s="57" t="s">
        <v>92</v>
      </c>
      <c r="L21" s="18" t="str">
        <f>IF(water_in[[#This Row],[Month]]&lt;&gt;"",VLOOKUP(water_in[[#This Row],[Month]], dropdown!$S$4:$T$15, 2, FALSE),"")</f>
        <v>Q1</v>
      </c>
      <c r="M21" s="57" t="s">
        <v>127</v>
      </c>
      <c r="N21" s="28">
        <v>40</v>
      </c>
      <c r="O21" s="199" t="s">
        <v>252</v>
      </c>
      <c r="Q21" s="198" t="str">
        <f t="shared" si="1"/>
        <v/>
      </c>
      <c r="R21" s="402"/>
      <c r="S21" s="57"/>
      <c r="T21" s="18" t="str">
        <f>IF(water_out[[#This Row],[Month]]&lt;&gt;"",VLOOKUP(water_out[[#This Row],[Month]], dropdown!$S$4:$T$15, 2, FALSE),"")</f>
        <v/>
      </c>
      <c r="U21" s="59"/>
      <c r="V21" s="28"/>
      <c r="W21" s="199"/>
      <c r="X21" s="43" t="str">
        <f>IF(S11="","",VLOOKUP($S11,dropdown!$S$3:$T$15,2,FALSE))</f>
        <v/>
      </c>
    </row>
    <row r="22" spans="2:24" x14ac:dyDescent="0.2">
      <c r="I22" s="198">
        <f t="shared" si="0"/>
        <v>15</v>
      </c>
      <c r="J22" s="402" t="s">
        <v>38</v>
      </c>
      <c r="K22" s="57" t="s">
        <v>180</v>
      </c>
      <c r="L22" s="18" t="str">
        <f>IF(water_in[[#This Row],[Month]]&lt;&gt;"",VLOOKUP(water_in[[#This Row],[Month]], dropdown!$S$4:$T$15, 2, FALSE),"")</f>
        <v>Q1</v>
      </c>
      <c r="M22" s="57" t="s">
        <v>127</v>
      </c>
      <c r="N22" s="28">
        <v>38</v>
      </c>
      <c r="O22" s="199" t="s">
        <v>252</v>
      </c>
      <c r="Q22" s="198" t="str">
        <f t="shared" si="1"/>
        <v/>
      </c>
      <c r="R22" s="402"/>
      <c r="S22" s="57"/>
      <c r="T22" s="18" t="str">
        <f>IF(water_out[[#This Row],[Month]]&lt;&gt;"",VLOOKUP(water_out[[#This Row],[Month]], dropdown!$S$4:$T$15, 2, FALSE),"")</f>
        <v/>
      </c>
      <c r="U22" s="59"/>
      <c r="V22" s="28"/>
      <c r="W22" s="199"/>
      <c r="X22" s="43" t="str">
        <f>IF(S12="","",VLOOKUP($S12,dropdown!$S$3:$T$15,2,FALSE))</f>
        <v/>
      </c>
    </row>
    <row r="23" spans="2:24" x14ac:dyDescent="0.2">
      <c r="I23" s="198">
        <f t="shared" si="0"/>
        <v>16</v>
      </c>
      <c r="J23" s="402" t="s">
        <v>38</v>
      </c>
      <c r="K23" s="57" t="s">
        <v>196</v>
      </c>
      <c r="L23" s="18" t="str">
        <f>IF(water_in[[#This Row],[Month]]&lt;&gt;"",VLOOKUP(water_in[[#This Row],[Month]], dropdown!$S$4:$T$15, 2, FALSE),"")</f>
        <v>Q2</v>
      </c>
      <c r="M23" s="57" t="s">
        <v>127</v>
      </c>
      <c r="N23" s="28">
        <v>69</v>
      </c>
      <c r="O23" s="199" t="s">
        <v>252</v>
      </c>
      <c r="Q23" s="198" t="str">
        <f t="shared" si="1"/>
        <v/>
      </c>
      <c r="R23" s="402"/>
      <c r="S23" s="57"/>
      <c r="T23" s="18" t="str">
        <f>IF(water_out[[#This Row],[Month]]&lt;&gt;"",VLOOKUP(water_out[[#This Row],[Month]], dropdown!$S$4:$T$15, 2, FALSE),"")</f>
        <v/>
      </c>
      <c r="U23" s="59"/>
      <c r="V23" s="28"/>
      <c r="W23" s="199"/>
      <c r="X23" s="43" t="str">
        <f>IF(S13="","",VLOOKUP($S13,dropdown!$S$3:$T$15,2,FALSE))</f>
        <v/>
      </c>
    </row>
    <row r="24" spans="2:24" x14ac:dyDescent="0.2">
      <c r="I24" s="198">
        <f t="shared" si="0"/>
        <v>17</v>
      </c>
      <c r="J24" s="402" t="s">
        <v>38</v>
      </c>
      <c r="K24" s="57" t="s">
        <v>197</v>
      </c>
      <c r="L24" s="18" t="str">
        <f>IF(water_in[[#This Row],[Month]]&lt;&gt;"",VLOOKUP(water_in[[#This Row],[Month]], dropdown!$S$4:$T$15, 2, FALSE),"")</f>
        <v>Q2</v>
      </c>
      <c r="M24" s="57" t="s">
        <v>127</v>
      </c>
      <c r="N24" s="28">
        <v>56</v>
      </c>
      <c r="O24" s="199" t="s">
        <v>252</v>
      </c>
      <c r="Q24" s="198" t="str">
        <f t="shared" si="1"/>
        <v/>
      </c>
      <c r="R24" s="402"/>
      <c r="S24" s="57"/>
      <c r="T24" s="18" t="str">
        <f>IF(water_out[[#This Row],[Month]]&lt;&gt;"",VLOOKUP(water_out[[#This Row],[Month]], dropdown!$S$4:$T$15, 2, FALSE),"")</f>
        <v/>
      </c>
      <c r="U24" s="59"/>
      <c r="V24" s="28"/>
      <c r="W24" s="199"/>
      <c r="X24" s="43" t="str">
        <f>IF(S14="","",VLOOKUP($S14,dropdown!$S$3:$T$15,2,FALSE))</f>
        <v/>
      </c>
    </row>
    <row r="25" spans="2:24" x14ac:dyDescent="0.2">
      <c r="I25" s="198">
        <f t="shared" si="0"/>
        <v>18</v>
      </c>
      <c r="J25" s="402" t="s">
        <v>38</v>
      </c>
      <c r="K25" s="57" t="s">
        <v>183</v>
      </c>
      <c r="L25" s="18" t="str">
        <f>IF(water_in[[#This Row],[Month]]&lt;&gt;"",VLOOKUP(water_in[[#This Row],[Month]], dropdown!$S$4:$T$15, 2, FALSE),"")</f>
        <v>Q2</v>
      </c>
      <c r="M25" s="57" t="s">
        <v>127</v>
      </c>
      <c r="N25" s="28">
        <v>37</v>
      </c>
      <c r="O25" s="199" t="s">
        <v>252</v>
      </c>
      <c r="Q25" s="198" t="str">
        <f t="shared" si="1"/>
        <v/>
      </c>
      <c r="R25" s="402"/>
      <c r="S25" s="57"/>
      <c r="T25" s="18" t="str">
        <f>IF(water_out[[#This Row],[Month]]&lt;&gt;"",VLOOKUP(water_out[[#This Row],[Month]], dropdown!$S$4:$T$15, 2, FALSE),"")</f>
        <v/>
      </c>
      <c r="U25" s="59"/>
      <c r="V25" s="28"/>
      <c r="W25" s="199"/>
      <c r="X25" s="43" t="str">
        <f>IF(S15="","",VLOOKUP($S15,dropdown!$S$3:$T$15,2,FALSE))</f>
        <v/>
      </c>
    </row>
    <row r="26" spans="2:24" x14ac:dyDescent="0.2">
      <c r="I26" s="198">
        <f t="shared" si="0"/>
        <v>19</v>
      </c>
      <c r="J26" s="403" t="s">
        <v>38</v>
      </c>
      <c r="K26" s="200" t="s">
        <v>198</v>
      </c>
      <c r="L26" s="18" t="str">
        <f>IF(water_in[[#This Row],[Month]]&lt;&gt;"",VLOOKUP(water_in[[#This Row],[Month]], dropdown!$S$4:$T$15, 2, FALSE),"")</f>
        <v>Q3</v>
      </c>
      <c r="M26" s="57" t="s">
        <v>127</v>
      </c>
      <c r="N26" s="201">
        <v>24</v>
      </c>
      <c r="O26" s="199" t="s">
        <v>252</v>
      </c>
      <c r="Q26" s="198" t="str">
        <f t="shared" si="1"/>
        <v/>
      </c>
      <c r="R26" s="403"/>
      <c r="S26" s="200"/>
      <c r="T26" s="18" t="str">
        <f>IF(water_out[[#This Row],[Month]]&lt;&gt;"",VLOOKUP(water_out[[#This Row],[Month]], dropdown!$S$4:$T$15, 2, FALSE),"")</f>
        <v/>
      </c>
      <c r="U26" s="264"/>
      <c r="V26" s="201"/>
      <c r="W26" s="203"/>
      <c r="X26" s="43" t="str">
        <f>IF(S16="","",VLOOKUP($S16,dropdown!$S$3:$T$15,2,FALSE))</f>
        <v/>
      </c>
    </row>
    <row r="27" spans="2:24" x14ac:dyDescent="0.2">
      <c r="I27" s="198">
        <f t="shared" si="0"/>
        <v>20</v>
      </c>
      <c r="J27" s="402" t="s">
        <v>38</v>
      </c>
      <c r="K27" s="57" t="s">
        <v>45</v>
      </c>
      <c r="L27" s="18" t="str">
        <f>IF(water_in[[#This Row],[Month]]&lt;&gt;"",VLOOKUP(water_in[[#This Row],[Month]], dropdown!$S$4:$T$15, 2, FALSE),"")</f>
        <v>Q3</v>
      </c>
      <c r="M27" s="57" t="s">
        <v>127</v>
      </c>
      <c r="N27" s="28">
        <v>24</v>
      </c>
      <c r="O27" s="199" t="s">
        <v>252</v>
      </c>
      <c r="Q27" s="198" t="str">
        <f t="shared" si="1"/>
        <v/>
      </c>
      <c r="R27" s="402"/>
      <c r="S27" s="57"/>
      <c r="T27" s="18" t="str">
        <f>IF(water_out[[#This Row],[Month]]&lt;&gt;"",VLOOKUP(water_out[[#This Row],[Month]], dropdown!$S$4:$T$15, 2, FALSE),"")</f>
        <v/>
      </c>
      <c r="U27" s="59"/>
      <c r="V27" s="28"/>
      <c r="W27" s="376"/>
      <c r="X27" s="43" t="str">
        <f>IF(S17="","",VLOOKUP($S17,dropdown!$S$3:$T$15,2,FALSE))</f>
        <v/>
      </c>
    </row>
    <row r="28" spans="2:24" x14ac:dyDescent="0.2">
      <c r="I28" s="198">
        <f t="shared" si="0"/>
        <v>21</v>
      </c>
      <c r="J28" s="402" t="s">
        <v>38</v>
      </c>
      <c r="K28" s="57" t="s">
        <v>184</v>
      </c>
      <c r="L28" s="18" t="str">
        <f>IF(water_in[[#This Row],[Month]]&lt;&gt;"",VLOOKUP(water_in[[#This Row],[Month]], dropdown!$S$4:$T$15, 2, FALSE),"")</f>
        <v>Q3</v>
      </c>
      <c r="M28" s="57" t="s">
        <v>127</v>
      </c>
      <c r="N28" s="28">
        <v>26</v>
      </c>
      <c r="O28" s="199" t="s">
        <v>252</v>
      </c>
      <c r="Q28" s="198" t="str">
        <f t="shared" si="1"/>
        <v/>
      </c>
      <c r="R28" s="402"/>
      <c r="S28" s="57"/>
      <c r="T28" s="18" t="str">
        <f>IF(water_out[[#This Row],[Month]]&lt;&gt;"",VLOOKUP(water_out[[#This Row],[Month]], dropdown!$S$4:$T$15, 2, FALSE),"")</f>
        <v/>
      </c>
      <c r="U28" s="59"/>
      <c r="V28" s="28"/>
      <c r="W28" s="376"/>
      <c r="X28" s="43" t="str">
        <f>IF(S18="","",VLOOKUP($S18,dropdown!$S$3:$T$15,2,FALSE))</f>
        <v/>
      </c>
    </row>
    <row r="29" spans="2:24" x14ac:dyDescent="0.2">
      <c r="I29" s="198">
        <f t="shared" si="0"/>
        <v>22</v>
      </c>
      <c r="J29" s="402" t="s">
        <v>38</v>
      </c>
      <c r="K29" s="57" t="s">
        <v>199</v>
      </c>
      <c r="L29" s="18" t="str">
        <f>IF(water_in[[#This Row],[Month]]&lt;&gt;"",VLOOKUP(water_in[[#This Row],[Month]], dropdown!$S$4:$T$15, 2, FALSE),"")</f>
        <v>Q4</v>
      </c>
      <c r="M29" s="57" t="s">
        <v>127</v>
      </c>
      <c r="N29" s="28">
        <v>27</v>
      </c>
      <c r="O29" s="199" t="s">
        <v>252</v>
      </c>
      <c r="Q29" s="198" t="str">
        <f t="shared" si="1"/>
        <v/>
      </c>
      <c r="R29" s="402"/>
      <c r="S29" s="57"/>
      <c r="T29" s="18" t="str">
        <f>IF(water_out[[#This Row],[Month]]&lt;&gt;"",VLOOKUP(water_out[[#This Row],[Month]], dropdown!$S$4:$T$15, 2, FALSE),"")</f>
        <v/>
      </c>
      <c r="U29" s="59"/>
      <c r="V29" s="28"/>
      <c r="W29" s="376"/>
      <c r="X29" s="43" t="str">
        <f>IF(S19="","",VLOOKUP($S19,dropdown!$S$3:$T$15,2,FALSE))</f>
        <v/>
      </c>
    </row>
    <row r="30" spans="2:24" x14ac:dyDescent="0.2">
      <c r="I30" s="198">
        <f t="shared" si="0"/>
        <v>23</v>
      </c>
      <c r="J30" s="402" t="s">
        <v>38</v>
      </c>
      <c r="K30" s="57" t="s">
        <v>200</v>
      </c>
      <c r="L30" s="18" t="str">
        <f>IF(water_in[[#This Row],[Month]]&lt;&gt;"",VLOOKUP(water_in[[#This Row],[Month]], dropdown!$S$4:$T$15, 2, FALSE),"")</f>
        <v>Q4</v>
      </c>
      <c r="M30" s="57" t="s">
        <v>127</v>
      </c>
      <c r="N30" s="28">
        <v>27</v>
      </c>
      <c r="O30" s="199" t="s">
        <v>252</v>
      </c>
      <c r="Q30" s="198" t="str">
        <f t="shared" si="1"/>
        <v/>
      </c>
      <c r="R30" s="402"/>
      <c r="S30" s="57"/>
      <c r="T30" s="18" t="str">
        <f>IF(water_out[[#This Row],[Month]]&lt;&gt;"",VLOOKUP(water_out[[#This Row],[Month]], dropdown!$S$4:$T$15, 2, FALSE),"")</f>
        <v/>
      </c>
      <c r="U30" s="59"/>
      <c r="V30" s="28"/>
      <c r="W30" s="376"/>
      <c r="X30" s="43" t="str">
        <f>IF(S20="","",VLOOKUP($S20,dropdown!$S$3:$T$15,2,FALSE))</f>
        <v/>
      </c>
    </row>
    <row r="31" spans="2:24" x14ac:dyDescent="0.2">
      <c r="I31" s="198">
        <f t="shared" si="0"/>
        <v>24</v>
      </c>
      <c r="J31" s="402" t="s">
        <v>38</v>
      </c>
      <c r="K31" s="57" t="s">
        <v>185</v>
      </c>
      <c r="L31" s="18" t="str">
        <f>IF(water_in[[#This Row],[Month]]&lt;&gt;"",VLOOKUP(water_in[[#This Row],[Month]], dropdown!$S$4:$T$15, 2, FALSE),"")</f>
        <v>Q4</v>
      </c>
      <c r="M31" s="57" t="s">
        <v>127</v>
      </c>
      <c r="N31" s="28">
        <v>103</v>
      </c>
      <c r="O31" s="199" t="s">
        <v>252</v>
      </c>
      <c r="Q31" s="198" t="str">
        <f t="shared" si="1"/>
        <v/>
      </c>
      <c r="R31" s="402"/>
      <c r="S31" s="57"/>
      <c r="T31" s="18" t="str">
        <f>IF(water_out[[#This Row],[Month]]&lt;&gt;"",VLOOKUP(water_out[[#This Row],[Month]], dropdown!$S$4:$T$15, 2, FALSE),"")</f>
        <v/>
      </c>
      <c r="U31" s="59"/>
      <c r="V31" s="28"/>
      <c r="W31" s="376"/>
      <c r="X31" s="43" t="str">
        <f>IF(S21="","",VLOOKUP($S21,dropdown!$S$3:$T$15,2,FALSE))</f>
        <v/>
      </c>
    </row>
    <row r="32" spans="2:24" x14ac:dyDescent="0.2">
      <c r="I32" s="198">
        <f t="shared" si="0"/>
        <v>25</v>
      </c>
      <c r="J32" s="402" t="s">
        <v>38</v>
      </c>
      <c r="K32" s="57" t="s">
        <v>193</v>
      </c>
      <c r="L32" s="18" t="str">
        <f>IF(water_in[[#This Row],[Month]]&lt;&gt;"",VLOOKUP(water_in[[#This Row],[Month]], dropdown!$S$4:$T$15, 2, FALSE),"")</f>
        <v>Q1</v>
      </c>
      <c r="M32" s="57" t="s">
        <v>127</v>
      </c>
      <c r="N32" s="28">
        <v>529</v>
      </c>
      <c r="O32" s="199" t="s">
        <v>253</v>
      </c>
      <c r="Q32" s="198" t="str">
        <f t="shared" si="1"/>
        <v/>
      </c>
      <c r="R32" s="402"/>
      <c r="S32" s="57"/>
      <c r="T32" s="18" t="str">
        <f>IF(water_out[[#This Row],[Month]]&lt;&gt;"",VLOOKUP(water_out[[#This Row],[Month]], dropdown!$S$4:$T$15, 2, FALSE),"")</f>
        <v/>
      </c>
      <c r="U32" s="59"/>
      <c r="V32" s="28"/>
      <c r="W32" s="376"/>
      <c r="X32" s="43" t="str">
        <f>IF(S22="","",VLOOKUP($S22,dropdown!$S$3:$T$15,2,FALSE))</f>
        <v/>
      </c>
    </row>
    <row r="33" spans="9:24" x14ac:dyDescent="0.2">
      <c r="I33" s="198">
        <f t="shared" si="0"/>
        <v>26</v>
      </c>
      <c r="J33" s="402" t="s">
        <v>38</v>
      </c>
      <c r="K33" s="57" t="s">
        <v>92</v>
      </c>
      <c r="L33" s="18" t="str">
        <f>IF(water_in[[#This Row],[Month]]&lt;&gt;"",VLOOKUP(water_in[[#This Row],[Month]], dropdown!$S$4:$T$15, 2, FALSE),"")</f>
        <v>Q1</v>
      </c>
      <c r="M33" s="57" t="s">
        <v>127</v>
      </c>
      <c r="N33" s="28">
        <v>669</v>
      </c>
      <c r="O33" s="199" t="s">
        <v>253</v>
      </c>
      <c r="Q33" s="198" t="str">
        <f t="shared" si="1"/>
        <v/>
      </c>
      <c r="R33" s="402"/>
      <c r="S33" s="57"/>
      <c r="T33" s="18" t="str">
        <f>IF(water_out[[#This Row],[Month]]&lt;&gt;"",VLOOKUP(water_out[[#This Row],[Month]], dropdown!$S$4:$T$15, 2, FALSE),"")</f>
        <v/>
      </c>
      <c r="U33" s="59"/>
      <c r="V33" s="28"/>
      <c r="W33" s="376"/>
      <c r="X33" s="43" t="str">
        <f>IF(S23="","",VLOOKUP($S23,dropdown!$S$3:$T$15,2,FALSE))</f>
        <v/>
      </c>
    </row>
    <row r="34" spans="9:24" x14ac:dyDescent="0.2">
      <c r="I34" s="198">
        <f t="shared" si="0"/>
        <v>27</v>
      </c>
      <c r="J34" s="402" t="s">
        <v>38</v>
      </c>
      <c r="K34" s="57" t="s">
        <v>180</v>
      </c>
      <c r="L34" s="18" t="str">
        <f>IF(water_in[[#This Row],[Month]]&lt;&gt;"",VLOOKUP(water_in[[#This Row],[Month]], dropdown!$S$4:$T$15, 2, FALSE),"")</f>
        <v>Q1</v>
      </c>
      <c r="M34" s="57" t="s">
        <v>127</v>
      </c>
      <c r="N34" s="28">
        <v>455</v>
      </c>
      <c r="O34" s="199" t="s">
        <v>253</v>
      </c>
      <c r="Q34" s="198" t="str">
        <f t="shared" si="1"/>
        <v/>
      </c>
      <c r="R34" s="402"/>
      <c r="S34" s="57"/>
      <c r="T34" s="18" t="str">
        <f>IF(water_out[[#This Row],[Month]]&lt;&gt;"",VLOOKUP(water_out[[#This Row],[Month]], dropdown!$S$4:$T$15, 2, FALSE),"")</f>
        <v/>
      </c>
      <c r="U34" s="59"/>
      <c r="V34" s="28"/>
      <c r="W34" s="376"/>
      <c r="X34" s="43" t="str">
        <f>IF(S24="","",VLOOKUP($S24,dropdown!$S$3:$T$15,2,FALSE))</f>
        <v/>
      </c>
    </row>
    <row r="35" spans="9:24" x14ac:dyDescent="0.2">
      <c r="I35" s="198">
        <f t="shared" si="0"/>
        <v>28</v>
      </c>
      <c r="J35" s="402" t="s">
        <v>38</v>
      </c>
      <c r="K35" s="57" t="s">
        <v>196</v>
      </c>
      <c r="L35" s="18" t="str">
        <f>IF(water_in[[#This Row],[Month]]&lt;&gt;"",VLOOKUP(water_in[[#This Row],[Month]], dropdown!$S$4:$T$15, 2, FALSE),"")</f>
        <v>Q2</v>
      </c>
      <c r="M35" s="57" t="s">
        <v>127</v>
      </c>
      <c r="N35" s="28">
        <v>620</v>
      </c>
      <c r="O35" s="199" t="s">
        <v>253</v>
      </c>
      <c r="Q35" s="198" t="str">
        <f t="shared" si="1"/>
        <v/>
      </c>
      <c r="R35" s="402"/>
      <c r="S35" s="57"/>
      <c r="T35" s="18" t="str">
        <f>IF(water_out[[#This Row],[Month]]&lt;&gt;"",VLOOKUP(water_out[[#This Row],[Month]], dropdown!$S$4:$T$15, 2, FALSE),"")</f>
        <v/>
      </c>
      <c r="U35" s="59"/>
      <c r="V35" s="28"/>
      <c r="W35" s="376"/>
      <c r="X35" s="43" t="str">
        <f>IF(S25="","",VLOOKUP($S25,dropdown!$S$3:$T$15,2,FALSE))</f>
        <v/>
      </c>
    </row>
    <row r="36" spans="9:24" x14ac:dyDescent="0.2">
      <c r="I36" s="198">
        <f t="shared" si="0"/>
        <v>29</v>
      </c>
      <c r="J36" s="402" t="s">
        <v>38</v>
      </c>
      <c r="K36" s="57" t="s">
        <v>197</v>
      </c>
      <c r="L36" s="18" t="str">
        <f>IF(water_in[[#This Row],[Month]]&lt;&gt;"",VLOOKUP(water_in[[#This Row],[Month]], dropdown!$S$4:$T$15, 2, FALSE),"")</f>
        <v>Q2</v>
      </c>
      <c r="M36" s="57" t="s">
        <v>127</v>
      </c>
      <c r="N36" s="28">
        <v>428</v>
      </c>
      <c r="O36" s="199" t="s">
        <v>253</v>
      </c>
      <c r="Q36" s="198" t="str">
        <f t="shared" si="1"/>
        <v/>
      </c>
      <c r="R36" s="402"/>
      <c r="S36" s="57"/>
      <c r="T36" s="18" t="str">
        <f>IF(water_out[[#This Row],[Month]]&lt;&gt;"",VLOOKUP(water_out[[#This Row],[Month]], dropdown!$S$4:$T$15, 2, FALSE),"")</f>
        <v/>
      </c>
      <c r="U36" s="59"/>
      <c r="V36" s="28"/>
      <c r="W36" s="376"/>
      <c r="X36" s="43" t="str">
        <f>IF(S26="","",VLOOKUP($S26,dropdown!$S$3:$T$15,2,FALSE))</f>
        <v/>
      </c>
    </row>
    <row r="37" spans="9:24" x14ac:dyDescent="0.2">
      <c r="I37" s="198">
        <f t="shared" si="0"/>
        <v>30</v>
      </c>
      <c r="J37" s="402" t="s">
        <v>38</v>
      </c>
      <c r="K37" s="57" t="s">
        <v>183</v>
      </c>
      <c r="L37" s="18" t="str">
        <f>IF(water_in[[#This Row],[Month]]&lt;&gt;"",VLOOKUP(water_in[[#This Row],[Month]], dropdown!$S$4:$T$15, 2, FALSE),"")</f>
        <v>Q2</v>
      </c>
      <c r="M37" s="57" t="s">
        <v>127</v>
      </c>
      <c r="N37" s="28">
        <v>349</v>
      </c>
      <c r="O37" s="199" t="s">
        <v>253</v>
      </c>
      <c r="Q37" s="198" t="str">
        <f t="shared" si="1"/>
        <v/>
      </c>
      <c r="R37" s="402"/>
      <c r="S37" s="57"/>
      <c r="T37" s="18" t="str">
        <f>IF(water_out[[#This Row],[Month]]&lt;&gt;"",VLOOKUP(water_out[[#This Row],[Month]], dropdown!$S$4:$T$15, 2, FALSE),"")</f>
        <v/>
      </c>
      <c r="U37" s="59"/>
      <c r="V37" s="28"/>
      <c r="W37" s="376"/>
      <c r="X37" s="20"/>
    </row>
    <row r="38" spans="9:24" x14ac:dyDescent="0.2">
      <c r="I38" s="198">
        <f t="shared" si="0"/>
        <v>31</v>
      </c>
      <c r="J38" s="402" t="s">
        <v>38</v>
      </c>
      <c r="K38" s="57" t="s">
        <v>198</v>
      </c>
      <c r="L38" s="18" t="str">
        <f>IF(water_in[[#This Row],[Month]]&lt;&gt;"",VLOOKUP(water_in[[#This Row],[Month]], dropdown!$S$4:$T$15, 2, FALSE),"")</f>
        <v>Q3</v>
      </c>
      <c r="M38" s="57" t="s">
        <v>127</v>
      </c>
      <c r="N38" s="28">
        <v>396</v>
      </c>
      <c r="O38" s="199" t="s">
        <v>253</v>
      </c>
      <c r="Q38" s="198" t="str">
        <f t="shared" si="1"/>
        <v/>
      </c>
      <c r="R38" s="402"/>
      <c r="S38" s="57"/>
      <c r="T38" s="18" t="str">
        <f>IF(water_out[[#This Row],[Month]]&lt;&gt;"",VLOOKUP(water_out[[#This Row],[Month]], dropdown!$S$4:$T$15, 2, FALSE),"")</f>
        <v/>
      </c>
      <c r="U38" s="59"/>
      <c r="V38" s="28"/>
      <c r="W38" s="376"/>
      <c r="X38" s="20"/>
    </row>
    <row r="39" spans="9:24" x14ac:dyDescent="0.2">
      <c r="I39" s="198">
        <f t="shared" si="0"/>
        <v>32</v>
      </c>
      <c r="J39" s="402" t="s">
        <v>38</v>
      </c>
      <c r="K39" s="57" t="s">
        <v>45</v>
      </c>
      <c r="L39" s="18" t="str">
        <f>IF(water_in[[#This Row],[Month]]&lt;&gt;"",VLOOKUP(water_in[[#This Row],[Month]], dropdown!$S$4:$T$15, 2, FALSE),"")</f>
        <v>Q3</v>
      </c>
      <c r="M39" s="57" t="s">
        <v>127</v>
      </c>
      <c r="N39" s="28">
        <v>371</v>
      </c>
      <c r="O39" s="199" t="s">
        <v>253</v>
      </c>
      <c r="Q39" s="198" t="str">
        <f t="shared" si="1"/>
        <v/>
      </c>
      <c r="R39" s="402"/>
      <c r="S39" s="57"/>
      <c r="T39" s="18" t="str">
        <f>IF(water_out[[#This Row],[Month]]&lt;&gt;"",VLOOKUP(water_out[[#This Row],[Month]], dropdown!$S$4:$T$15, 2, FALSE),"")</f>
        <v/>
      </c>
      <c r="U39" s="59"/>
      <c r="V39" s="28"/>
      <c r="W39" s="376"/>
      <c r="X39" s="20"/>
    </row>
    <row r="40" spans="9:24" x14ac:dyDescent="0.2">
      <c r="I40" s="198">
        <f t="shared" si="0"/>
        <v>33</v>
      </c>
      <c r="J40" s="402" t="s">
        <v>38</v>
      </c>
      <c r="K40" s="57" t="s">
        <v>184</v>
      </c>
      <c r="L40" s="18" t="str">
        <f>IF(water_in[[#This Row],[Month]]&lt;&gt;"",VLOOKUP(water_in[[#This Row],[Month]], dropdown!$S$4:$T$15, 2, FALSE),"")</f>
        <v>Q3</v>
      </c>
      <c r="M40" s="57" t="s">
        <v>127</v>
      </c>
      <c r="N40" s="28">
        <v>474</v>
      </c>
      <c r="O40" s="199" t="s">
        <v>253</v>
      </c>
      <c r="Q40" s="198" t="str">
        <f t="shared" si="1"/>
        <v/>
      </c>
      <c r="R40" s="402"/>
      <c r="S40" s="57"/>
      <c r="T40" s="18" t="str">
        <f>IF(water_out[[#This Row],[Month]]&lt;&gt;"",VLOOKUP(water_out[[#This Row],[Month]], dropdown!$S$4:$T$15, 2, FALSE),"")</f>
        <v/>
      </c>
      <c r="U40" s="59"/>
      <c r="V40" s="28"/>
      <c r="W40" s="376"/>
      <c r="X40" s="20"/>
    </row>
    <row r="41" spans="9:24" x14ac:dyDescent="0.2">
      <c r="I41" s="198">
        <f t="shared" si="0"/>
        <v>34</v>
      </c>
      <c r="J41" s="402" t="s">
        <v>38</v>
      </c>
      <c r="K41" s="57" t="s">
        <v>199</v>
      </c>
      <c r="L41" s="18" t="str">
        <f>IF(water_in[[#This Row],[Month]]&lt;&gt;"",VLOOKUP(water_in[[#This Row],[Month]], dropdown!$S$4:$T$15, 2, FALSE),"")</f>
        <v>Q4</v>
      </c>
      <c r="M41" s="57" t="s">
        <v>127</v>
      </c>
      <c r="N41" s="28">
        <v>520</v>
      </c>
      <c r="O41" s="199" t="s">
        <v>253</v>
      </c>
      <c r="Q41" s="198" t="str">
        <f t="shared" si="1"/>
        <v/>
      </c>
      <c r="R41" s="402"/>
      <c r="S41" s="57"/>
      <c r="T41" s="18" t="str">
        <f>IF(water_out[[#This Row],[Month]]&lt;&gt;"",VLOOKUP(water_out[[#This Row],[Month]], dropdown!$S$4:$T$15, 2, FALSE),"")</f>
        <v/>
      </c>
      <c r="U41" s="59"/>
      <c r="V41" s="28"/>
      <c r="W41" s="376"/>
      <c r="X41" s="20"/>
    </row>
    <row r="42" spans="9:24" x14ac:dyDescent="0.2">
      <c r="I42" s="198">
        <f t="shared" si="0"/>
        <v>35</v>
      </c>
      <c r="J42" s="402" t="s">
        <v>38</v>
      </c>
      <c r="K42" s="57" t="s">
        <v>200</v>
      </c>
      <c r="L42" s="18" t="str">
        <f>IF(water_in[[#This Row],[Month]]&lt;&gt;"",VLOOKUP(water_in[[#This Row],[Month]], dropdown!$S$4:$T$15, 2, FALSE),"")</f>
        <v>Q4</v>
      </c>
      <c r="M42" s="57" t="s">
        <v>127</v>
      </c>
      <c r="N42" s="28">
        <v>632</v>
      </c>
      <c r="O42" s="199" t="s">
        <v>253</v>
      </c>
      <c r="Q42" s="198" t="str">
        <f t="shared" si="1"/>
        <v/>
      </c>
      <c r="R42" s="402"/>
      <c r="S42" s="57"/>
      <c r="T42" s="18" t="str">
        <f>IF(water_out[[#This Row],[Month]]&lt;&gt;"",VLOOKUP(water_out[[#This Row],[Month]], dropdown!$S$4:$T$15, 2, FALSE),"")</f>
        <v/>
      </c>
      <c r="U42" s="59"/>
      <c r="V42" s="28"/>
      <c r="W42" s="376"/>
      <c r="X42" s="20"/>
    </row>
    <row r="43" spans="9:24" x14ac:dyDescent="0.2">
      <c r="I43" s="198">
        <f t="shared" si="0"/>
        <v>36</v>
      </c>
      <c r="J43" s="402" t="s">
        <v>38</v>
      </c>
      <c r="K43" s="57" t="s">
        <v>185</v>
      </c>
      <c r="L43" s="18" t="str">
        <f>IF(water_in[[#This Row],[Month]]&lt;&gt;"",VLOOKUP(water_in[[#This Row],[Month]], dropdown!$S$4:$T$15, 2, FALSE),"")</f>
        <v>Q4</v>
      </c>
      <c r="M43" s="57" t="s">
        <v>127</v>
      </c>
      <c r="N43" s="28">
        <v>606</v>
      </c>
      <c r="O43" s="199" t="s">
        <v>253</v>
      </c>
      <c r="Q43" s="198" t="str">
        <f t="shared" si="1"/>
        <v/>
      </c>
      <c r="R43" s="402"/>
      <c r="S43" s="57"/>
      <c r="T43" s="18" t="str">
        <f>IF(water_out[[#This Row],[Month]]&lt;&gt;"",VLOOKUP(water_out[[#This Row],[Month]], dropdown!$S$4:$T$15, 2, FALSE),"")</f>
        <v/>
      </c>
      <c r="U43" s="59"/>
      <c r="V43" s="28"/>
      <c r="W43" s="376"/>
      <c r="X43" s="20"/>
    </row>
    <row r="44" spans="9:24" x14ac:dyDescent="0.2">
      <c r="I44" s="198">
        <f t="shared" si="0"/>
        <v>37</v>
      </c>
      <c r="J44" s="402" t="s">
        <v>38</v>
      </c>
      <c r="K44" s="57" t="s">
        <v>193</v>
      </c>
      <c r="L44" s="18" t="str">
        <f>IF(water_in[[#This Row],[Month]]&lt;&gt;"",VLOOKUP(water_in[[#This Row],[Month]], dropdown!$S$4:$T$15, 2, FALSE),"")</f>
        <v>Q1</v>
      </c>
      <c r="M44" s="57" t="s">
        <v>127</v>
      </c>
      <c r="N44" s="28">
        <v>67</v>
      </c>
      <c r="O44" s="199" t="s">
        <v>254</v>
      </c>
      <c r="Q44" s="198" t="str">
        <f t="shared" si="1"/>
        <v/>
      </c>
      <c r="R44" s="402"/>
      <c r="S44" s="57"/>
      <c r="T44" s="18" t="str">
        <f>IF(water_out[[#This Row],[Month]]&lt;&gt;"",VLOOKUP(water_out[[#This Row],[Month]], dropdown!$S$4:$T$15, 2, FALSE),"")</f>
        <v/>
      </c>
      <c r="U44" s="59"/>
      <c r="V44" s="28"/>
      <c r="W44" s="376"/>
      <c r="X44" s="20"/>
    </row>
    <row r="45" spans="9:24" x14ac:dyDescent="0.2">
      <c r="I45" s="198">
        <f t="shared" si="0"/>
        <v>38</v>
      </c>
      <c r="J45" s="402" t="s">
        <v>38</v>
      </c>
      <c r="K45" s="57" t="s">
        <v>92</v>
      </c>
      <c r="L45" s="18" t="str">
        <f>IF(water_in[[#This Row],[Month]]&lt;&gt;"",VLOOKUP(water_in[[#This Row],[Month]], dropdown!$S$4:$T$15, 2, FALSE),"")</f>
        <v>Q1</v>
      </c>
      <c r="M45" s="57" t="s">
        <v>127</v>
      </c>
      <c r="N45" s="28">
        <v>64</v>
      </c>
      <c r="O45" s="199" t="s">
        <v>254</v>
      </c>
      <c r="Q45" s="198" t="str">
        <f t="shared" si="1"/>
        <v/>
      </c>
      <c r="R45" s="402"/>
      <c r="S45" s="57"/>
      <c r="T45" s="18" t="str">
        <f>IF(water_out[[#This Row],[Month]]&lt;&gt;"",VLOOKUP(water_out[[#This Row],[Month]], dropdown!$S$4:$T$15, 2, FALSE),"")</f>
        <v/>
      </c>
      <c r="U45" s="59"/>
      <c r="V45" s="28"/>
      <c r="W45" s="376"/>
      <c r="X45" s="20"/>
    </row>
    <row r="46" spans="9:24" x14ac:dyDescent="0.2">
      <c r="I46" s="198">
        <f t="shared" si="0"/>
        <v>39</v>
      </c>
      <c r="J46" s="402" t="s">
        <v>38</v>
      </c>
      <c r="K46" s="57" t="s">
        <v>180</v>
      </c>
      <c r="L46" s="18" t="str">
        <f>IF(water_in[[#This Row],[Month]]&lt;&gt;"",VLOOKUP(water_in[[#This Row],[Month]], dropdown!$S$4:$T$15, 2, FALSE),"")</f>
        <v>Q1</v>
      </c>
      <c r="M46" s="57" t="s">
        <v>127</v>
      </c>
      <c r="N46" s="28">
        <v>63</v>
      </c>
      <c r="O46" s="199" t="s">
        <v>254</v>
      </c>
      <c r="Q46" s="198" t="str">
        <f t="shared" si="1"/>
        <v/>
      </c>
      <c r="R46" s="402"/>
      <c r="S46" s="57"/>
      <c r="T46" s="18" t="str">
        <f>IF(water_out[[#This Row],[Month]]&lt;&gt;"",VLOOKUP(water_out[[#This Row],[Month]], dropdown!$S$4:$T$15, 2, FALSE),"")</f>
        <v/>
      </c>
      <c r="U46" s="59"/>
      <c r="V46" s="28"/>
      <c r="W46" s="376"/>
      <c r="X46" s="20"/>
    </row>
    <row r="47" spans="9:24" x14ac:dyDescent="0.2">
      <c r="I47" s="198">
        <f t="shared" si="0"/>
        <v>40</v>
      </c>
      <c r="J47" s="402" t="s">
        <v>38</v>
      </c>
      <c r="K47" s="57" t="s">
        <v>196</v>
      </c>
      <c r="L47" s="18" t="str">
        <f>IF(water_in[[#This Row],[Month]]&lt;&gt;"",VLOOKUP(water_in[[#This Row],[Month]], dropdown!$S$4:$T$15, 2, FALSE),"")</f>
        <v>Q2</v>
      </c>
      <c r="M47" s="57" t="s">
        <v>127</v>
      </c>
      <c r="N47" s="28">
        <v>72</v>
      </c>
      <c r="O47" s="199" t="s">
        <v>254</v>
      </c>
      <c r="Q47" s="198" t="str">
        <f t="shared" si="1"/>
        <v/>
      </c>
      <c r="R47" s="402"/>
      <c r="S47" s="57"/>
      <c r="T47" s="18" t="str">
        <f>IF(water_out[[#This Row],[Month]]&lt;&gt;"",VLOOKUP(water_out[[#This Row],[Month]], dropdown!$S$4:$T$15, 2, FALSE),"")</f>
        <v/>
      </c>
      <c r="U47" s="59"/>
      <c r="V47" s="28"/>
      <c r="W47" s="376"/>
      <c r="X47" s="20"/>
    </row>
    <row r="48" spans="9:24" x14ac:dyDescent="0.2">
      <c r="I48" s="198">
        <f t="shared" si="0"/>
        <v>41</v>
      </c>
      <c r="J48" s="402" t="s">
        <v>38</v>
      </c>
      <c r="K48" s="57" t="s">
        <v>197</v>
      </c>
      <c r="L48" s="18" t="str">
        <f>IF(water_in[[#This Row],[Month]]&lt;&gt;"",VLOOKUP(water_in[[#This Row],[Month]], dropdown!$S$4:$T$15, 2, FALSE),"")</f>
        <v>Q2</v>
      </c>
      <c r="M48" s="57" t="s">
        <v>127</v>
      </c>
      <c r="N48" s="28">
        <v>57</v>
      </c>
      <c r="O48" s="199" t="s">
        <v>254</v>
      </c>
      <c r="Q48" s="198" t="str">
        <f t="shared" si="1"/>
        <v/>
      </c>
      <c r="R48" s="402"/>
      <c r="S48" s="57"/>
      <c r="T48" s="18" t="str">
        <f>IF(water_out[[#This Row],[Month]]&lt;&gt;"",VLOOKUP(water_out[[#This Row],[Month]], dropdown!$S$4:$T$15, 2, FALSE),"")</f>
        <v/>
      </c>
      <c r="U48" s="59"/>
      <c r="V48" s="28"/>
      <c r="W48" s="376"/>
      <c r="X48" s="20"/>
    </row>
    <row r="49" spans="9:24" x14ac:dyDescent="0.2">
      <c r="I49" s="198">
        <f t="shared" si="0"/>
        <v>42</v>
      </c>
      <c r="J49" s="402" t="s">
        <v>38</v>
      </c>
      <c r="K49" s="57" t="s">
        <v>183</v>
      </c>
      <c r="L49" s="18" t="str">
        <f>IF(water_in[[#This Row],[Month]]&lt;&gt;"",VLOOKUP(water_in[[#This Row],[Month]], dropdown!$S$4:$T$15, 2, FALSE),"")</f>
        <v>Q2</v>
      </c>
      <c r="M49" s="57" t="s">
        <v>127</v>
      </c>
      <c r="N49" s="28">
        <v>53</v>
      </c>
      <c r="O49" s="199" t="s">
        <v>254</v>
      </c>
      <c r="Q49" s="198" t="str">
        <f t="shared" si="1"/>
        <v/>
      </c>
      <c r="R49" s="402"/>
      <c r="S49" s="57"/>
      <c r="T49" s="18" t="str">
        <f>IF(water_out[[#This Row],[Month]]&lt;&gt;"",VLOOKUP(water_out[[#This Row],[Month]], dropdown!$S$4:$T$15, 2, FALSE),"")</f>
        <v/>
      </c>
      <c r="U49" s="59"/>
      <c r="V49" s="28"/>
      <c r="W49" s="376"/>
      <c r="X49" s="20"/>
    </row>
    <row r="50" spans="9:24" x14ac:dyDescent="0.2">
      <c r="I50" s="198">
        <f t="shared" si="0"/>
        <v>43</v>
      </c>
      <c r="J50" s="402" t="s">
        <v>38</v>
      </c>
      <c r="K50" s="57" t="s">
        <v>198</v>
      </c>
      <c r="L50" s="18" t="str">
        <f>IF(water_in[[#This Row],[Month]]&lt;&gt;"",VLOOKUP(water_in[[#This Row],[Month]], dropdown!$S$4:$T$15, 2, FALSE),"")</f>
        <v>Q3</v>
      </c>
      <c r="M50" s="57" t="s">
        <v>127</v>
      </c>
      <c r="N50" s="28">
        <v>56</v>
      </c>
      <c r="O50" s="199" t="s">
        <v>254</v>
      </c>
      <c r="Q50" s="198" t="str">
        <f t="shared" si="1"/>
        <v/>
      </c>
      <c r="R50" s="402"/>
      <c r="S50" s="57"/>
      <c r="T50" s="18" t="str">
        <f>IF(water_out[[#This Row],[Month]]&lt;&gt;"",VLOOKUP(water_out[[#This Row],[Month]], dropdown!$S$4:$T$15, 2, FALSE),"")</f>
        <v/>
      </c>
      <c r="U50" s="59"/>
      <c r="V50" s="28"/>
      <c r="W50" s="376"/>
      <c r="X50" s="20"/>
    </row>
    <row r="51" spans="9:24" x14ac:dyDescent="0.2">
      <c r="I51" s="198">
        <f t="shared" si="0"/>
        <v>44</v>
      </c>
      <c r="J51" s="402" t="s">
        <v>38</v>
      </c>
      <c r="K51" s="57" t="s">
        <v>45</v>
      </c>
      <c r="L51" s="18" t="str">
        <f>IF(water_in[[#This Row],[Month]]&lt;&gt;"",VLOOKUP(water_in[[#This Row],[Month]], dropdown!$S$4:$T$15, 2, FALSE),"")</f>
        <v>Q3</v>
      </c>
      <c r="M51" s="57" t="s">
        <v>127</v>
      </c>
      <c r="N51" s="28">
        <v>73</v>
      </c>
      <c r="O51" s="199" t="s">
        <v>254</v>
      </c>
      <c r="Q51" s="198" t="str">
        <f t="shared" si="1"/>
        <v/>
      </c>
      <c r="R51" s="402"/>
      <c r="S51" s="57"/>
      <c r="T51" s="18" t="str">
        <f>IF(water_out[[#This Row],[Month]]&lt;&gt;"",VLOOKUP(water_out[[#This Row],[Month]], dropdown!$S$4:$T$15, 2, FALSE),"")</f>
        <v/>
      </c>
      <c r="U51" s="59"/>
      <c r="V51" s="28"/>
      <c r="W51" s="376"/>
      <c r="X51" s="20"/>
    </row>
    <row r="52" spans="9:24" x14ac:dyDescent="0.2">
      <c r="I52" s="198">
        <f t="shared" si="0"/>
        <v>45</v>
      </c>
      <c r="J52" s="402" t="s">
        <v>38</v>
      </c>
      <c r="K52" s="57" t="s">
        <v>184</v>
      </c>
      <c r="L52" s="18" t="str">
        <f>IF(water_in[[#This Row],[Month]]&lt;&gt;"",VLOOKUP(water_in[[#This Row],[Month]], dropdown!$S$4:$T$15, 2, FALSE),"")</f>
        <v>Q3</v>
      </c>
      <c r="M52" s="57" t="s">
        <v>127</v>
      </c>
      <c r="N52" s="28">
        <v>76</v>
      </c>
      <c r="O52" s="199" t="s">
        <v>254</v>
      </c>
      <c r="Q52" s="198" t="str">
        <f t="shared" si="1"/>
        <v/>
      </c>
      <c r="R52" s="402"/>
      <c r="S52" s="57"/>
      <c r="T52" s="18" t="str">
        <f>IF(water_out[[#This Row],[Month]]&lt;&gt;"",VLOOKUP(water_out[[#This Row],[Month]], dropdown!$S$4:$T$15, 2, FALSE),"")</f>
        <v/>
      </c>
      <c r="U52" s="59"/>
      <c r="V52" s="28"/>
      <c r="W52" s="376"/>
      <c r="X52" s="20"/>
    </row>
    <row r="53" spans="9:24" x14ac:dyDescent="0.2">
      <c r="I53" s="198">
        <f t="shared" si="0"/>
        <v>46</v>
      </c>
      <c r="J53" s="402" t="s">
        <v>38</v>
      </c>
      <c r="K53" s="57" t="s">
        <v>199</v>
      </c>
      <c r="L53" s="18" t="str">
        <f>IF(water_in[[#This Row],[Month]]&lt;&gt;"",VLOOKUP(water_in[[#This Row],[Month]], dropdown!$S$4:$T$15, 2, FALSE),"")</f>
        <v>Q4</v>
      </c>
      <c r="M53" s="57" t="s">
        <v>127</v>
      </c>
      <c r="N53" s="28">
        <v>67</v>
      </c>
      <c r="O53" s="199" t="s">
        <v>254</v>
      </c>
      <c r="Q53" s="198" t="str">
        <f t="shared" si="1"/>
        <v/>
      </c>
      <c r="R53" s="402"/>
      <c r="S53" s="57"/>
      <c r="T53" s="18" t="str">
        <f>IF(water_out[[#This Row],[Month]]&lt;&gt;"",VLOOKUP(water_out[[#This Row],[Month]], dropdown!$S$4:$T$15, 2, FALSE),"")</f>
        <v/>
      </c>
      <c r="U53" s="59"/>
      <c r="V53" s="28"/>
      <c r="W53" s="376"/>
      <c r="X53" s="20"/>
    </row>
    <row r="54" spans="9:24" x14ac:dyDescent="0.2">
      <c r="I54" s="198">
        <f t="shared" si="0"/>
        <v>47</v>
      </c>
      <c r="J54" s="402" t="s">
        <v>38</v>
      </c>
      <c r="K54" s="57" t="s">
        <v>200</v>
      </c>
      <c r="L54" s="18" t="str">
        <f>IF(water_in[[#This Row],[Month]]&lt;&gt;"",VLOOKUP(water_in[[#This Row],[Month]], dropdown!$S$4:$T$15, 2, FALSE),"")</f>
        <v>Q4</v>
      </c>
      <c r="M54" s="57" t="s">
        <v>127</v>
      </c>
      <c r="N54" s="28">
        <v>134</v>
      </c>
      <c r="O54" s="199" t="s">
        <v>254</v>
      </c>
      <c r="Q54" s="198" t="str">
        <f t="shared" si="1"/>
        <v/>
      </c>
      <c r="R54" s="402"/>
      <c r="S54" s="57"/>
      <c r="T54" s="18" t="str">
        <f>IF(water_out[[#This Row],[Month]]&lt;&gt;"",VLOOKUP(water_out[[#This Row],[Month]], dropdown!$S$4:$T$15, 2, FALSE),"")</f>
        <v/>
      </c>
      <c r="U54" s="59"/>
      <c r="V54" s="28"/>
      <c r="W54" s="376"/>
      <c r="X54" s="20"/>
    </row>
    <row r="55" spans="9:24" x14ac:dyDescent="0.2">
      <c r="I55" s="198">
        <f t="shared" si="0"/>
        <v>48</v>
      </c>
      <c r="J55" s="402" t="s">
        <v>38</v>
      </c>
      <c r="K55" s="57" t="s">
        <v>185</v>
      </c>
      <c r="L55" s="18" t="str">
        <f>IF(water_in[[#This Row],[Month]]&lt;&gt;"",VLOOKUP(water_in[[#This Row],[Month]], dropdown!$S$4:$T$15, 2, FALSE),"")</f>
        <v>Q4</v>
      </c>
      <c r="M55" s="57" t="s">
        <v>127</v>
      </c>
      <c r="N55" s="28">
        <v>57</v>
      </c>
      <c r="O55" s="199" t="s">
        <v>254</v>
      </c>
      <c r="Q55" s="198" t="str">
        <f t="shared" si="1"/>
        <v/>
      </c>
      <c r="R55" s="402"/>
      <c r="S55" s="57"/>
      <c r="T55" s="18" t="str">
        <f>IF(water_out[[#This Row],[Month]]&lt;&gt;"",VLOOKUP(water_out[[#This Row],[Month]], dropdown!$S$4:$T$15, 2, FALSE),"")</f>
        <v/>
      </c>
      <c r="U55" s="59"/>
      <c r="V55" s="28"/>
      <c r="W55" s="376"/>
      <c r="X55" s="20"/>
    </row>
    <row r="56" spans="9:24" x14ac:dyDescent="0.2">
      <c r="I56" s="198" t="str">
        <f t="shared" ref="I56:I73" si="2">IF($N56="","",$I55+1)</f>
        <v/>
      </c>
      <c r="J56" s="402"/>
      <c r="K56" s="57"/>
      <c r="L56" s="18" t="str">
        <f>IF(water_in[[#This Row],[Month]]&lt;&gt;"",VLOOKUP(water_in[[#This Row],[Month]], dropdown!$S$4:$T$15, 2, FALSE),"")</f>
        <v/>
      </c>
      <c r="M56" s="57"/>
      <c r="N56" s="28"/>
      <c r="O56" s="199"/>
      <c r="Q56" s="198" t="str">
        <f t="shared" ref="Q56:Q72" si="3">IF($V56="","",$Q55+1)</f>
        <v/>
      </c>
      <c r="R56" s="402"/>
      <c r="S56" s="57"/>
      <c r="T56" s="18" t="str">
        <f>IF(water_out[[#This Row],[Month]]&lt;&gt;"",VLOOKUP(water_out[[#This Row],[Month]], dropdown!$S$4:$T$15, 2, FALSE),"")</f>
        <v/>
      </c>
      <c r="U56" s="59"/>
      <c r="V56" s="28"/>
      <c r="W56" s="376"/>
      <c r="X56" s="20"/>
    </row>
    <row r="57" spans="9:24" x14ac:dyDescent="0.2">
      <c r="I57" s="198" t="str">
        <f t="shared" si="2"/>
        <v/>
      </c>
      <c r="J57" s="402"/>
      <c r="K57" s="57"/>
      <c r="L57" s="18" t="str">
        <f>IF(water_in[[#This Row],[Month]]&lt;&gt;"",VLOOKUP(water_in[[#This Row],[Month]], dropdown!$S$4:$T$15, 2, FALSE),"")</f>
        <v/>
      </c>
      <c r="M57" s="57"/>
      <c r="N57" s="28"/>
      <c r="O57" s="199"/>
      <c r="Q57" s="198" t="str">
        <f t="shared" si="3"/>
        <v/>
      </c>
      <c r="R57" s="402"/>
      <c r="S57" s="57"/>
      <c r="T57" s="18" t="str">
        <f>IF(water_out[[#This Row],[Month]]&lt;&gt;"",VLOOKUP(water_out[[#This Row],[Month]], dropdown!$S$4:$T$15, 2, FALSE),"")</f>
        <v/>
      </c>
      <c r="U57" s="59"/>
      <c r="V57" s="28"/>
      <c r="W57" s="376"/>
      <c r="X57" s="20"/>
    </row>
    <row r="58" spans="9:24" x14ac:dyDescent="0.2">
      <c r="I58" s="198" t="str">
        <f t="shared" si="2"/>
        <v/>
      </c>
      <c r="J58" s="402"/>
      <c r="K58" s="57"/>
      <c r="L58" s="18" t="str">
        <f>IF(water_in[[#This Row],[Month]]&lt;&gt;"",VLOOKUP(water_in[[#This Row],[Month]], dropdown!$S$4:$T$15, 2, FALSE),"")</f>
        <v/>
      </c>
      <c r="M58" s="57"/>
      <c r="N58" s="28"/>
      <c r="O58" s="199"/>
      <c r="Q58" s="198" t="str">
        <f t="shared" si="3"/>
        <v/>
      </c>
      <c r="R58" s="402"/>
      <c r="S58" s="57"/>
      <c r="T58" s="18" t="str">
        <f>IF(water_out[[#This Row],[Month]]&lt;&gt;"",VLOOKUP(water_out[[#This Row],[Month]], dropdown!$S$4:$T$15, 2, FALSE),"")</f>
        <v/>
      </c>
      <c r="U58" s="59"/>
      <c r="V58" s="28"/>
      <c r="W58" s="376"/>
      <c r="X58" s="20"/>
    </row>
    <row r="59" spans="9:24" x14ac:dyDescent="0.2">
      <c r="I59" s="198" t="str">
        <f t="shared" si="2"/>
        <v/>
      </c>
      <c r="J59" s="402"/>
      <c r="K59" s="57"/>
      <c r="L59" s="18" t="str">
        <f>IF(water_in[[#This Row],[Month]]&lt;&gt;"",VLOOKUP(water_in[[#This Row],[Month]], dropdown!$S$4:$T$15, 2, FALSE),"")</f>
        <v/>
      </c>
      <c r="M59" s="57"/>
      <c r="N59" s="28"/>
      <c r="O59" s="199"/>
      <c r="Q59" s="198" t="str">
        <f t="shared" si="3"/>
        <v/>
      </c>
      <c r="R59" s="402"/>
      <c r="S59" s="57"/>
      <c r="T59" s="18" t="str">
        <f>IF(water_out[[#This Row],[Month]]&lt;&gt;"",VLOOKUP(water_out[[#This Row],[Month]], dropdown!$S$4:$T$15, 2, FALSE),"")</f>
        <v/>
      </c>
      <c r="U59" s="59"/>
      <c r="V59" s="28"/>
      <c r="W59" s="376"/>
      <c r="X59" s="20"/>
    </row>
    <row r="60" spans="9:24" x14ac:dyDescent="0.2">
      <c r="I60" s="198" t="str">
        <f t="shared" si="2"/>
        <v/>
      </c>
      <c r="J60" s="402"/>
      <c r="K60" s="57"/>
      <c r="L60" s="18" t="str">
        <f>IF(water_in[[#This Row],[Month]]&lt;&gt;"",VLOOKUP(water_in[[#This Row],[Month]], dropdown!$S$4:$T$15, 2, FALSE),"")</f>
        <v/>
      </c>
      <c r="M60" s="57"/>
      <c r="N60" s="28"/>
      <c r="O60" s="199"/>
      <c r="Q60" s="198" t="str">
        <f t="shared" si="3"/>
        <v/>
      </c>
      <c r="R60" s="402"/>
      <c r="S60" s="57"/>
      <c r="T60" s="18" t="str">
        <f>IF(water_out[[#This Row],[Month]]&lt;&gt;"",VLOOKUP(water_out[[#This Row],[Month]], dropdown!$S$4:$T$15, 2, FALSE),"")</f>
        <v/>
      </c>
      <c r="U60" s="59"/>
      <c r="V60" s="28"/>
      <c r="W60" s="376"/>
      <c r="X60" s="20"/>
    </row>
    <row r="61" spans="9:24" x14ac:dyDescent="0.2">
      <c r="I61" s="198" t="str">
        <f t="shared" si="2"/>
        <v/>
      </c>
      <c r="J61" s="402"/>
      <c r="K61" s="57"/>
      <c r="L61" s="18" t="str">
        <f>IF(water_in[[#This Row],[Month]]&lt;&gt;"",VLOOKUP(water_in[[#This Row],[Month]], dropdown!$S$4:$T$15, 2, FALSE),"")</f>
        <v/>
      </c>
      <c r="M61" s="57"/>
      <c r="N61" s="28"/>
      <c r="O61" s="199"/>
      <c r="Q61" s="198" t="str">
        <f t="shared" si="3"/>
        <v/>
      </c>
      <c r="R61" s="402"/>
      <c r="S61" s="57"/>
      <c r="T61" s="18" t="str">
        <f>IF(water_out[[#This Row],[Month]]&lt;&gt;"",VLOOKUP(water_out[[#This Row],[Month]], dropdown!$S$4:$T$15, 2, FALSE),"")</f>
        <v/>
      </c>
      <c r="U61" s="59"/>
      <c r="V61" s="28"/>
      <c r="W61" s="376"/>
      <c r="X61" s="20"/>
    </row>
    <row r="62" spans="9:24" x14ac:dyDescent="0.2">
      <c r="I62" s="198" t="str">
        <f t="shared" si="2"/>
        <v/>
      </c>
      <c r="J62" s="402"/>
      <c r="K62" s="57"/>
      <c r="L62" s="18" t="str">
        <f>IF(water_in[[#This Row],[Month]]&lt;&gt;"",VLOOKUP(water_in[[#This Row],[Month]], dropdown!$S$4:$T$15, 2, FALSE),"")</f>
        <v/>
      </c>
      <c r="M62" s="57"/>
      <c r="N62" s="28"/>
      <c r="O62" s="199"/>
      <c r="Q62" s="198" t="str">
        <f t="shared" si="3"/>
        <v/>
      </c>
      <c r="R62" s="402"/>
      <c r="S62" s="57"/>
      <c r="T62" s="18" t="str">
        <f>IF(water_out[[#This Row],[Month]]&lt;&gt;"",VLOOKUP(water_out[[#This Row],[Month]], dropdown!$S$4:$T$15, 2, FALSE),"")</f>
        <v/>
      </c>
      <c r="U62" s="59"/>
      <c r="V62" s="28"/>
      <c r="W62" s="376"/>
      <c r="X62" s="20"/>
    </row>
    <row r="63" spans="9:24" x14ac:dyDescent="0.2">
      <c r="I63" s="198" t="str">
        <f t="shared" si="2"/>
        <v/>
      </c>
      <c r="J63" s="402"/>
      <c r="K63" s="57"/>
      <c r="L63" s="18" t="str">
        <f>IF(water_in[[#This Row],[Month]]&lt;&gt;"",VLOOKUP(water_in[[#This Row],[Month]], dropdown!$S$4:$T$15, 2, FALSE),"")</f>
        <v/>
      </c>
      <c r="M63" s="57"/>
      <c r="N63" s="28"/>
      <c r="O63" s="199"/>
      <c r="Q63" s="198" t="str">
        <f t="shared" si="3"/>
        <v/>
      </c>
      <c r="R63" s="402"/>
      <c r="S63" s="57"/>
      <c r="T63" s="18" t="str">
        <f>IF(water_out[[#This Row],[Month]]&lt;&gt;"",VLOOKUP(water_out[[#This Row],[Month]], dropdown!$S$4:$T$15, 2, FALSE),"")</f>
        <v/>
      </c>
      <c r="U63" s="59"/>
      <c r="V63" s="28"/>
      <c r="W63" s="376"/>
      <c r="X63" s="20"/>
    </row>
    <row r="64" spans="9:24" x14ac:dyDescent="0.2">
      <c r="I64" s="198" t="str">
        <f t="shared" si="2"/>
        <v/>
      </c>
      <c r="J64" s="402"/>
      <c r="K64" s="57"/>
      <c r="L64" s="18" t="str">
        <f>IF(water_in[[#This Row],[Month]]&lt;&gt;"",VLOOKUP(water_in[[#This Row],[Month]], dropdown!$S$4:$T$15, 2, FALSE),"")</f>
        <v/>
      </c>
      <c r="M64" s="57"/>
      <c r="N64" s="28"/>
      <c r="O64" s="199"/>
      <c r="Q64" s="198" t="str">
        <f t="shared" si="3"/>
        <v/>
      </c>
      <c r="R64" s="402"/>
      <c r="S64" s="57"/>
      <c r="T64" s="18" t="str">
        <f>IF(water_out[[#This Row],[Month]]&lt;&gt;"",VLOOKUP(water_out[[#This Row],[Month]], dropdown!$S$4:$T$15, 2, FALSE),"")</f>
        <v/>
      </c>
      <c r="U64" s="59"/>
      <c r="V64" s="28"/>
      <c r="W64" s="376"/>
      <c r="X64" s="20"/>
    </row>
    <row r="65" spans="9:24" x14ac:dyDescent="0.2">
      <c r="I65" s="198" t="str">
        <f t="shared" si="2"/>
        <v/>
      </c>
      <c r="J65" s="402"/>
      <c r="K65" s="57"/>
      <c r="L65" s="18" t="str">
        <f>IF(water_in[[#This Row],[Month]]&lt;&gt;"",VLOOKUP(water_in[[#This Row],[Month]], dropdown!$S$4:$T$15, 2, FALSE),"")</f>
        <v/>
      </c>
      <c r="M65" s="57"/>
      <c r="N65" s="28"/>
      <c r="O65" s="199"/>
      <c r="Q65" s="198" t="str">
        <f t="shared" si="3"/>
        <v/>
      </c>
      <c r="R65" s="402"/>
      <c r="S65" s="57"/>
      <c r="T65" s="18" t="str">
        <f>IF(water_out[[#This Row],[Month]]&lt;&gt;"",VLOOKUP(water_out[[#This Row],[Month]], dropdown!$S$4:$T$15, 2, FALSE),"")</f>
        <v/>
      </c>
      <c r="U65" s="59"/>
      <c r="V65" s="28"/>
      <c r="W65" s="376"/>
      <c r="X65" s="20"/>
    </row>
    <row r="66" spans="9:24" x14ac:dyDescent="0.2">
      <c r="I66" s="198" t="str">
        <f t="shared" si="2"/>
        <v/>
      </c>
      <c r="J66" s="402"/>
      <c r="K66" s="57"/>
      <c r="L66" s="18" t="str">
        <f>IF(water_in[[#This Row],[Month]]&lt;&gt;"",VLOOKUP(water_in[[#This Row],[Month]], dropdown!$S$4:$T$15, 2, FALSE),"")</f>
        <v/>
      </c>
      <c r="M66" s="57"/>
      <c r="N66" s="28"/>
      <c r="O66" s="199"/>
      <c r="Q66" s="198" t="str">
        <f t="shared" si="3"/>
        <v/>
      </c>
      <c r="R66" s="402"/>
      <c r="S66" s="57"/>
      <c r="T66" s="18" t="str">
        <f>IF(water_out[[#This Row],[Month]]&lt;&gt;"",VLOOKUP(water_out[[#This Row],[Month]], dropdown!$S$4:$T$15, 2, FALSE),"")</f>
        <v/>
      </c>
      <c r="U66" s="59"/>
      <c r="V66" s="28"/>
      <c r="W66" s="376"/>
      <c r="X66" s="20"/>
    </row>
    <row r="67" spans="9:24" x14ac:dyDescent="0.2">
      <c r="I67" s="198" t="str">
        <f t="shared" si="2"/>
        <v/>
      </c>
      <c r="J67" s="402"/>
      <c r="K67" s="57"/>
      <c r="L67" s="18" t="str">
        <f>IF(water_in[[#This Row],[Month]]&lt;&gt;"",VLOOKUP(water_in[[#This Row],[Month]], dropdown!$S$4:$T$15, 2, FALSE),"")</f>
        <v/>
      </c>
      <c r="M67" s="57"/>
      <c r="N67" s="28"/>
      <c r="O67" s="199"/>
      <c r="Q67" s="198" t="str">
        <f t="shared" si="3"/>
        <v/>
      </c>
      <c r="R67" s="402"/>
      <c r="S67" s="57"/>
      <c r="T67" s="18" t="str">
        <f>IF(water_out[[#This Row],[Month]]&lt;&gt;"",VLOOKUP(water_out[[#This Row],[Month]], dropdown!$S$4:$T$15, 2, FALSE),"")</f>
        <v/>
      </c>
      <c r="U67" s="59"/>
      <c r="V67" s="28"/>
      <c r="W67" s="376"/>
      <c r="X67" s="20"/>
    </row>
    <row r="68" spans="9:24" x14ac:dyDescent="0.2">
      <c r="I68" s="198" t="str">
        <f t="shared" si="2"/>
        <v/>
      </c>
      <c r="J68" s="402"/>
      <c r="K68" s="57"/>
      <c r="L68" s="18" t="str">
        <f>IF(water_in[[#This Row],[Month]]&lt;&gt;"",VLOOKUP(water_in[[#This Row],[Month]], dropdown!$S$4:$T$15, 2, FALSE),"")</f>
        <v/>
      </c>
      <c r="M68" s="57"/>
      <c r="N68" s="28"/>
      <c r="O68" s="199"/>
      <c r="Q68" s="198" t="str">
        <f t="shared" si="3"/>
        <v/>
      </c>
      <c r="R68" s="402"/>
      <c r="S68" s="57"/>
      <c r="T68" s="18" t="str">
        <f>IF(water_out[[#This Row],[Month]]&lt;&gt;"",VLOOKUP(water_out[[#This Row],[Month]], dropdown!$S$4:$T$15, 2, FALSE),"")</f>
        <v/>
      </c>
      <c r="U68" s="59"/>
      <c r="V68" s="28"/>
      <c r="W68" s="376"/>
      <c r="X68" s="20"/>
    </row>
    <row r="69" spans="9:24" x14ac:dyDescent="0.2">
      <c r="I69" s="198" t="str">
        <f t="shared" si="2"/>
        <v/>
      </c>
      <c r="J69" s="402"/>
      <c r="K69" s="57"/>
      <c r="L69" s="18" t="str">
        <f>IF(water_in[[#This Row],[Month]]&lt;&gt;"",VLOOKUP(water_in[[#This Row],[Month]], dropdown!$S$4:$T$15, 2, FALSE),"")</f>
        <v/>
      </c>
      <c r="M69" s="57"/>
      <c r="N69" s="28"/>
      <c r="O69" s="199"/>
      <c r="Q69" s="198" t="str">
        <f t="shared" si="3"/>
        <v/>
      </c>
      <c r="R69" s="402"/>
      <c r="S69" s="57"/>
      <c r="T69" s="18" t="str">
        <f>IF(water_out[[#This Row],[Month]]&lt;&gt;"",VLOOKUP(water_out[[#This Row],[Month]], dropdown!$S$4:$T$15, 2, FALSE),"")</f>
        <v/>
      </c>
      <c r="U69" s="59"/>
      <c r="V69" s="28"/>
      <c r="W69" s="376"/>
      <c r="X69" s="20"/>
    </row>
    <row r="70" spans="9:24" x14ac:dyDescent="0.2">
      <c r="I70" s="198" t="str">
        <f t="shared" si="2"/>
        <v/>
      </c>
      <c r="J70" s="402"/>
      <c r="K70" s="57"/>
      <c r="L70" s="18" t="str">
        <f>IF(water_in[[#This Row],[Month]]&lt;&gt;"",VLOOKUP(water_in[[#This Row],[Month]], dropdown!$S$4:$T$15, 2, FALSE),"")</f>
        <v/>
      </c>
      <c r="M70" s="57"/>
      <c r="N70" s="28"/>
      <c r="O70" s="199"/>
      <c r="Q70" s="198" t="str">
        <f t="shared" si="3"/>
        <v/>
      </c>
      <c r="R70" s="402"/>
      <c r="S70" s="57"/>
      <c r="T70" s="18" t="str">
        <f>IF(water_out[[#This Row],[Month]]&lt;&gt;"",VLOOKUP(water_out[[#This Row],[Month]], dropdown!$S$4:$T$15, 2, FALSE),"")</f>
        <v/>
      </c>
      <c r="U70" s="59"/>
      <c r="V70" s="28"/>
      <c r="W70" s="376"/>
      <c r="X70" s="20"/>
    </row>
    <row r="71" spans="9:24" x14ac:dyDescent="0.2">
      <c r="I71" s="198" t="str">
        <f t="shared" si="2"/>
        <v/>
      </c>
      <c r="J71" s="402"/>
      <c r="K71" s="57"/>
      <c r="L71" s="18" t="str">
        <f>IF(water_in[[#This Row],[Month]]&lt;&gt;"",VLOOKUP(water_in[[#This Row],[Month]], dropdown!$S$4:$T$15, 2, FALSE),"")</f>
        <v/>
      </c>
      <c r="M71" s="57"/>
      <c r="N71" s="28"/>
      <c r="O71" s="199"/>
      <c r="Q71" s="198" t="str">
        <f t="shared" si="3"/>
        <v/>
      </c>
      <c r="R71" s="402"/>
      <c r="S71" s="57"/>
      <c r="T71" s="18" t="str">
        <f>IF(water_out[[#This Row],[Month]]&lt;&gt;"",VLOOKUP(water_out[[#This Row],[Month]], dropdown!$S$4:$T$15, 2, FALSE),"")</f>
        <v/>
      </c>
      <c r="U71" s="59"/>
      <c r="V71" s="28"/>
      <c r="W71" s="376"/>
      <c r="X71" s="20"/>
    </row>
    <row r="72" spans="9:24" x14ac:dyDescent="0.2">
      <c r="I72" s="198" t="str">
        <f t="shared" si="2"/>
        <v/>
      </c>
      <c r="J72" s="402"/>
      <c r="K72" s="57"/>
      <c r="L72" s="18" t="str">
        <f>IF(water_in[[#This Row],[Month]]&lt;&gt;"",VLOOKUP(water_in[[#This Row],[Month]], dropdown!$S$4:$T$15, 2, FALSE),"")</f>
        <v/>
      </c>
      <c r="M72" s="57"/>
      <c r="N72" s="28"/>
      <c r="O72" s="199"/>
      <c r="Q72" s="198" t="str">
        <f t="shared" si="3"/>
        <v/>
      </c>
      <c r="R72" s="402"/>
      <c r="S72" s="57"/>
      <c r="T72" s="18" t="str">
        <f>IF(water_out[[#This Row],[Month]]&lt;&gt;"",VLOOKUP(water_out[[#This Row],[Month]], dropdown!$S$4:$T$15, 2, FALSE),"")</f>
        <v/>
      </c>
      <c r="U72" s="59"/>
      <c r="V72" s="28"/>
      <c r="W72" s="376"/>
      <c r="X72" s="20"/>
    </row>
    <row r="73" spans="9:24" x14ac:dyDescent="0.2">
      <c r="I73" s="198" t="str">
        <f t="shared" si="2"/>
        <v/>
      </c>
      <c r="J73" s="402"/>
      <c r="K73" s="57"/>
      <c r="L73" s="18" t="str">
        <f>IF(water_in[[#This Row],[Month]]&lt;&gt;"",VLOOKUP(water_in[[#This Row],[Month]], dropdown!$S$4:$T$15, 2, FALSE),"")</f>
        <v/>
      </c>
      <c r="M73" s="57"/>
      <c r="N73" s="28"/>
      <c r="O73" s="199"/>
      <c r="Q73" s="198" t="str">
        <f t="shared" ref="Q73:Q107" si="4">IF($V73="","",$Q72+1)</f>
        <v/>
      </c>
      <c r="R73" s="402"/>
      <c r="S73" s="57"/>
      <c r="T73" s="18" t="str">
        <f>IF(water_out[[#This Row],[Month]]&lt;&gt;"",VLOOKUP(water_out[[#This Row],[Month]], dropdown!$S$4:$T$15, 2, FALSE),"")</f>
        <v/>
      </c>
      <c r="U73" s="59"/>
      <c r="V73" s="28"/>
      <c r="W73" s="376"/>
      <c r="X73" s="20"/>
    </row>
    <row r="74" spans="9:24" x14ac:dyDescent="0.2">
      <c r="I74" s="198" t="str">
        <f t="shared" ref="I74:I107" si="5">IF($N74="","",$I73+1)</f>
        <v/>
      </c>
      <c r="J74" s="402"/>
      <c r="K74" s="57"/>
      <c r="L74" s="18" t="str">
        <f>IF(water_in[[#This Row],[Month]]&lt;&gt;"",VLOOKUP(water_in[[#This Row],[Month]], dropdown!$S$4:$T$15, 2, FALSE),"")</f>
        <v/>
      </c>
      <c r="M74" s="57"/>
      <c r="N74" s="28"/>
      <c r="O74" s="199"/>
      <c r="Q74" s="198" t="str">
        <f t="shared" si="4"/>
        <v/>
      </c>
      <c r="R74" s="402"/>
      <c r="S74" s="57"/>
      <c r="T74" s="18" t="str">
        <f>IF(water_out[[#This Row],[Month]]&lt;&gt;"",VLOOKUP(water_out[[#This Row],[Month]], dropdown!$S$4:$T$15, 2, FALSE),"")</f>
        <v/>
      </c>
      <c r="U74" s="59"/>
      <c r="V74" s="28"/>
      <c r="W74" s="376"/>
      <c r="X74" s="20"/>
    </row>
    <row r="75" spans="9:24" x14ac:dyDescent="0.2">
      <c r="I75" s="198" t="str">
        <f t="shared" si="5"/>
        <v/>
      </c>
      <c r="J75" s="402"/>
      <c r="K75" s="57"/>
      <c r="L75" s="18" t="str">
        <f>IF(water_in[[#This Row],[Month]]&lt;&gt;"",VLOOKUP(water_in[[#This Row],[Month]], dropdown!$S$4:$T$15, 2, FALSE),"")</f>
        <v/>
      </c>
      <c r="M75" s="57"/>
      <c r="N75" s="28"/>
      <c r="O75" s="199"/>
      <c r="Q75" s="198" t="str">
        <f t="shared" si="4"/>
        <v/>
      </c>
      <c r="R75" s="402"/>
      <c r="S75" s="57"/>
      <c r="T75" s="18" t="str">
        <f>IF(water_out[[#This Row],[Month]]&lt;&gt;"",VLOOKUP(water_out[[#This Row],[Month]], dropdown!$S$4:$T$15, 2, FALSE),"")</f>
        <v/>
      </c>
      <c r="U75" s="59"/>
      <c r="V75" s="28"/>
      <c r="W75" s="376"/>
      <c r="X75" s="20"/>
    </row>
    <row r="76" spans="9:24" x14ac:dyDescent="0.2">
      <c r="I76" s="198" t="str">
        <f t="shared" si="5"/>
        <v/>
      </c>
      <c r="J76" s="402"/>
      <c r="K76" s="57"/>
      <c r="L76" s="18" t="str">
        <f>IF(water_in[[#This Row],[Month]]&lt;&gt;"",VLOOKUP(water_in[[#This Row],[Month]], dropdown!$S$4:$T$15, 2, FALSE),"")</f>
        <v/>
      </c>
      <c r="M76" s="57"/>
      <c r="N76" s="28"/>
      <c r="O76" s="199"/>
      <c r="Q76" s="198" t="str">
        <f t="shared" si="4"/>
        <v/>
      </c>
      <c r="R76" s="402"/>
      <c r="S76" s="57"/>
      <c r="T76" s="18" t="str">
        <f>IF(water_out[[#This Row],[Month]]&lt;&gt;"",VLOOKUP(water_out[[#This Row],[Month]], dropdown!$S$4:$T$15, 2, FALSE),"")</f>
        <v/>
      </c>
      <c r="U76" s="59"/>
      <c r="V76" s="28"/>
      <c r="W76" s="376"/>
      <c r="X76" s="20"/>
    </row>
    <row r="77" spans="9:24" x14ac:dyDescent="0.2">
      <c r="I77" s="198" t="str">
        <f t="shared" si="5"/>
        <v/>
      </c>
      <c r="J77" s="402"/>
      <c r="K77" s="57"/>
      <c r="L77" s="18" t="str">
        <f>IF(water_in[[#This Row],[Month]]&lt;&gt;"",VLOOKUP(water_in[[#This Row],[Month]], dropdown!$S$4:$T$15, 2, FALSE),"")</f>
        <v/>
      </c>
      <c r="M77" s="57"/>
      <c r="N77" s="28"/>
      <c r="O77" s="199"/>
      <c r="Q77" s="198" t="str">
        <f t="shared" si="4"/>
        <v/>
      </c>
      <c r="R77" s="402"/>
      <c r="S77" s="57"/>
      <c r="T77" s="18" t="str">
        <f>IF(water_out[[#This Row],[Month]]&lt;&gt;"",VLOOKUP(water_out[[#This Row],[Month]], dropdown!$S$4:$T$15, 2, FALSE),"")</f>
        <v/>
      </c>
      <c r="U77" s="59"/>
      <c r="V77" s="28"/>
      <c r="W77" s="376"/>
      <c r="X77" s="20"/>
    </row>
    <row r="78" spans="9:24" x14ac:dyDescent="0.2">
      <c r="I78" s="198" t="str">
        <f t="shared" si="5"/>
        <v/>
      </c>
      <c r="J78" s="402"/>
      <c r="K78" s="57"/>
      <c r="L78" s="18" t="str">
        <f>IF(water_in[[#This Row],[Month]]&lt;&gt;"",VLOOKUP(water_in[[#This Row],[Month]], dropdown!$S$4:$T$15, 2, FALSE),"")</f>
        <v/>
      </c>
      <c r="M78" s="57"/>
      <c r="N78" s="28"/>
      <c r="O78" s="199"/>
      <c r="Q78" s="198" t="str">
        <f t="shared" si="4"/>
        <v/>
      </c>
      <c r="R78" s="402"/>
      <c r="S78" s="57"/>
      <c r="T78" s="18" t="str">
        <f>IF(water_out[[#This Row],[Month]]&lt;&gt;"",VLOOKUP(water_out[[#This Row],[Month]], dropdown!$S$4:$T$15, 2, FALSE),"")</f>
        <v/>
      </c>
      <c r="U78" s="59"/>
      <c r="V78" s="28"/>
      <c r="W78" s="376"/>
      <c r="X78" s="20"/>
    </row>
    <row r="79" spans="9:24" x14ac:dyDescent="0.2">
      <c r="I79" s="198" t="str">
        <f t="shared" si="5"/>
        <v/>
      </c>
      <c r="J79" s="402"/>
      <c r="K79" s="57"/>
      <c r="L79" s="18" t="str">
        <f>IF(water_in[[#This Row],[Month]]&lt;&gt;"",VLOOKUP(water_in[[#This Row],[Month]], dropdown!$S$4:$T$15, 2, FALSE),"")</f>
        <v/>
      </c>
      <c r="M79" s="57"/>
      <c r="N79" s="28"/>
      <c r="O79" s="199"/>
      <c r="Q79" s="198" t="str">
        <f t="shared" si="4"/>
        <v/>
      </c>
      <c r="R79" s="402"/>
      <c r="S79" s="57"/>
      <c r="T79" s="18" t="str">
        <f>IF(water_out[[#This Row],[Month]]&lt;&gt;"",VLOOKUP(water_out[[#This Row],[Month]], dropdown!$S$4:$T$15, 2, FALSE),"")</f>
        <v/>
      </c>
      <c r="U79" s="59"/>
      <c r="V79" s="28"/>
      <c r="W79" s="376"/>
      <c r="X79" s="20"/>
    </row>
    <row r="80" spans="9:24" x14ac:dyDescent="0.2">
      <c r="I80" s="198" t="str">
        <f t="shared" si="5"/>
        <v/>
      </c>
      <c r="J80" s="402"/>
      <c r="K80" s="57"/>
      <c r="L80" s="18" t="str">
        <f>IF(water_in[[#This Row],[Month]]&lt;&gt;"",VLOOKUP(water_in[[#This Row],[Month]], dropdown!$S$4:$T$15, 2, FALSE),"")</f>
        <v/>
      </c>
      <c r="M80" s="57"/>
      <c r="N80" s="28"/>
      <c r="O80" s="199"/>
      <c r="Q80" s="198" t="str">
        <f t="shared" si="4"/>
        <v/>
      </c>
      <c r="R80" s="402"/>
      <c r="S80" s="57"/>
      <c r="T80" s="18" t="str">
        <f>IF(water_out[[#This Row],[Month]]&lt;&gt;"",VLOOKUP(water_out[[#This Row],[Month]], dropdown!$S$4:$T$15, 2, FALSE),"")</f>
        <v/>
      </c>
      <c r="U80" s="59"/>
      <c r="V80" s="28"/>
      <c r="W80" s="376"/>
      <c r="X80" s="20"/>
    </row>
    <row r="81" spans="9:24" x14ac:dyDescent="0.2">
      <c r="I81" s="198" t="str">
        <f t="shared" si="5"/>
        <v/>
      </c>
      <c r="J81" s="402"/>
      <c r="K81" s="57"/>
      <c r="L81" s="18" t="str">
        <f>IF(water_in[[#This Row],[Month]]&lt;&gt;"",VLOOKUP(water_in[[#This Row],[Month]], dropdown!$S$4:$T$15, 2, FALSE),"")</f>
        <v/>
      </c>
      <c r="M81" s="57"/>
      <c r="N81" s="28"/>
      <c r="O81" s="199"/>
      <c r="Q81" s="198" t="str">
        <f t="shared" si="4"/>
        <v/>
      </c>
      <c r="R81" s="402"/>
      <c r="S81" s="57"/>
      <c r="T81" s="18" t="str">
        <f>IF(water_out[[#This Row],[Month]]&lt;&gt;"",VLOOKUP(water_out[[#This Row],[Month]], dropdown!$S$4:$T$15, 2, FALSE),"")</f>
        <v/>
      </c>
      <c r="U81" s="59"/>
      <c r="V81" s="28"/>
      <c r="W81" s="376"/>
      <c r="X81" s="20"/>
    </row>
    <row r="82" spans="9:24" x14ac:dyDescent="0.2">
      <c r="I82" s="198" t="str">
        <f t="shared" si="5"/>
        <v/>
      </c>
      <c r="J82" s="402"/>
      <c r="K82" s="57"/>
      <c r="L82" s="18" t="str">
        <f>IF(water_in[[#This Row],[Month]]&lt;&gt;"",VLOOKUP(water_in[[#This Row],[Month]], dropdown!$S$4:$T$15, 2, FALSE),"")</f>
        <v/>
      </c>
      <c r="M82" s="57"/>
      <c r="N82" s="28"/>
      <c r="O82" s="199"/>
      <c r="Q82" s="198" t="str">
        <f t="shared" si="4"/>
        <v/>
      </c>
      <c r="R82" s="402"/>
      <c r="S82" s="57"/>
      <c r="T82" s="18" t="str">
        <f>IF(water_out[[#This Row],[Month]]&lt;&gt;"",VLOOKUP(water_out[[#This Row],[Month]], dropdown!$S$4:$T$15, 2, FALSE),"")</f>
        <v/>
      </c>
      <c r="U82" s="59"/>
      <c r="V82" s="28"/>
      <c r="W82" s="376"/>
      <c r="X82" s="20"/>
    </row>
    <row r="83" spans="9:24" x14ac:dyDescent="0.2">
      <c r="I83" s="198" t="str">
        <f t="shared" si="5"/>
        <v/>
      </c>
      <c r="J83" s="402"/>
      <c r="K83" s="57"/>
      <c r="L83" s="18" t="str">
        <f>IF(water_in[[#This Row],[Month]]&lt;&gt;"",VLOOKUP(water_in[[#This Row],[Month]], dropdown!$S$4:$T$15, 2, FALSE),"")</f>
        <v/>
      </c>
      <c r="M83" s="57"/>
      <c r="N83" s="28"/>
      <c r="O83" s="199"/>
      <c r="Q83" s="198" t="str">
        <f t="shared" si="4"/>
        <v/>
      </c>
      <c r="R83" s="402"/>
      <c r="S83" s="57"/>
      <c r="T83" s="18" t="str">
        <f>IF(water_out[[#This Row],[Month]]&lt;&gt;"",VLOOKUP(water_out[[#This Row],[Month]], dropdown!$S$4:$T$15, 2, FALSE),"")</f>
        <v/>
      </c>
      <c r="U83" s="59"/>
      <c r="V83" s="28"/>
      <c r="W83" s="376"/>
      <c r="X83" s="20"/>
    </row>
    <row r="84" spans="9:24" x14ac:dyDescent="0.2">
      <c r="I84" s="198" t="str">
        <f t="shared" si="5"/>
        <v/>
      </c>
      <c r="J84" s="402"/>
      <c r="K84" s="57"/>
      <c r="L84" s="18" t="str">
        <f>IF(water_in[[#This Row],[Month]]&lt;&gt;"",VLOOKUP(water_in[[#This Row],[Month]], dropdown!$S$4:$T$15, 2, FALSE),"")</f>
        <v/>
      </c>
      <c r="M84" s="57"/>
      <c r="N84" s="28"/>
      <c r="O84" s="199"/>
      <c r="Q84" s="198" t="str">
        <f t="shared" si="4"/>
        <v/>
      </c>
      <c r="R84" s="402"/>
      <c r="S84" s="57"/>
      <c r="T84" s="18" t="str">
        <f>IF(water_out[[#This Row],[Month]]&lt;&gt;"",VLOOKUP(water_out[[#This Row],[Month]], dropdown!$S$4:$T$15, 2, FALSE),"")</f>
        <v/>
      </c>
      <c r="U84" s="59"/>
      <c r="V84" s="28"/>
      <c r="W84" s="376"/>
      <c r="X84" s="20"/>
    </row>
    <row r="85" spans="9:24" x14ac:dyDescent="0.2">
      <c r="I85" s="198" t="str">
        <f t="shared" si="5"/>
        <v/>
      </c>
      <c r="J85" s="402"/>
      <c r="K85" s="57"/>
      <c r="L85" s="18" t="str">
        <f>IF(water_in[[#This Row],[Month]]&lt;&gt;"",VLOOKUP(water_in[[#This Row],[Month]], dropdown!$S$4:$T$15, 2, FALSE),"")</f>
        <v/>
      </c>
      <c r="M85" s="57"/>
      <c r="N85" s="28"/>
      <c r="O85" s="199"/>
      <c r="Q85" s="198" t="str">
        <f t="shared" si="4"/>
        <v/>
      </c>
      <c r="R85" s="402"/>
      <c r="S85" s="57"/>
      <c r="T85" s="18" t="str">
        <f>IF(water_out[[#This Row],[Month]]&lt;&gt;"",VLOOKUP(water_out[[#This Row],[Month]], dropdown!$S$4:$T$15, 2, FALSE),"")</f>
        <v/>
      </c>
      <c r="U85" s="59"/>
      <c r="V85" s="28"/>
      <c r="W85" s="376"/>
      <c r="X85" s="20"/>
    </row>
    <row r="86" spans="9:24" x14ac:dyDescent="0.2">
      <c r="I86" s="198" t="str">
        <f t="shared" si="5"/>
        <v/>
      </c>
      <c r="J86" s="402"/>
      <c r="K86" s="57"/>
      <c r="L86" s="18" t="str">
        <f>IF(water_in[[#This Row],[Month]]&lt;&gt;"",VLOOKUP(water_in[[#This Row],[Month]], dropdown!$S$4:$T$15, 2, FALSE),"")</f>
        <v/>
      </c>
      <c r="M86" s="57"/>
      <c r="N86" s="28"/>
      <c r="O86" s="199"/>
      <c r="Q86" s="198" t="str">
        <f t="shared" si="4"/>
        <v/>
      </c>
      <c r="R86" s="402"/>
      <c r="S86" s="57"/>
      <c r="T86" s="18" t="str">
        <f>IF(water_out[[#This Row],[Month]]&lt;&gt;"",VLOOKUP(water_out[[#This Row],[Month]], dropdown!$S$4:$T$15, 2, FALSE),"")</f>
        <v/>
      </c>
      <c r="U86" s="59"/>
      <c r="V86" s="28"/>
      <c r="W86" s="376"/>
      <c r="X86" s="20"/>
    </row>
    <row r="87" spans="9:24" x14ac:dyDescent="0.2">
      <c r="I87" s="198" t="str">
        <f t="shared" si="5"/>
        <v/>
      </c>
      <c r="J87" s="402"/>
      <c r="K87" s="57"/>
      <c r="L87" s="18" t="str">
        <f>IF(water_in[[#This Row],[Month]]&lt;&gt;"",VLOOKUP(water_in[[#This Row],[Month]], dropdown!$S$4:$T$15, 2, FALSE),"")</f>
        <v/>
      </c>
      <c r="M87" s="57"/>
      <c r="N87" s="28"/>
      <c r="O87" s="199"/>
      <c r="Q87" s="198" t="str">
        <f t="shared" si="4"/>
        <v/>
      </c>
      <c r="R87" s="402"/>
      <c r="S87" s="57"/>
      <c r="T87" s="18" t="str">
        <f>IF(water_out[[#This Row],[Month]]&lt;&gt;"",VLOOKUP(water_out[[#This Row],[Month]], dropdown!$S$4:$T$15, 2, FALSE),"")</f>
        <v/>
      </c>
      <c r="U87" s="59"/>
      <c r="V87" s="28"/>
      <c r="W87" s="376"/>
      <c r="X87" s="20"/>
    </row>
    <row r="88" spans="9:24" x14ac:dyDescent="0.2">
      <c r="I88" s="198" t="str">
        <f t="shared" si="5"/>
        <v/>
      </c>
      <c r="J88" s="402"/>
      <c r="K88" s="57"/>
      <c r="L88" s="18" t="str">
        <f>IF(water_in[[#This Row],[Month]]&lt;&gt;"",VLOOKUP(water_in[[#This Row],[Month]], dropdown!$S$4:$T$15, 2, FALSE),"")</f>
        <v/>
      </c>
      <c r="M88" s="57"/>
      <c r="N88" s="28"/>
      <c r="O88" s="199"/>
      <c r="Q88" s="198" t="str">
        <f t="shared" si="4"/>
        <v/>
      </c>
      <c r="R88" s="402"/>
      <c r="S88" s="57"/>
      <c r="T88" s="18" t="str">
        <f>IF(water_out[[#This Row],[Month]]&lt;&gt;"",VLOOKUP(water_out[[#This Row],[Month]], dropdown!$S$4:$T$15, 2, FALSE),"")</f>
        <v/>
      </c>
      <c r="U88" s="59"/>
      <c r="V88" s="28"/>
      <c r="W88" s="376"/>
      <c r="X88" s="20"/>
    </row>
    <row r="89" spans="9:24" x14ac:dyDescent="0.2">
      <c r="I89" s="198" t="str">
        <f t="shared" si="5"/>
        <v/>
      </c>
      <c r="J89" s="402"/>
      <c r="K89" s="57"/>
      <c r="L89" s="18" t="str">
        <f>IF(water_in[[#This Row],[Month]]&lt;&gt;"",VLOOKUP(water_in[[#This Row],[Month]], dropdown!$S$4:$T$15, 2, FALSE),"")</f>
        <v/>
      </c>
      <c r="M89" s="57"/>
      <c r="N89" s="28"/>
      <c r="O89" s="199"/>
      <c r="Q89" s="198" t="str">
        <f t="shared" si="4"/>
        <v/>
      </c>
      <c r="R89" s="402"/>
      <c r="S89" s="57"/>
      <c r="T89" s="18" t="str">
        <f>IF(water_out[[#This Row],[Month]]&lt;&gt;"",VLOOKUP(water_out[[#This Row],[Month]], dropdown!$S$4:$T$15, 2, FALSE),"")</f>
        <v/>
      </c>
      <c r="U89" s="59"/>
      <c r="V89" s="28"/>
      <c r="W89" s="376"/>
      <c r="X89" s="20"/>
    </row>
    <row r="90" spans="9:24" x14ac:dyDescent="0.2">
      <c r="I90" s="198" t="str">
        <f t="shared" si="5"/>
        <v/>
      </c>
      <c r="J90" s="402"/>
      <c r="K90" s="57"/>
      <c r="L90" s="18" t="str">
        <f>IF(water_in[[#This Row],[Month]]&lt;&gt;"",VLOOKUP(water_in[[#This Row],[Month]], dropdown!$S$4:$T$15, 2, FALSE),"")</f>
        <v/>
      </c>
      <c r="M90" s="57"/>
      <c r="N90" s="28"/>
      <c r="O90" s="199"/>
      <c r="Q90" s="198" t="str">
        <f t="shared" si="4"/>
        <v/>
      </c>
      <c r="R90" s="402"/>
      <c r="S90" s="57"/>
      <c r="T90" s="18" t="str">
        <f>IF(water_out[[#This Row],[Month]]&lt;&gt;"",VLOOKUP(water_out[[#This Row],[Month]], dropdown!$S$4:$T$15, 2, FALSE),"")</f>
        <v/>
      </c>
      <c r="U90" s="59"/>
      <c r="V90" s="28"/>
      <c r="W90" s="376"/>
      <c r="X90" s="20"/>
    </row>
    <row r="91" spans="9:24" x14ac:dyDescent="0.2">
      <c r="I91" s="198" t="str">
        <f t="shared" si="5"/>
        <v/>
      </c>
      <c r="J91" s="402"/>
      <c r="K91" s="57"/>
      <c r="L91" s="18" t="str">
        <f>IF(water_in[[#This Row],[Month]]&lt;&gt;"",VLOOKUP(water_in[[#This Row],[Month]], dropdown!$S$4:$T$15, 2, FALSE),"")</f>
        <v/>
      </c>
      <c r="M91" s="57"/>
      <c r="N91" s="28"/>
      <c r="O91" s="199"/>
      <c r="Q91" s="198" t="str">
        <f t="shared" si="4"/>
        <v/>
      </c>
      <c r="R91" s="402"/>
      <c r="S91" s="57"/>
      <c r="T91" s="18" t="str">
        <f>IF(water_out[[#This Row],[Month]]&lt;&gt;"",VLOOKUP(water_out[[#This Row],[Month]], dropdown!$S$4:$T$15, 2, FALSE),"")</f>
        <v/>
      </c>
      <c r="U91" s="59"/>
      <c r="V91" s="28"/>
      <c r="W91" s="376"/>
      <c r="X91" s="20"/>
    </row>
    <row r="92" spans="9:24" x14ac:dyDescent="0.2">
      <c r="I92" s="198" t="str">
        <f t="shared" si="5"/>
        <v/>
      </c>
      <c r="J92" s="402"/>
      <c r="K92" s="57"/>
      <c r="L92" s="18" t="str">
        <f>IF(water_in[[#This Row],[Month]]&lt;&gt;"",VLOOKUP(water_in[[#This Row],[Month]], dropdown!$S$4:$T$15, 2, FALSE),"")</f>
        <v/>
      </c>
      <c r="M92" s="57"/>
      <c r="N92" s="28"/>
      <c r="O92" s="199"/>
      <c r="Q92" s="198" t="str">
        <f t="shared" si="4"/>
        <v/>
      </c>
      <c r="R92" s="402"/>
      <c r="S92" s="57"/>
      <c r="T92" s="18" t="str">
        <f>IF(water_out[[#This Row],[Month]]&lt;&gt;"",VLOOKUP(water_out[[#This Row],[Month]], dropdown!$S$4:$T$15, 2, FALSE),"")</f>
        <v/>
      </c>
      <c r="U92" s="59"/>
      <c r="V92" s="28"/>
      <c r="W92" s="376"/>
      <c r="X92" s="20"/>
    </row>
    <row r="93" spans="9:24" x14ac:dyDescent="0.2">
      <c r="I93" s="198" t="str">
        <f t="shared" si="5"/>
        <v/>
      </c>
      <c r="J93" s="402"/>
      <c r="K93" s="57"/>
      <c r="L93" s="18" t="str">
        <f>IF(water_in[[#This Row],[Month]]&lt;&gt;"",VLOOKUP(water_in[[#This Row],[Month]], dropdown!$S$4:$T$15, 2, FALSE),"")</f>
        <v/>
      </c>
      <c r="M93" s="57"/>
      <c r="N93" s="28"/>
      <c r="O93" s="199"/>
      <c r="Q93" s="198" t="str">
        <f t="shared" si="4"/>
        <v/>
      </c>
      <c r="R93" s="402"/>
      <c r="S93" s="57"/>
      <c r="T93" s="18" t="str">
        <f>IF(water_out[[#This Row],[Month]]&lt;&gt;"",VLOOKUP(water_out[[#This Row],[Month]], dropdown!$S$4:$T$15, 2, FALSE),"")</f>
        <v/>
      </c>
      <c r="U93" s="59"/>
      <c r="V93" s="28"/>
      <c r="W93" s="376"/>
      <c r="X93" s="20"/>
    </row>
    <row r="94" spans="9:24" x14ac:dyDescent="0.2">
      <c r="I94" s="198" t="str">
        <f t="shared" si="5"/>
        <v/>
      </c>
      <c r="J94" s="402"/>
      <c r="K94" s="57"/>
      <c r="L94" s="18" t="str">
        <f>IF(water_in[[#This Row],[Month]]&lt;&gt;"",VLOOKUP(water_in[[#This Row],[Month]], dropdown!$S$4:$T$15, 2, FALSE),"")</f>
        <v/>
      </c>
      <c r="M94" s="57"/>
      <c r="N94" s="28"/>
      <c r="O94" s="199"/>
      <c r="Q94" s="198" t="str">
        <f t="shared" si="4"/>
        <v/>
      </c>
      <c r="R94" s="402"/>
      <c r="S94" s="57"/>
      <c r="T94" s="18" t="str">
        <f>IF(water_out[[#This Row],[Month]]&lt;&gt;"",VLOOKUP(water_out[[#This Row],[Month]], dropdown!$S$4:$T$15, 2, FALSE),"")</f>
        <v/>
      </c>
      <c r="U94" s="59"/>
      <c r="V94" s="28"/>
      <c r="W94" s="376"/>
      <c r="X94" s="20"/>
    </row>
    <row r="95" spans="9:24" x14ac:dyDescent="0.2">
      <c r="I95" s="198" t="str">
        <f t="shared" si="5"/>
        <v/>
      </c>
      <c r="J95" s="402"/>
      <c r="K95" s="57"/>
      <c r="L95" s="18" t="str">
        <f>IF(water_in[[#This Row],[Month]]&lt;&gt;"",VLOOKUP(water_in[[#This Row],[Month]], dropdown!$S$4:$T$15, 2, FALSE),"")</f>
        <v/>
      </c>
      <c r="M95" s="57"/>
      <c r="N95" s="28"/>
      <c r="O95" s="199"/>
      <c r="Q95" s="198" t="str">
        <f t="shared" si="4"/>
        <v/>
      </c>
      <c r="R95" s="402"/>
      <c r="S95" s="57"/>
      <c r="T95" s="18" t="str">
        <f>IF(water_out[[#This Row],[Month]]&lt;&gt;"",VLOOKUP(water_out[[#This Row],[Month]], dropdown!$S$4:$T$15, 2, FALSE),"")</f>
        <v/>
      </c>
      <c r="U95" s="59"/>
      <c r="V95" s="28"/>
      <c r="W95" s="376"/>
      <c r="X95" s="20"/>
    </row>
    <row r="96" spans="9:24" x14ac:dyDescent="0.2">
      <c r="I96" s="198" t="str">
        <f t="shared" si="5"/>
        <v/>
      </c>
      <c r="J96" s="402"/>
      <c r="K96" s="57"/>
      <c r="L96" s="18" t="str">
        <f>IF(water_in[[#This Row],[Month]]&lt;&gt;"",VLOOKUP(water_in[[#This Row],[Month]], dropdown!$S$4:$T$15, 2, FALSE),"")</f>
        <v/>
      </c>
      <c r="M96" s="57"/>
      <c r="N96" s="28"/>
      <c r="O96" s="199"/>
      <c r="Q96" s="198" t="str">
        <f t="shared" si="4"/>
        <v/>
      </c>
      <c r="R96" s="402"/>
      <c r="S96" s="57"/>
      <c r="T96" s="18" t="str">
        <f>IF(water_out[[#This Row],[Month]]&lt;&gt;"",VLOOKUP(water_out[[#This Row],[Month]], dropdown!$S$4:$T$15, 2, FALSE),"")</f>
        <v/>
      </c>
      <c r="U96" s="59"/>
      <c r="V96" s="28"/>
      <c r="W96" s="376"/>
      <c r="X96" s="20"/>
    </row>
    <row r="97" spans="9:24" x14ac:dyDescent="0.2">
      <c r="I97" s="198" t="str">
        <f t="shared" si="5"/>
        <v/>
      </c>
      <c r="J97" s="402"/>
      <c r="K97" s="57"/>
      <c r="L97" s="18" t="str">
        <f>IF(water_in[[#This Row],[Month]]&lt;&gt;"",VLOOKUP(water_in[[#This Row],[Month]], dropdown!$S$4:$T$15, 2, FALSE),"")</f>
        <v/>
      </c>
      <c r="M97" s="57"/>
      <c r="N97" s="28"/>
      <c r="O97" s="199"/>
      <c r="Q97" s="198" t="str">
        <f t="shared" si="4"/>
        <v/>
      </c>
      <c r="R97" s="402"/>
      <c r="S97" s="57"/>
      <c r="T97" s="18" t="str">
        <f>IF(water_out[[#This Row],[Month]]&lt;&gt;"",VLOOKUP(water_out[[#This Row],[Month]], dropdown!$S$4:$T$15, 2, FALSE),"")</f>
        <v/>
      </c>
      <c r="U97" s="59"/>
      <c r="V97" s="28"/>
      <c r="W97" s="376"/>
      <c r="X97" s="20"/>
    </row>
    <row r="98" spans="9:24" x14ac:dyDescent="0.2">
      <c r="I98" s="198" t="str">
        <f t="shared" si="5"/>
        <v/>
      </c>
      <c r="J98" s="402"/>
      <c r="K98" s="57"/>
      <c r="L98" s="18" t="str">
        <f>IF(water_in[[#This Row],[Month]]&lt;&gt;"",VLOOKUP(water_in[[#This Row],[Month]], dropdown!$S$4:$T$15, 2, FALSE),"")</f>
        <v/>
      </c>
      <c r="M98" s="57"/>
      <c r="N98" s="28"/>
      <c r="O98" s="199"/>
      <c r="Q98" s="198" t="str">
        <f t="shared" si="4"/>
        <v/>
      </c>
      <c r="R98" s="402"/>
      <c r="S98" s="57"/>
      <c r="T98" s="18" t="str">
        <f>IF(water_out[[#This Row],[Month]]&lt;&gt;"",VLOOKUP(water_out[[#This Row],[Month]], dropdown!$S$4:$T$15, 2, FALSE),"")</f>
        <v/>
      </c>
      <c r="U98" s="59"/>
      <c r="V98" s="28"/>
      <c r="W98" s="376"/>
      <c r="X98" s="20"/>
    </row>
    <row r="99" spans="9:24" x14ac:dyDescent="0.2">
      <c r="I99" s="198" t="str">
        <f t="shared" si="5"/>
        <v/>
      </c>
      <c r="J99" s="402"/>
      <c r="K99" s="57"/>
      <c r="L99" s="18" t="str">
        <f>IF(water_in[[#This Row],[Month]]&lt;&gt;"",VLOOKUP(water_in[[#This Row],[Month]], dropdown!$S$4:$T$15, 2, FALSE),"")</f>
        <v/>
      </c>
      <c r="M99" s="57"/>
      <c r="N99" s="28"/>
      <c r="O99" s="199"/>
      <c r="Q99" s="198" t="str">
        <f t="shared" si="4"/>
        <v/>
      </c>
      <c r="R99" s="402"/>
      <c r="S99" s="57"/>
      <c r="T99" s="18" t="str">
        <f>IF(water_out[[#This Row],[Month]]&lt;&gt;"",VLOOKUP(water_out[[#This Row],[Month]], dropdown!$S$4:$T$15, 2, FALSE),"")</f>
        <v/>
      </c>
      <c r="U99" s="59"/>
      <c r="V99" s="28"/>
      <c r="W99" s="376"/>
      <c r="X99" s="20"/>
    </row>
    <row r="100" spans="9:24" x14ac:dyDescent="0.2">
      <c r="I100" s="198" t="str">
        <f t="shared" si="5"/>
        <v/>
      </c>
      <c r="J100" s="402"/>
      <c r="K100" s="57"/>
      <c r="L100" s="18" t="str">
        <f>IF(water_in[[#This Row],[Month]]&lt;&gt;"",VLOOKUP(water_in[[#This Row],[Month]], dropdown!$S$4:$T$15, 2, FALSE),"")</f>
        <v/>
      </c>
      <c r="M100" s="57"/>
      <c r="N100" s="28"/>
      <c r="O100" s="199"/>
      <c r="Q100" s="198" t="str">
        <f t="shared" si="4"/>
        <v/>
      </c>
      <c r="R100" s="402"/>
      <c r="S100" s="57"/>
      <c r="T100" s="18" t="str">
        <f>IF(water_out[[#This Row],[Month]]&lt;&gt;"",VLOOKUP(water_out[[#This Row],[Month]], dropdown!$S$4:$T$15, 2, FALSE),"")</f>
        <v/>
      </c>
      <c r="U100" s="59"/>
      <c r="V100" s="28"/>
      <c r="W100" s="376"/>
      <c r="X100" s="20"/>
    </row>
    <row r="101" spans="9:24" x14ac:dyDescent="0.2">
      <c r="I101" s="198" t="str">
        <f t="shared" si="5"/>
        <v/>
      </c>
      <c r="J101" s="402"/>
      <c r="K101" s="57"/>
      <c r="L101" s="18" t="str">
        <f>IF(water_in[[#This Row],[Month]]&lt;&gt;"",VLOOKUP(water_in[[#This Row],[Month]], dropdown!$S$4:$T$15, 2, FALSE),"")</f>
        <v/>
      </c>
      <c r="M101" s="57"/>
      <c r="N101" s="28"/>
      <c r="O101" s="199"/>
      <c r="Q101" s="198" t="str">
        <f t="shared" si="4"/>
        <v/>
      </c>
      <c r="R101" s="402"/>
      <c r="S101" s="57"/>
      <c r="T101" s="18" t="str">
        <f>IF(water_out[[#This Row],[Month]]&lt;&gt;"",VLOOKUP(water_out[[#This Row],[Month]], dropdown!$S$4:$T$15, 2, FALSE),"")</f>
        <v/>
      </c>
      <c r="U101" s="59"/>
      <c r="V101" s="28"/>
      <c r="W101" s="376"/>
      <c r="X101" s="20"/>
    </row>
    <row r="102" spans="9:24" x14ac:dyDescent="0.2">
      <c r="I102" s="198" t="str">
        <f t="shared" si="5"/>
        <v/>
      </c>
      <c r="J102" s="402"/>
      <c r="K102" s="57"/>
      <c r="L102" s="18" t="str">
        <f>IF(water_in[[#This Row],[Month]]&lt;&gt;"",VLOOKUP(water_in[[#This Row],[Month]], dropdown!$S$4:$T$15, 2, FALSE),"")</f>
        <v/>
      </c>
      <c r="M102" s="57"/>
      <c r="N102" s="28"/>
      <c r="O102" s="199"/>
      <c r="Q102" s="198" t="str">
        <f t="shared" si="4"/>
        <v/>
      </c>
      <c r="R102" s="402"/>
      <c r="S102" s="57"/>
      <c r="T102" s="18" t="str">
        <f>IF(water_out[[#This Row],[Month]]&lt;&gt;"",VLOOKUP(water_out[[#This Row],[Month]], dropdown!$S$4:$T$15, 2, FALSE),"")</f>
        <v/>
      </c>
      <c r="U102" s="59"/>
      <c r="V102" s="28"/>
      <c r="W102" s="376"/>
      <c r="X102" s="20"/>
    </row>
    <row r="103" spans="9:24" x14ac:dyDescent="0.2">
      <c r="I103" s="198" t="str">
        <f t="shared" si="5"/>
        <v/>
      </c>
      <c r="J103" s="402"/>
      <c r="K103" s="57"/>
      <c r="L103" s="18" t="str">
        <f>IF(water_in[[#This Row],[Month]]&lt;&gt;"",VLOOKUP(water_in[[#This Row],[Month]], dropdown!$S$4:$T$15, 2, FALSE),"")</f>
        <v/>
      </c>
      <c r="M103" s="57"/>
      <c r="N103" s="28"/>
      <c r="O103" s="199"/>
      <c r="Q103" s="198" t="str">
        <f t="shared" si="4"/>
        <v/>
      </c>
      <c r="R103" s="402"/>
      <c r="S103" s="57"/>
      <c r="T103" s="18" t="str">
        <f>IF(water_out[[#This Row],[Month]]&lt;&gt;"",VLOOKUP(water_out[[#This Row],[Month]], dropdown!$S$4:$T$15, 2, FALSE),"")</f>
        <v/>
      </c>
      <c r="U103" s="59"/>
      <c r="V103" s="28"/>
      <c r="W103" s="376"/>
      <c r="X103" s="20"/>
    </row>
    <row r="104" spans="9:24" x14ac:dyDescent="0.2">
      <c r="I104" s="198" t="str">
        <f t="shared" si="5"/>
        <v/>
      </c>
      <c r="J104" s="402"/>
      <c r="K104" s="57"/>
      <c r="L104" s="18" t="str">
        <f>IF(water_in[[#This Row],[Month]]&lt;&gt;"",VLOOKUP(water_in[[#This Row],[Month]], dropdown!$S$4:$T$15, 2, FALSE),"")</f>
        <v/>
      </c>
      <c r="M104" s="57"/>
      <c r="N104" s="28"/>
      <c r="O104" s="199"/>
      <c r="Q104" s="198" t="str">
        <f t="shared" si="4"/>
        <v/>
      </c>
      <c r="R104" s="402"/>
      <c r="S104" s="57"/>
      <c r="T104" s="18" t="str">
        <f>IF(water_out[[#This Row],[Month]]&lt;&gt;"",VLOOKUP(water_out[[#This Row],[Month]], dropdown!$S$4:$T$15, 2, FALSE),"")</f>
        <v/>
      </c>
      <c r="U104" s="59"/>
      <c r="V104" s="28"/>
      <c r="W104" s="376"/>
      <c r="X104" s="20"/>
    </row>
    <row r="105" spans="9:24" x14ac:dyDescent="0.2">
      <c r="I105" s="198" t="str">
        <f t="shared" si="5"/>
        <v/>
      </c>
      <c r="J105" s="402"/>
      <c r="K105" s="57"/>
      <c r="L105" s="18" t="str">
        <f>IF(water_in[[#This Row],[Month]]&lt;&gt;"",VLOOKUP(water_in[[#This Row],[Month]], dropdown!$S$4:$T$15, 2, FALSE),"")</f>
        <v/>
      </c>
      <c r="M105" s="57"/>
      <c r="N105" s="28"/>
      <c r="O105" s="199"/>
      <c r="Q105" s="198" t="str">
        <f t="shared" si="4"/>
        <v/>
      </c>
      <c r="R105" s="402"/>
      <c r="S105" s="57"/>
      <c r="T105" s="18" t="str">
        <f>IF(water_out[[#This Row],[Month]]&lt;&gt;"",VLOOKUP(water_out[[#This Row],[Month]], dropdown!$S$4:$T$15, 2, FALSE),"")</f>
        <v/>
      </c>
      <c r="U105" s="59"/>
      <c r="V105" s="28"/>
      <c r="W105" s="376"/>
      <c r="X105" s="20"/>
    </row>
    <row r="106" spans="9:24" x14ac:dyDescent="0.2">
      <c r="I106" s="198" t="str">
        <f t="shared" si="5"/>
        <v/>
      </c>
      <c r="J106" s="402"/>
      <c r="K106" s="57"/>
      <c r="L106" s="18" t="str">
        <f>IF(water_in[[#This Row],[Month]]&lt;&gt;"",VLOOKUP(water_in[[#This Row],[Month]], dropdown!$S$4:$T$15, 2, FALSE),"")</f>
        <v/>
      </c>
      <c r="M106" s="57"/>
      <c r="N106" s="28"/>
      <c r="O106" s="199"/>
      <c r="Q106" s="198" t="str">
        <f t="shared" si="4"/>
        <v/>
      </c>
      <c r="R106" s="402"/>
      <c r="S106" s="57"/>
      <c r="T106" s="18" t="str">
        <f>IF(water_out[[#This Row],[Month]]&lt;&gt;"",VLOOKUP(water_out[[#This Row],[Month]], dropdown!$S$4:$T$15, 2, FALSE),"")</f>
        <v/>
      </c>
      <c r="U106" s="59"/>
      <c r="V106" s="28"/>
      <c r="W106" s="376"/>
      <c r="X106" s="20"/>
    </row>
    <row r="107" spans="9:24" x14ac:dyDescent="0.2">
      <c r="I107" s="198" t="str">
        <f t="shared" si="5"/>
        <v/>
      </c>
      <c r="J107" s="403"/>
      <c r="K107" s="200"/>
      <c r="L107" s="18" t="str">
        <f>IF(water_in[[#This Row],[Month]]&lt;&gt;"",VLOOKUP(water_in[[#This Row],[Month]], dropdown!$S$4:$T$15, 2, FALSE),"")</f>
        <v/>
      </c>
      <c r="M107" s="200"/>
      <c r="N107" s="201"/>
      <c r="O107" s="203"/>
      <c r="Q107" s="198" t="str">
        <f t="shared" si="4"/>
        <v/>
      </c>
      <c r="R107" s="403"/>
      <c r="S107" s="200"/>
      <c r="T107" s="18" t="str">
        <f>IF(water_out[[#This Row],[Month]]&lt;&gt;"",VLOOKUP(water_out[[#This Row],[Month]], dropdown!$S$4:$T$15, 2, FALSE),"")</f>
        <v/>
      </c>
      <c r="U107" s="264"/>
      <c r="V107" s="201"/>
      <c r="W107" s="377"/>
      <c r="X107" s="20"/>
    </row>
    <row r="109" spans="9:24" x14ac:dyDescent="0.2">
      <c r="I109" s="326" t="s">
        <v>189</v>
      </c>
    </row>
  </sheetData>
  <sheetProtection algorithmName="SHA-512" hashValue="mtiPNDRp2oGK1KNJwfcGZqKiHlol2K+FaKxWbrVTsS7pY98ensbV6COJp9CLqlJalrgzyeI/k8DF2NhhTwfaXQ==" saltValue="q1k5xM4+luMCwVe6emZl6w==" spinCount="100000" sheet="1" objects="1" scenarios="1" selectLockedCells="1"/>
  <protectedRanges>
    <protectedRange sqref="J7:K107 M7:O107 R7:S107 U7:W107" name="Range1"/>
    <protectedRange sqref="J7:J107 K7:K107 M7:M107 N7:N107 O7:O107 R7:R107 S7:S107 U7:W107" name="Range2"/>
  </protectedRanges>
  <mergeCells count="2">
    <mergeCell ref="C6:G6"/>
    <mergeCell ref="C7:G7"/>
  </mergeCells>
  <pageMargins left="0.7" right="0.7" top="0.75" bottom="0.75" header="0.3" footer="0.3"/>
  <pageSetup paperSize="9" orientation="portrait" horizontalDpi="0" verticalDpi="0" r:id="rId1"/>
  <tableParts count="2">
    <tablePart r:id="rId2"/>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D9AF8E58-C296-B44E-84CF-9B841AB050BB}">
          <x14:formula1>
            <xm:f>dropdown!$S$4:$S$15</xm:f>
          </x14:formula1>
          <xm:sqref>K8:K107 S8:S107</xm:sqref>
        </x14:dataValidation>
        <x14:dataValidation type="list" allowBlank="1" showInputMessage="1" showErrorMessage="1" xr:uid="{0D972FCF-AAD5-5343-83D6-C0D5AAAC5501}">
          <x14:formula1>
            <xm:f>dropdown!$AG$4:$AG$6</xm:f>
          </x14:formula1>
          <xm:sqref>U9:V26</xm:sqref>
        </x14:dataValidation>
        <x14:dataValidation type="list" allowBlank="1" showInputMessage="1" showErrorMessage="1" xr:uid="{C7F40750-B972-574F-A8D2-221414391BE6}">
          <x14:formula1>
            <xm:f>dropdown!$AE$4:$AE$8</xm:f>
          </x14:formula1>
          <xm:sqref>M8:M107</xm:sqref>
        </x14:dataValidation>
        <x14:dataValidation type="list" allowBlank="1" showInputMessage="1" showErrorMessage="1" xr:uid="{9EFB9CF8-643B-9D4C-8BB7-B4E815C7E0B3}">
          <x14:formula1>
            <xm:f>dropdown!$AG$4:$AG$7</xm:f>
          </x14:formula1>
          <xm:sqref>U8:V8</xm:sqref>
        </x14:dataValidation>
        <x14:dataValidation type="list" allowBlank="1" showInputMessage="1" showErrorMessage="1" xr:uid="{B102EC3E-24F1-4F1F-BD52-8AE70FBFFCDE}">
          <x14:formula1>
            <xm:f>dropdown!$N$4:$N$5</xm:f>
          </x14:formula1>
          <xm:sqref>J8:J107 R8:R107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5" customWidth="1"/>
    <col min="14" max="14" width="20.1640625" style="169" customWidth="1"/>
    <col min="15" max="15" width="23.6640625" style="20" customWidth="1"/>
    <col min="16" max="16" width="4.6640625" style="20" customWidth="1"/>
    <col min="17" max="17" width="10.83203125" style="47"/>
    <col min="18" max="16384" width="10.83203125" style="20"/>
  </cols>
  <sheetData>
    <row r="2" spans="2:15" ht="19" x14ac:dyDescent="0.25">
      <c r="B2" s="261" t="s">
        <v>30</v>
      </c>
      <c r="C2" s="30"/>
      <c r="D2" s="30"/>
      <c r="E2" s="30"/>
      <c r="F2" s="30"/>
      <c r="G2" s="31"/>
      <c r="I2" s="311" t="s">
        <v>255</v>
      </c>
      <c r="J2" s="312"/>
      <c r="K2" s="313"/>
      <c r="L2" s="314"/>
      <c r="M2" s="315"/>
      <c r="N2" s="316"/>
      <c r="O2" s="317"/>
    </row>
    <row r="3" spans="2:15" x14ac:dyDescent="0.2">
      <c r="B3" s="32" t="s">
        <v>9</v>
      </c>
      <c r="C3" s="33"/>
      <c r="D3" s="34" t="s">
        <v>172</v>
      </c>
      <c r="E3" s="33"/>
      <c r="F3" s="33" t="s">
        <v>173</v>
      </c>
      <c r="G3" s="35"/>
      <c r="I3" s="289" t="s">
        <v>256</v>
      </c>
      <c r="J3" s="290"/>
      <c r="K3" s="291"/>
      <c r="L3" s="292"/>
      <c r="M3" s="318"/>
      <c r="N3" s="319"/>
      <c r="O3" s="294"/>
    </row>
    <row r="4" spans="2:15" x14ac:dyDescent="0.2">
      <c r="B4" s="166" t="str">
        <f>'1. Data Info and Summary'!$D$2</f>
        <v>Security Plant Complex</v>
      </c>
      <c r="C4" s="36"/>
      <c r="D4" s="37">
        <f>'1. Data Info and Summary'!$D$3</f>
        <v>2024</v>
      </c>
      <c r="E4" s="36"/>
      <c r="F4" s="36" t="s">
        <v>257</v>
      </c>
      <c r="G4" s="38"/>
      <c r="I4" s="295" t="s">
        <v>258</v>
      </c>
      <c r="O4" s="296"/>
    </row>
    <row r="5" spans="2:15" x14ac:dyDescent="0.2">
      <c r="B5" s="274"/>
      <c r="D5" s="274"/>
      <c r="I5" s="328" t="s">
        <v>259</v>
      </c>
      <c r="O5" s="296"/>
    </row>
    <row r="6" spans="2:15" x14ac:dyDescent="0.2">
      <c r="B6" s="283" t="s">
        <v>260</v>
      </c>
      <c r="C6" s="284"/>
      <c r="D6" s="283" t="s">
        <v>261</v>
      </c>
      <c r="E6" s="284"/>
      <c r="I6" s="327" t="s">
        <v>262</v>
      </c>
      <c r="J6" s="298"/>
      <c r="K6" s="299"/>
      <c r="L6" s="300"/>
      <c r="M6" s="322"/>
      <c r="N6" s="323"/>
      <c r="O6" s="302"/>
    </row>
    <row r="7" spans="2:15" x14ac:dyDescent="0.2">
      <c r="B7" s="283" t="s">
        <v>263</v>
      </c>
      <c r="C7" s="284"/>
      <c r="D7" s="283" t="s">
        <v>263</v>
      </c>
      <c r="E7" s="284"/>
      <c r="I7" s="274"/>
    </row>
    <row r="8" spans="2:15" x14ac:dyDescent="0.2">
      <c r="B8" s="283" t="s">
        <v>264</v>
      </c>
      <c r="C8" s="285"/>
      <c r="D8" s="283" t="s">
        <v>264</v>
      </c>
      <c r="E8" s="285"/>
      <c r="I8" s="274"/>
    </row>
    <row r="9" spans="2:15" x14ac:dyDescent="0.2">
      <c r="B9" s="331"/>
      <c r="C9" s="332"/>
      <c r="D9" s="331"/>
      <c r="E9" s="310"/>
      <c r="I9" s="274"/>
    </row>
    <row r="10" spans="2:15" ht="19" x14ac:dyDescent="0.25">
      <c r="B10" s="261" t="s">
        <v>265</v>
      </c>
      <c r="C10" s="30"/>
      <c r="D10" s="30"/>
      <c r="E10" s="30"/>
      <c r="F10" s="30"/>
      <c r="G10" s="31"/>
      <c r="I10" s="274"/>
    </row>
    <row r="11" spans="2:15" x14ac:dyDescent="0.2">
      <c r="I11" s="325" t="s">
        <v>266</v>
      </c>
    </row>
    <row r="12" spans="2:15" ht="15" x14ac:dyDescent="0.2">
      <c r="B12" s="125" t="s">
        <v>42</v>
      </c>
      <c r="C12"/>
      <c r="D12" s="125" t="s">
        <v>267</v>
      </c>
      <c r="E12" s="125"/>
      <c r="F12" s="125"/>
      <c r="G12"/>
      <c r="I12" s="220" t="s">
        <v>268</v>
      </c>
      <c r="J12" s="221" t="s">
        <v>269</v>
      </c>
      <c r="K12" s="221" t="s">
        <v>270</v>
      </c>
      <c r="L12" s="225" t="s">
        <v>271</v>
      </c>
      <c r="M12" s="222" t="s">
        <v>272</v>
      </c>
      <c r="N12" s="223" t="s">
        <v>273</v>
      </c>
      <c r="O12" s="227" t="s">
        <v>274</v>
      </c>
    </row>
    <row r="13" spans="2:15" ht="16" x14ac:dyDescent="0.2">
      <c r="B13" s="334" t="s">
        <v>186</v>
      </c>
      <c r="C13"/>
      <c r="D13" s="329">
        <v>1000</v>
      </c>
      <c r="E13" s="330"/>
      <c r="F13" s="126" t="s">
        <v>275</v>
      </c>
      <c r="G13"/>
      <c r="I13" s="224" t="s">
        <v>276</v>
      </c>
      <c r="J13" s="224" t="s">
        <v>277</v>
      </c>
      <c r="K13" s="335">
        <v>0.5</v>
      </c>
      <c r="L13" s="236">
        <f>IF(Waste_Gases[[#This Row],[Molar Fraction (%)]]=0,"",Waste_Gases[[#This Row],[Molar Fraction (%)]]*$D$15)</f>
        <v>2.0400000000000001E-2</v>
      </c>
      <c r="M13" s="336">
        <v>28.010399999999997</v>
      </c>
      <c r="N13" s="234">
        <f>Emission_Factors!$B$17/Waste_Gases[[#This Row],[Molecular Weight]]</f>
        <v>0.42880501528003884</v>
      </c>
      <c r="O13" s="235">
        <f>IF(Waste_Gases[[#This Row],[Molar Fraction (%)]]=0,"",Waste_Gases[[#This Row],[Total Moles (kg-mole/m3)]]*Waste_Gases[[#This Row],[Molecular Weight]]*Waste_Gases[[#This Row],[Percent Carbon (%)]])</f>
        <v>0.24502439999999998</v>
      </c>
    </row>
    <row r="14" spans="2:15" ht="15" x14ac:dyDescent="0.2">
      <c r="B14" s="127" t="s">
        <v>187</v>
      </c>
      <c r="C14"/>
      <c r="D14" s="125" t="s">
        <v>278</v>
      </c>
      <c r="E14" s="125"/>
      <c r="F14" s="125"/>
      <c r="G14"/>
      <c r="I14" s="224" t="s">
        <v>279</v>
      </c>
      <c r="J14" s="224" t="s">
        <v>280</v>
      </c>
      <c r="K14" s="335">
        <v>0.05</v>
      </c>
      <c r="L14" s="236">
        <f>IF(Waste_Gases[[#This Row],[Molar Fraction (%)]]=0,"",Waste_Gases[[#This Row],[Molar Fraction (%)]]*$D$15)</f>
        <v>2.0400000000000001E-3</v>
      </c>
      <c r="M14" s="336">
        <v>44.009799999999998</v>
      </c>
      <c r="N14" s="234">
        <f>Emission_Factors!$B$17/Waste_Gases[[#This Row],[Molecular Weight]]</f>
        <v>0.27291648678248936</v>
      </c>
      <c r="O14" s="235">
        <f>IF(Waste_Gases[[#This Row],[Molar Fraction (%)]]=0,"",Waste_Gases[[#This Row],[Total Moles (kg-mole/m3)]]*Waste_Gases[[#This Row],[Molecular Weight]]*Waste_Gases[[#This Row],[Percent Carbon (%)]])</f>
        <v>2.450244E-2</v>
      </c>
    </row>
    <row r="15" spans="2:15" ht="15" x14ac:dyDescent="0.2">
      <c r="B15" s="128" t="s">
        <v>188</v>
      </c>
      <c r="C15"/>
      <c r="D15" s="226">
        <v>4.0800000000000003E-2</v>
      </c>
      <c r="E15" s="219"/>
      <c r="F15" s="128" t="s">
        <v>281</v>
      </c>
      <c r="G15"/>
      <c r="I15" s="224" t="s">
        <v>282</v>
      </c>
      <c r="J15" s="224" t="s">
        <v>283</v>
      </c>
      <c r="K15" s="335">
        <v>0.02</v>
      </c>
      <c r="L15" s="236">
        <f>IF(Waste_Gases[[#This Row],[Molar Fraction (%)]]=0,"",Waste_Gases[[#This Row],[Molar Fraction (%)]]*$D$15)</f>
        <v>8.160000000000001E-4</v>
      </c>
      <c r="M15" s="336">
        <v>16.0426</v>
      </c>
      <c r="N15" s="234">
        <f>Emission_Factors!$B$17/Waste_Gases[[#This Row],[Molecular Weight]]</f>
        <v>0.74869410195354857</v>
      </c>
      <c r="O15" s="235">
        <f>IF(Waste_Gases[[#This Row],[Molar Fraction (%)]]=0,"",Waste_Gases[[#This Row],[Total Moles (kg-mole/m3)]]*Waste_Gases[[#This Row],[Molecular Weight]]*Waste_Gases[[#This Row],[Percent Carbon (%)]])</f>
        <v>9.8009759999999994E-3</v>
      </c>
    </row>
    <row r="16" spans="2:15" x14ac:dyDescent="0.2">
      <c r="D16" s="172" t="str">
        <f>IF(SUM(D$14:D$15)&gt;0,"x","")</f>
        <v>x</v>
      </c>
      <c r="E16" s="172" t="str">
        <f>IF(SUM(E$14:E$15)&gt;0,"x","")</f>
        <v/>
      </c>
      <c r="F16" s="172" t="str">
        <f>IF(SUM(F$14:F$15)&gt;0,"x","")</f>
        <v/>
      </c>
      <c r="G16" s="172" t="str">
        <f>IF(SUM(G$14:G$15)&gt;0,"x","")</f>
        <v/>
      </c>
      <c r="I16" s="224" t="s">
        <v>284</v>
      </c>
      <c r="J16" s="224" t="s">
        <v>285</v>
      </c>
      <c r="K16" s="335">
        <v>0.21</v>
      </c>
      <c r="L16" s="236">
        <f>IF(Waste_Gases[[#This Row],[Molar Fraction (%)]]=0,"",Waste_Gases[[#This Row],[Molar Fraction (%)]]*$D$15)</f>
        <v>8.568000000000001E-3</v>
      </c>
      <c r="M16" s="336">
        <v>26.037799999999997</v>
      </c>
      <c r="N16" s="234">
        <f>Emission_Factors!$B$17/Waste_Gases[[#This Row],[Molecular Weight]]</f>
        <v>0.46129089247171423</v>
      </c>
      <c r="O16" s="235">
        <f>IF(Waste_Gases[[#This Row],[Molar Fraction (%)]]=0,"",Waste_Gases[[#This Row],[Total Moles (kg-mole/m3)]]*Waste_Gases[[#This Row],[Molecular Weight]]*Waste_Gases[[#This Row],[Percent Carbon (%)]])</f>
        <v>0.10291024800000001</v>
      </c>
    </row>
    <row r="17" spans="2:15" x14ac:dyDescent="0.2">
      <c r="B17" s="125" t="s">
        <v>286</v>
      </c>
      <c r="D17" s="125" t="s">
        <v>287</v>
      </c>
      <c r="E17" s="125"/>
      <c r="F17" s="125"/>
      <c r="I17" s="224" t="s">
        <v>288</v>
      </c>
      <c r="J17" s="224" t="s">
        <v>289</v>
      </c>
      <c r="K17" s="335">
        <v>0.01</v>
      </c>
      <c r="L17" s="237">
        <f>IF(Waste_Gases[[#This Row],[Molar Fraction (%)]]=0,"",Waste_Gases[[#This Row],[Molar Fraction (%)]]*$D$15)</f>
        <v>4.0800000000000005E-4</v>
      </c>
      <c r="M17" s="336">
        <v>28.053599999999999</v>
      </c>
      <c r="N17" s="234">
        <f>Emission_Factors!$B$17/Waste_Gases[[#This Row],[Molecular Weight]]</f>
        <v>0.42814469444206804</v>
      </c>
      <c r="O17" s="235">
        <f>IF(Waste_Gases[[#This Row],[Molar Fraction (%)]]=0,"",Waste_Gases[[#This Row],[Total Moles (kg-mole/m3)]]*Waste_Gases[[#This Row],[Molecular Weight]]*Waste_Gases[[#This Row],[Percent Carbon (%)]])</f>
        <v>4.9004880000000006E-3</v>
      </c>
    </row>
    <row r="18" spans="2:15" ht="15" x14ac:dyDescent="0.2">
      <c r="B18" s="249">
        <f>($D$18*$O$30/100*($M$14/12.011))*$D$13</f>
        <v>14.185238736000002</v>
      </c>
      <c r="D18" s="333">
        <v>1</v>
      </c>
      <c r="E18" s="330"/>
      <c r="F18" s="126" t="s">
        <v>290</v>
      </c>
      <c r="I18" s="224" t="s">
        <v>291</v>
      </c>
      <c r="J18" s="224" t="s">
        <v>292</v>
      </c>
      <c r="K18" s="335">
        <v>0</v>
      </c>
      <c r="L18" s="237" t="str">
        <f>IF(Waste_Gases[[#This Row],[Molar Fraction (%)]]=0,"",Waste_Gases[[#This Row],[Molar Fraction (%)]]*$D$15)</f>
        <v/>
      </c>
      <c r="M18" s="336">
        <v>30.069399999999998</v>
      </c>
      <c r="N18" s="234">
        <f>Emission_Factors!$B$17/Waste_Gases[[#This Row],[Molecular Weight]]</f>
        <v>0.39944262273274489</v>
      </c>
      <c r="O18" s="235" t="str">
        <f>IF(Waste_Gases[[#This Row],[Molar Fraction (%)]]=0,"",Waste_Gases[[#This Row],[Total Moles (kg-mole/m3)]]*Waste_Gases[[#This Row],[Molecular Weight]]*Waste_Gases[[#This Row],[Percent Carbon (%)]])</f>
        <v/>
      </c>
    </row>
    <row r="19" spans="2:15" ht="15" x14ac:dyDescent="0.2">
      <c r="B19"/>
      <c r="D19" s="173" t="s">
        <v>293</v>
      </c>
      <c r="I19" s="224" t="s">
        <v>294</v>
      </c>
      <c r="J19" s="224" t="s">
        <v>295</v>
      </c>
      <c r="K19" s="335">
        <v>0</v>
      </c>
      <c r="L19" s="237" t="str">
        <f>IF(Waste_Gases[[#This Row],[Molar Fraction (%)]]=0,"",Waste_Gases[[#This Row],[Molar Fraction (%)]]*$D$15)</f>
        <v/>
      </c>
      <c r="M19" s="336">
        <v>42.080399999999997</v>
      </c>
      <c r="N19" s="234">
        <f>Emission_Factors!$B$17/Waste_Gases[[#This Row],[Molecular Weight]]</f>
        <v>0.28542979629471205</v>
      </c>
      <c r="O19" s="235" t="str">
        <f>IF(Waste_Gases[[#This Row],[Molar Fraction (%)]]=0,"",Waste_Gases[[#This Row],[Total Moles (kg-mole/m3)]]*Waste_Gases[[#This Row],[Molecular Weight]]*Waste_Gases[[#This Row],[Percent Carbon (%)]])</f>
        <v/>
      </c>
    </row>
    <row r="20" spans="2:15" ht="15" x14ac:dyDescent="0.2">
      <c r="B20"/>
      <c r="I20" s="224" t="s">
        <v>296</v>
      </c>
      <c r="J20" s="224" t="s">
        <v>297</v>
      </c>
      <c r="K20" s="335">
        <v>0</v>
      </c>
      <c r="L20" s="237" t="str">
        <f>IF(Waste_Gases[[#This Row],[Molar Fraction (%)]]=0,"",Waste_Gases[[#This Row],[Molar Fraction (%)]]*$D$15)</f>
        <v/>
      </c>
      <c r="M20" s="336">
        <v>44.096200000000003</v>
      </c>
      <c r="N20" s="234">
        <f>Emission_Factors!$B$17/Waste_Gases[[#This Row],[Molecular Weight]]</f>
        <v>0.27238174718002905</v>
      </c>
      <c r="O20" s="235" t="str">
        <f>IF(Waste_Gases[[#This Row],[Molar Fraction (%)]]=0,"",Waste_Gases[[#This Row],[Total Moles (kg-mole/m3)]]*Waste_Gases[[#This Row],[Molecular Weight]]*Waste_Gases[[#This Row],[Percent Carbon (%)]])</f>
        <v/>
      </c>
    </row>
    <row r="21" spans="2:15" ht="15" x14ac:dyDescent="0.2">
      <c r="B21"/>
      <c r="I21" s="224" t="s">
        <v>298</v>
      </c>
      <c r="J21" s="224" t="s">
        <v>299</v>
      </c>
      <c r="K21" s="335">
        <v>0</v>
      </c>
      <c r="L21" s="237" t="str">
        <f>IF(Waste_Gases[[#This Row],[Molar Fraction (%)]]=0,"",Waste_Gases[[#This Row],[Molar Fraction (%)]]*$D$15)</f>
        <v/>
      </c>
      <c r="M21" s="336">
        <v>58.122999999999998</v>
      </c>
      <c r="N21" s="234">
        <f>Emission_Factors!$B$17/Waste_Gases[[#This Row],[Molecular Weight]]</f>
        <v>0.2066479706828622</v>
      </c>
      <c r="O21" s="235" t="str">
        <f>IF(Waste_Gases[[#This Row],[Molar Fraction (%)]]=0,"",Waste_Gases[[#This Row],[Total Moles (kg-mole/m3)]]*Waste_Gases[[#This Row],[Molecular Weight]]*Waste_Gases[[#This Row],[Percent Carbon (%)]])</f>
        <v/>
      </c>
    </row>
    <row r="22" spans="2:15" x14ac:dyDescent="0.2">
      <c r="I22" s="224" t="s">
        <v>300</v>
      </c>
      <c r="J22" s="224" t="s">
        <v>301</v>
      </c>
      <c r="K22" s="335">
        <v>0</v>
      </c>
      <c r="L22" s="237" t="str">
        <f>IF(Waste_Gases[[#This Row],[Molar Fraction (%)]]=0,"",Waste_Gases[[#This Row],[Molar Fraction (%)]]*$D$15)</f>
        <v/>
      </c>
      <c r="M22" s="336">
        <v>78.113399999999999</v>
      </c>
      <c r="N22" s="234">
        <f>Emission_Factors!$B$17/Waste_Gases[[#This Row],[Molecular Weight]]</f>
        <v>0.15376363082390473</v>
      </c>
      <c r="O22" s="235" t="str">
        <f>IF(Waste_Gases[[#This Row],[Molar Fraction (%)]]=0,"",Waste_Gases[[#This Row],[Total Moles (kg-mole/m3)]]*Waste_Gases[[#This Row],[Molecular Weight]]*Waste_Gases[[#This Row],[Percent Carbon (%)]])</f>
        <v/>
      </c>
    </row>
    <row r="23" spans="2:15" x14ac:dyDescent="0.2">
      <c r="I23" s="224" t="s">
        <v>302</v>
      </c>
      <c r="J23" s="224" t="s">
        <v>303</v>
      </c>
      <c r="K23" s="335">
        <v>0</v>
      </c>
      <c r="L23" s="237" t="str">
        <f>IF(Waste_Gases[[#This Row],[Molar Fraction (%)]]=0,"",Waste_Gases[[#This Row],[Molar Fraction (%)]]*$D$15)</f>
        <v/>
      </c>
      <c r="M23" s="336">
        <v>86.176600000000008</v>
      </c>
      <c r="N23" s="234">
        <f>Emission_Factors!$B$17/Waste_Gases[[#This Row],[Molecular Weight]]</f>
        <v>0.13937658250615595</v>
      </c>
      <c r="O23" s="235" t="str">
        <f>IF(Waste_Gases[[#This Row],[Molar Fraction (%)]]=0,"",Waste_Gases[[#This Row],[Total Moles (kg-mole/m3)]]*Waste_Gases[[#This Row],[Molecular Weight]]*Waste_Gases[[#This Row],[Percent Carbon (%)]])</f>
        <v/>
      </c>
    </row>
    <row r="24" spans="2:15" x14ac:dyDescent="0.2">
      <c r="I24" s="224" t="s">
        <v>304</v>
      </c>
      <c r="J24" s="224" t="s">
        <v>305</v>
      </c>
      <c r="K24" s="335">
        <v>0</v>
      </c>
      <c r="L24" s="237" t="str">
        <f>IF(Waste_Gases[[#This Row],[Molar Fraction (%)]]=0,"",Waste_Gases[[#This Row],[Molar Fraction (%)]]*$D$15)</f>
        <v/>
      </c>
      <c r="M24" s="336">
        <v>92.140199999999993</v>
      </c>
      <c r="N24" s="234">
        <f>Emission_Factors!$B$17/Waste_Gases[[#This Row],[Molecular Weight]]</f>
        <v>0.13035569707901654</v>
      </c>
      <c r="O24" s="235" t="str">
        <f>IF(Waste_Gases[[#This Row],[Molar Fraction (%)]]=0,"",Waste_Gases[[#This Row],[Total Moles (kg-mole/m3)]]*Waste_Gases[[#This Row],[Molecular Weight]]*Waste_Gases[[#This Row],[Percent Carbon (%)]])</f>
        <v/>
      </c>
    </row>
    <row r="25" spans="2:15" x14ac:dyDescent="0.2">
      <c r="I25" s="224" t="s">
        <v>306</v>
      </c>
      <c r="J25" s="224" t="s">
        <v>307</v>
      </c>
      <c r="K25" s="335">
        <v>0</v>
      </c>
      <c r="L25" s="237" t="str">
        <f>IF(Waste_Gases[[#This Row],[Molar Fraction (%)]]=0,"",Waste_Gases[[#This Row],[Molar Fraction (%)]]*$D$15)</f>
        <v/>
      </c>
      <c r="M25" s="336">
        <v>114.2302</v>
      </c>
      <c r="N25" s="234">
        <f>Emission_Factors!$B$17/Waste_Gases[[#This Row],[Molecular Weight]]</f>
        <v>0.10514732531327092</v>
      </c>
      <c r="O25" s="235" t="str">
        <f>IF(Waste_Gases[[#This Row],[Molar Fraction (%)]]=0,"",Waste_Gases[[#This Row],[Total Moles (kg-mole/m3)]]*Waste_Gases[[#This Row],[Molecular Weight]]*Waste_Gases[[#This Row],[Percent Carbon (%)]])</f>
        <v/>
      </c>
    </row>
    <row r="26" spans="2:15" x14ac:dyDescent="0.2">
      <c r="I26" s="224" t="s">
        <v>308</v>
      </c>
      <c r="J26" s="224" t="s">
        <v>309</v>
      </c>
      <c r="K26" s="335">
        <v>0</v>
      </c>
      <c r="L26" s="237" t="str">
        <f>IF(Waste_Gases[[#This Row],[Molar Fraction (%)]]=0,"",Waste_Gases[[#This Row],[Molar Fraction (%)]]*$D$15)</f>
        <v/>
      </c>
      <c r="M26" s="336">
        <v>46.068799999999996</v>
      </c>
      <c r="N26" s="234">
        <f>Emission_Factors!$B$17/Waste_Gases[[#This Row],[Molecular Weight]]</f>
        <v>0.26071875108533327</v>
      </c>
      <c r="O26" s="235" t="str">
        <f>IF(Waste_Gases[[#This Row],[Molar Fraction (%)]]=0,"",Waste_Gases[[#This Row],[Total Moles (kg-mole/m3)]]*Waste_Gases[[#This Row],[Molecular Weight]]*Waste_Gases[[#This Row],[Percent Carbon (%)]])</f>
        <v/>
      </c>
    </row>
    <row r="27" spans="2:15" x14ac:dyDescent="0.2">
      <c r="I27" s="224" t="s">
        <v>310</v>
      </c>
      <c r="J27" s="224" t="s">
        <v>311</v>
      </c>
      <c r="K27" s="335">
        <v>0</v>
      </c>
      <c r="L27" s="237" t="str">
        <f>IF(Waste_Gases[[#This Row],[Molar Fraction (%)]]=0,"",Waste_Gases[[#This Row],[Molar Fraction (%)]]*$D$15)</f>
        <v/>
      </c>
      <c r="M27" s="336">
        <v>58.079799999999999</v>
      </c>
      <c r="N27" s="234">
        <f>Emission_Factors!$B$17/Waste_Gases[[#This Row],[Molecular Weight]]</f>
        <v>0.20680167631431237</v>
      </c>
      <c r="O27" s="235" t="str">
        <f>IF(Waste_Gases[[#This Row],[Molar Fraction (%)]]=0,"",Waste_Gases[[#This Row],[Total Moles (kg-mole/m3)]]*Waste_Gases[[#This Row],[Molecular Weight]]*Waste_Gases[[#This Row],[Percent Carbon (%)]])</f>
        <v/>
      </c>
    </row>
    <row r="28" spans="2:15" x14ac:dyDescent="0.2">
      <c r="I28" s="224" t="s">
        <v>312</v>
      </c>
      <c r="J28" s="224" t="s">
        <v>313</v>
      </c>
      <c r="K28" s="335">
        <v>0</v>
      </c>
      <c r="L28" s="237" t="str">
        <f>IF(Waste_Gases[[#This Row],[Molar Fraction (%)]]=0,"",Waste_Gases[[#This Row],[Molar Fraction (%)]]*$D$15)</f>
        <v/>
      </c>
      <c r="M28" s="336">
        <v>72.1066</v>
      </c>
      <c r="N28" s="234">
        <f>Emission_Factors!$B$17/Waste_Gases[[#This Row],[Molecular Weight]]</f>
        <v>0.16657282412428265</v>
      </c>
      <c r="O28" s="235" t="str">
        <f>IF(Waste_Gases[[#This Row],[Molar Fraction (%)]]=0,"",Waste_Gases[[#This Row],[Total Moles (kg-mole/m3)]]*Waste_Gases[[#This Row],[Molecular Weight]]*Waste_Gases[[#This Row],[Percent Carbon (%)]])</f>
        <v/>
      </c>
    </row>
    <row r="29" spans="2:15" x14ac:dyDescent="0.2">
      <c r="I29" s="224" t="s">
        <v>314</v>
      </c>
      <c r="J29" s="224"/>
      <c r="K29" s="246">
        <f>1-SUM(K13:K28)</f>
        <v>0.20999999999999996</v>
      </c>
      <c r="L29" s="237">
        <f>IF(Waste_Gases[[#This Row],[Molar Fraction (%)]]=0,"",Waste_Gases[[#This Row],[Molar Fraction (%)]]*$D$15)</f>
        <v>8.5679999999999992E-3</v>
      </c>
      <c r="M29" s="247">
        <v>0</v>
      </c>
      <c r="N29" s="248">
        <v>0</v>
      </c>
      <c r="O29" s="238">
        <f>IF(Waste_Gases[[#This Row],[Molar Fraction (%)]]=0,"",Waste_Gases[[#This Row],[Total Moles (kg-mole/m3)]]*Waste_Gases[[#This Row],[Molecular Weight]]*Waste_Gases[[#This Row],[Percent Carbon (%)]])</f>
        <v>0</v>
      </c>
    </row>
    <row r="30" spans="2:15" x14ac:dyDescent="0.2">
      <c r="I30" s="239" t="s">
        <v>164</v>
      </c>
      <c r="J30" s="240"/>
      <c r="K30" s="241">
        <f>SUM(K13:K29)</f>
        <v>1</v>
      </c>
      <c r="L30" s="242">
        <f>SUM(L13:L29)</f>
        <v>4.0800000000000003E-2</v>
      </c>
      <c r="M30" s="243"/>
      <c r="N30" s="244"/>
      <c r="O30" s="245">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1" zoomScaleNormal="100" workbookViewId="0">
      <selection activeCell="L24" sqref="L24"/>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6.83203125" style="12" customWidth="1"/>
    <col min="10" max="10" width="15.5" style="21" customWidth="1"/>
    <col min="11" max="11" width="9.5" style="21" bestFit="1" customWidth="1"/>
    <col min="12" max="12" width="19.6640625" style="20" bestFit="1" customWidth="1"/>
    <col min="13" max="13" width="12" style="22" customWidth="1"/>
    <col min="14" max="14" width="24.33203125" style="20" customWidth="1"/>
    <col min="15" max="15" width="37" style="20" customWidth="1"/>
    <col min="16" max="16" width="3.1640625" style="20" customWidth="1"/>
    <col min="17" max="17" width="7.83203125" style="44" customWidth="1"/>
    <col min="18" max="18" width="10.83203125" style="43" customWidth="1"/>
    <col min="19" max="19" width="3.83203125" style="20" customWidth="1"/>
    <col min="20" max="16384" width="10.83203125" style="20"/>
  </cols>
  <sheetData>
    <row r="2" spans="2:17" ht="19" x14ac:dyDescent="0.25">
      <c r="B2" s="261" t="s">
        <v>30</v>
      </c>
      <c r="C2" s="30"/>
      <c r="D2" s="30"/>
      <c r="E2" s="30"/>
      <c r="F2" s="30"/>
      <c r="G2" s="31"/>
      <c r="I2" s="379" t="s">
        <v>315</v>
      </c>
      <c r="J2" s="380"/>
      <c r="K2" s="380"/>
      <c r="L2" s="381"/>
      <c r="M2" s="382"/>
      <c r="N2" s="381"/>
      <c r="O2" s="383"/>
      <c r="Q2" s="43"/>
    </row>
    <row r="3" spans="2:17" x14ac:dyDescent="0.2">
      <c r="B3" s="32" t="s">
        <v>9</v>
      </c>
      <c r="C3" s="33"/>
      <c r="D3" s="34" t="s">
        <v>172</v>
      </c>
      <c r="E3" s="33"/>
      <c r="F3" s="33" t="s">
        <v>173</v>
      </c>
      <c r="G3" s="35"/>
      <c r="I3" s="53"/>
      <c r="O3" s="23"/>
      <c r="Q3" s="43"/>
    </row>
    <row r="4" spans="2:17" x14ac:dyDescent="0.2">
      <c r="B4" s="166" t="str">
        <f>'1. Data Info and Summary'!$D$2</f>
        <v>Security Plant Complex</v>
      </c>
      <c r="C4" s="36"/>
      <c r="D4" s="37">
        <f>IF('1. Data Info and Summary'!$D$3=0,"-",'1. Data Info and Summary'!$D$3)</f>
        <v>2024</v>
      </c>
      <c r="E4" s="36"/>
      <c r="F4" s="36" t="s">
        <v>169</v>
      </c>
      <c r="G4" s="38"/>
      <c r="I4" s="41"/>
      <c r="J4" s="25"/>
      <c r="K4" s="25"/>
      <c r="L4" s="24"/>
      <c r="M4" s="26"/>
      <c r="N4" s="24"/>
      <c r="O4" s="27"/>
      <c r="Q4" s="43"/>
    </row>
    <row r="5" spans="2:17" x14ac:dyDescent="0.2">
      <c r="B5" s="216"/>
      <c r="C5" s="217"/>
      <c r="D5" s="216"/>
      <c r="E5" s="217"/>
      <c r="F5" s="217"/>
      <c r="G5" s="217"/>
      <c r="Q5" s="43"/>
    </row>
    <row r="6" spans="2:17" x14ac:dyDescent="0.2">
      <c r="B6" s="283" t="s">
        <v>176</v>
      </c>
      <c r="C6" s="460"/>
      <c r="D6" s="461"/>
      <c r="E6" s="461"/>
      <c r="F6" s="461"/>
      <c r="G6" s="462"/>
      <c r="I6" s="399" t="s">
        <v>316</v>
      </c>
      <c r="J6" s="397"/>
      <c r="K6" s="397"/>
      <c r="L6" s="397"/>
      <c r="M6" s="398"/>
      <c r="N6" s="397"/>
      <c r="O6" s="397"/>
      <c r="Q6" s="43"/>
    </row>
    <row r="7" spans="2:17" ht="15" x14ac:dyDescent="0.2">
      <c r="B7" s="283" t="s">
        <v>178</v>
      </c>
      <c r="C7" s="460"/>
      <c r="D7" s="461"/>
      <c r="E7" s="461"/>
      <c r="F7" s="461"/>
      <c r="G7" s="462"/>
      <c r="I7" s="252" t="s">
        <v>177</v>
      </c>
      <c r="J7" s="253" t="s">
        <v>43</v>
      </c>
      <c r="K7" s="253" t="s">
        <v>47</v>
      </c>
      <c r="L7" s="253" t="s">
        <v>140</v>
      </c>
      <c r="M7" s="258" t="s">
        <v>143</v>
      </c>
      <c r="N7" s="259" t="s">
        <v>145</v>
      </c>
      <c r="O7" s="257" t="s">
        <v>58</v>
      </c>
      <c r="Q7" s="43"/>
    </row>
    <row r="8" spans="2:17" x14ac:dyDescent="0.2">
      <c r="I8" s="198">
        <f>IF(Waste[[#This Row],[Month]]="","",1)</f>
        <v>1</v>
      </c>
      <c r="J8" s="57" t="s">
        <v>193</v>
      </c>
      <c r="K8" s="198" t="str">
        <f>IF(Waste[[#This Row],[Month]]&lt;&gt;"",VLOOKUP(Waste[[#This Row],[Month]], dropdown!$S$4:$T$15, 2, FALSE),"")</f>
        <v>Q1</v>
      </c>
      <c r="L8" s="56" t="s">
        <v>317</v>
      </c>
      <c r="M8" s="28">
        <v>33021.699999999997</v>
      </c>
      <c r="N8" s="56" t="s">
        <v>318</v>
      </c>
      <c r="O8" s="199" t="s">
        <v>319</v>
      </c>
      <c r="Q8" s="43"/>
    </row>
    <row r="9" spans="2:17" x14ac:dyDescent="0.2">
      <c r="B9" s="14" t="s">
        <v>137</v>
      </c>
      <c r="C9" s="14"/>
      <c r="D9" s="14"/>
      <c r="E9" s="14"/>
      <c r="F9" s="14"/>
      <c r="G9" s="14"/>
      <c r="I9" s="198">
        <f>IF(Waste[[#This Row],[Month]]="","",$I8+1)</f>
        <v>2</v>
      </c>
      <c r="J9" s="57" t="s">
        <v>92</v>
      </c>
      <c r="K9" s="198" t="str">
        <f>IF(Waste[[#This Row],[Month]]&lt;&gt;"",VLOOKUP(Waste[[#This Row],[Month]], dropdown!$S$4:$T$15, 2, FALSE),"")</f>
        <v>Q1</v>
      </c>
      <c r="L9" s="56" t="s">
        <v>317</v>
      </c>
      <c r="M9" s="28">
        <v>49138.44</v>
      </c>
      <c r="N9" s="56" t="s">
        <v>318</v>
      </c>
      <c r="O9" s="199" t="s">
        <v>319</v>
      </c>
      <c r="Q9" s="43"/>
    </row>
    <row r="10" spans="2:17" x14ac:dyDescent="0.2">
      <c r="B10" s="13" t="s">
        <v>140</v>
      </c>
      <c r="C10" s="13" t="s">
        <v>55</v>
      </c>
      <c r="D10" s="39" t="s">
        <v>49</v>
      </c>
      <c r="E10" s="39" t="s">
        <v>153</v>
      </c>
      <c r="F10" s="39" t="s">
        <v>154</v>
      </c>
      <c r="G10" s="39" t="s">
        <v>155</v>
      </c>
      <c r="I10" s="198">
        <f>IF(Waste[[#This Row],[Month]]="","",$I9+1)</f>
        <v>3</v>
      </c>
      <c r="J10" s="57" t="s">
        <v>180</v>
      </c>
      <c r="K10" s="198" t="str">
        <f>IF(Waste[[#This Row],[Month]]&lt;&gt;"",VLOOKUP(Waste[[#This Row],[Month]], dropdown!$S$4:$T$15, 2, FALSE),"")</f>
        <v>Q1</v>
      </c>
      <c r="L10" s="56" t="s">
        <v>317</v>
      </c>
      <c r="M10" s="28">
        <v>63293.5</v>
      </c>
      <c r="N10" s="56" t="s">
        <v>318</v>
      </c>
      <c r="O10" s="199" t="s">
        <v>319</v>
      </c>
      <c r="Q10" s="43"/>
    </row>
    <row r="11" spans="2:17" x14ac:dyDescent="0.2">
      <c r="B11" s="17" t="str">
        <f>dropdown!$B4</f>
        <v>Compostable</v>
      </c>
      <c r="C11" s="17" t="s">
        <v>320</v>
      </c>
      <c r="D11" s="40">
        <f>SUMIFS(Waste[Weight (kg)],Waste[Quarter],D$10,Waste[Waste Composition],$B$11)</f>
        <v>0</v>
      </c>
      <c r="E11" s="40">
        <f>SUMIFS(Waste[Weight (kg)],Waste[Quarter],E$10,Waste[Waste Composition],$B11)</f>
        <v>0</v>
      </c>
      <c r="F11" s="40">
        <f>SUMIFS(Waste[Weight (kg)],Waste[Quarter],F$10,Waste[Waste Composition],$B11)</f>
        <v>0</v>
      </c>
      <c r="G11" s="40">
        <f>SUMIFS(Waste[Weight (kg)],Waste[Quarter],G$10,Waste[Waste Composition],$B11)</f>
        <v>0</v>
      </c>
      <c r="I11" s="198">
        <f>IF(Waste[[#This Row],[Month]]="","",$I10+1)</f>
        <v>4</v>
      </c>
      <c r="J11" s="57" t="s">
        <v>196</v>
      </c>
      <c r="K11" s="198" t="str">
        <f>IF(Waste[[#This Row],[Month]]&lt;&gt;"",VLOOKUP(Waste[[#This Row],[Month]], dropdown!$S$4:$T$15, 2, FALSE),"")</f>
        <v>Q2</v>
      </c>
      <c r="L11" s="56" t="s">
        <v>317</v>
      </c>
      <c r="M11" s="28">
        <v>62657.43</v>
      </c>
      <c r="N11" s="56" t="s">
        <v>318</v>
      </c>
      <c r="O11" s="199" t="s">
        <v>319</v>
      </c>
      <c r="Q11" s="43"/>
    </row>
    <row r="12" spans="2:17" x14ac:dyDescent="0.2">
      <c r="B12" s="17" t="str">
        <f>dropdown!$B5</f>
        <v>Recyclable</v>
      </c>
      <c r="C12" s="17" t="s">
        <v>320</v>
      </c>
      <c r="D12" s="40">
        <f>SUMIFS(Waste[Weight (kg)],Waste[Quarter],D$10,Waste[Waste Composition],$B12)</f>
        <v>0</v>
      </c>
      <c r="E12" s="40">
        <f>SUMIFS(Waste[Weight (kg)],Waste[Quarter],E$10,Waste[Waste Composition],$B12)</f>
        <v>0</v>
      </c>
      <c r="F12" s="40">
        <f>SUMIFS(Waste[Weight (kg)],Waste[Quarter],F$10,Waste[Waste Composition],$B12)</f>
        <v>0</v>
      </c>
      <c r="G12" s="40">
        <f>SUMIFS(Waste[Weight (kg)],Waste[Quarter],G$10,Waste[Waste Composition],$B12)</f>
        <v>0</v>
      </c>
      <c r="I12" s="198">
        <f>IF(Waste[[#This Row],[Month]]="","",$I11+1)</f>
        <v>5</v>
      </c>
      <c r="J12" s="57" t="s">
        <v>197</v>
      </c>
      <c r="K12" s="198" t="str">
        <f>IF(Waste[[#This Row],[Month]]&lt;&gt;"",VLOOKUP(Waste[[#This Row],[Month]], dropdown!$S$4:$T$15, 2, FALSE),"")</f>
        <v>Q2</v>
      </c>
      <c r="L12" s="56" t="s">
        <v>317</v>
      </c>
      <c r="M12" s="28">
        <v>107194.9</v>
      </c>
      <c r="N12" s="56" t="s">
        <v>318</v>
      </c>
      <c r="O12" s="199" t="s">
        <v>319</v>
      </c>
      <c r="Q12" s="43"/>
    </row>
    <row r="13" spans="2:17" ht="15" x14ac:dyDescent="0.2">
      <c r="B13" s="17" t="str">
        <f>dropdown!$B6</f>
        <v>Infectious</v>
      </c>
      <c r="C13" s="17" t="s">
        <v>320</v>
      </c>
      <c r="D13" s="40">
        <f>SUMIFS(Waste[Weight (kg)],Waste[Quarter],D$10,Waste[Waste Composition],$B13)</f>
        <v>0</v>
      </c>
      <c r="E13" s="40">
        <f>SUMIFS(Waste[Weight (kg)],Waste[Quarter],E$10,Waste[Waste Composition],$B13)</f>
        <v>17.5</v>
      </c>
      <c r="F13" s="40">
        <f>SUMIFS(Waste[Weight (kg)],Waste[Quarter],F$10,Waste[Waste Composition],$B13)</f>
        <v>10</v>
      </c>
      <c r="G13" s="40">
        <f>SUMIFS(Waste[Weight (kg)],Waste[Quarter],G$10,Waste[Waste Composition],$B13)</f>
        <v>0</v>
      </c>
      <c r="H13" s="178"/>
      <c r="I13" s="198">
        <f>IF(Waste[[#This Row],[Month]]="","",$I12+1)</f>
        <v>6</v>
      </c>
      <c r="J13" s="57" t="s">
        <v>183</v>
      </c>
      <c r="K13" s="198" t="str">
        <f>IF(Waste[[#This Row],[Month]]&lt;&gt;"",VLOOKUP(Waste[[#This Row],[Month]], dropdown!$S$4:$T$15, 2, FALSE),"")</f>
        <v>Q2</v>
      </c>
      <c r="L13" s="56" t="s">
        <v>317</v>
      </c>
      <c r="M13" s="28">
        <v>61844.68</v>
      </c>
      <c r="N13" s="56" t="s">
        <v>318</v>
      </c>
      <c r="O13" s="199" t="s">
        <v>319</v>
      </c>
    </row>
    <row r="14" spans="2:17" ht="14" customHeight="1" x14ac:dyDescent="0.2">
      <c r="B14" s="17" t="str">
        <f>dropdown!$B7</f>
        <v>Security</v>
      </c>
      <c r="C14" s="17" t="s">
        <v>320</v>
      </c>
      <c r="D14" s="40">
        <f>SUMIFS(Waste[Weight (kg)],Waste[Quarter],D$10,Waste[Waste Composition],$B14)</f>
        <v>0</v>
      </c>
      <c r="E14" s="40">
        <f>SUMIFS(Waste[Weight (kg)],Waste[Quarter],E$10,Waste[Waste Composition],$B14)</f>
        <v>0</v>
      </c>
      <c r="F14" s="40">
        <f>SUMIFS(Waste[Weight (kg)],Waste[Quarter],F$10,Waste[Waste Composition],$B14)</f>
        <v>0</v>
      </c>
      <c r="G14" s="40">
        <f>SUMIFS(Waste[Weight (kg)],Waste[Quarter],G$10,Waste[Waste Composition],$B14)</f>
        <v>0</v>
      </c>
      <c r="I14" s="198">
        <f>IF(Waste[[#This Row],[Month]]="","",$I13+1)</f>
        <v>7</v>
      </c>
      <c r="J14" s="57" t="s">
        <v>198</v>
      </c>
      <c r="K14" s="198" t="str">
        <f>IF(Waste[[#This Row],[Month]]&lt;&gt;"",VLOOKUP(Waste[[#This Row],[Month]], dropdown!$S$4:$T$15, 2, FALSE),"")</f>
        <v>Q3</v>
      </c>
      <c r="L14" s="56" t="s">
        <v>317</v>
      </c>
      <c r="M14" s="28">
        <v>103935.73</v>
      </c>
      <c r="N14" s="56" t="s">
        <v>318</v>
      </c>
      <c r="O14" s="199" t="s">
        <v>319</v>
      </c>
      <c r="Q14" s="43"/>
    </row>
    <row r="15" spans="2:17" ht="15" customHeight="1" x14ac:dyDescent="0.2">
      <c r="B15" s="17" t="str">
        <f>dropdown!$B8</f>
        <v>Hazardous</v>
      </c>
      <c r="C15" s="17" t="s">
        <v>320</v>
      </c>
      <c r="D15" s="40">
        <f>SUMIFS(Waste[Weight (kg)],Waste[Quarter],D$10,Waste[Waste Composition],$B15)</f>
        <v>145453.64000000001</v>
      </c>
      <c r="E15" s="40">
        <f>SUMIFS(Waste[Weight (kg)],Waste[Quarter],E$10,Waste[Waste Composition],$B15)</f>
        <v>231697.00999999998</v>
      </c>
      <c r="F15" s="40">
        <f>SUMIFS(Waste[Weight (kg)],Waste[Quarter],F$10,Waste[Waste Composition],$B15)</f>
        <v>326413.07</v>
      </c>
      <c r="G15" s="40">
        <f>SUMIFS(Waste[Weight (kg)],Waste[Quarter],G$10,Waste[Waste Composition],$B15)</f>
        <v>193932.22</v>
      </c>
      <c r="I15" s="198">
        <f>IF(Waste[[#This Row],[Month]]="","",$I14+1)</f>
        <v>8</v>
      </c>
      <c r="J15" s="57" t="s">
        <v>45</v>
      </c>
      <c r="K15" s="198" t="str">
        <f>IF(Waste[[#This Row],[Month]]&lt;&gt;"",VLOOKUP(Waste[[#This Row],[Month]], dropdown!$S$4:$T$15, 2, FALSE),"")</f>
        <v>Q3</v>
      </c>
      <c r="L15" s="56" t="s">
        <v>317</v>
      </c>
      <c r="M15" s="28">
        <v>113273.63</v>
      </c>
      <c r="N15" s="56" t="s">
        <v>318</v>
      </c>
      <c r="O15" s="199" t="s">
        <v>319</v>
      </c>
    </row>
    <row r="16" spans="2:17" x14ac:dyDescent="0.2">
      <c r="B16" s="17" t="s">
        <v>321</v>
      </c>
      <c r="C16" s="17" t="s">
        <v>320</v>
      </c>
      <c r="D16" s="40">
        <f>SUMIFS(Waste[Weight (kg)],Waste[Quarter],D$10,Waste[Waste Composition],$B16)</f>
        <v>0</v>
      </c>
      <c r="E16" s="40">
        <f>SUMIFS(Waste[Weight (kg)],Waste[Quarter],E$10,Waste[Waste Composition],$B16)</f>
        <v>0</v>
      </c>
      <c r="F16" s="40">
        <f>SUMIFS(Waste[Weight (kg)],Waste[Quarter],F$10,Waste[Waste Composition],$B16)</f>
        <v>0</v>
      </c>
      <c r="G16" s="40">
        <f>SUMIFS(Waste[Weight (kg)],Waste[Quarter],G$10,Waste[Waste Composition],$B16)</f>
        <v>0</v>
      </c>
      <c r="I16" s="198">
        <f>IF(Waste[[#This Row],[Month]]="","",$I15+1)</f>
        <v>9</v>
      </c>
      <c r="J16" s="57" t="s">
        <v>184</v>
      </c>
      <c r="K16" s="198" t="str">
        <f>IF(Waste[[#This Row],[Month]]&lt;&gt;"",VLOOKUP(Waste[[#This Row],[Month]], dropdown!$S$4:$T$15, 2, FALSE),"")</f>
        <v>Q3</v>
      </c>
      <c r="L16" s="56" t="s">
        <v>317</v>
      </c>
      <c r="M16" s="28">
        <v>109203.71</v>
      </c>
      <c r="N16" s="56" t="s">
        <v>318</v>
      </c>
      <c r="O16" s="199" t="s">
        <v>319</v>
      </c>
    </row>
    <row r="17" spans="2:15" x14ac:dyDescent="0.2">
      <c r="I17" s="198">
        <f>IF(Waste[[#This Row],[Month]]="","",$I16+1)</f>
        <v>10</v>
      </c>
      <c r="J17" s="57" t="s">
        <v>199</v>
      </c>
      <c r="K17" s="198" t="str">
        <f>IF(Waste[[#This Row],[Month]]&lt;&gt;"",VLOOKUP(Waste[[#This Row],[Month]], dropdown!$S$4:$T$15, 2, FALSE),"")</f>
        <v>Q4</v>
      </c>
      <c r="L17" s="56" t="s">
        <v>317</v>
      </c>
      <c r="M17" s="28">
        <v>79717.119999999995</v>
      </c>
      <c r="N17" s="56" t="s">
        <v>318</v>
      </c>
      <c r="O17" s="199" t="s">
        <v>319</v>
      </c>
    </row>
    <row r="18" spans="2:15" x14ac:dyDescent="0.2">
      <c r="B18" s="270" t="s">
        <v>42</v>
      </c>
      <c r="I18" s="198">
        <f>IF(Waste[[#This Row],[Month]]="","",$I17+1)</f>
        <v>11</v>
      </c>
      <c r="J18" s="57" t="s">
        <v>200</v>
      </c>
      <c r="K18" s="198" t="str">
        <f>IF(Waste[[#This Row],[Month]]&lt;&gt;"",VLOOKUP(Waste[[#This Row],[Month]], dropdown!$S$4:$T$15, 2, FALSE),"")</f>
        <v>Q4</v>
      </c>
      <c r="L18" s="56" t="s">
        <v>317</v>
      </c>
      <c r="M18" s="28">
        <v>66518.2</v>
      </c>
      <c r="N18" s="56" t="s">
        <v>318</v>
      </c>
      <c r="O18" s="199" t="s">
        <v>319</v>
      </c>
    </row>
    <row r="19" spans="2:15" x14ac:dyDescent="0.2">
      <c r="B19" s="271" t="s">
        <v>186</v>
      </c>
      <c r="I19" s="198">
        <f>IF(Waste[[#This Row],[Month]]="","",$I18+1)</f>
        <v>12</v>
      </c>
      <c r="J19" s="57" t="s">
        <v>185</v>
      </c>
      <c r="K19" s="198" t="str">
        <f>IF(Waste[[#This Row],[Month]]&lt;&gt;"",VLOOKUP(Waste[[#This Row],[Month]], dropdown!$S$4:$T$15, 2, FALSE),"")</f>
        <v>Q4</v>
      </c>
      <c r="L19" s="56" t="s">
        <v>317</v>
      </c>
      <c r="M19" s="28">
        <v>47696.9</v>
      </c>
      <c r="N19" s="56" t="s">
        <v>318</v>
      </c>
      <c r="O19" s="199" t="s">
        <v>319</v>
      </c>
    </row>
    <row r="20" spans="2:15" x14ac:dyDescent="0.2">
      <c r="B20" s="269" t="s">
        <v>187</v>
      </c>
      <c r="I20" s="198">
        <f>IF(Waste[[#This Row],[Month]]="","",$I19+1)</f>
        <v>13</v>
      </c>
      <c r="J20" s="57" t="s">
        <v>196</v>
      </c>
      <c r="K20" s="198" t="str">
        <f>IF(Waste[[#This Row],[Month]]&lt;&gt;"",VLOOKUP(Waste[[#This Row],[Month]], dropdown!$S$4:$T$15, 2, FALSE),"")</f>
        <v>Q2</v>
      </c>
      <c r="L20" s="56" t="s">
        <v>322</v>
      </c>
      <c r="M20" s="28">
        <v>17.5</v>
      </c>
      <c r="N20" s="56" t="s">
        <v>318</v>
      </c>
      <c r="O20" s="199" t="s">
        <v>319</v>
      </c>
    </row>
    <row r="21" spans="2:15" x14ac:dyDescent="0.2">
      <c r="B21" s="17" t="s">
        <v>188</v>
      </c>
      <c r="I21" s="198">
        <f>IF(Waste[[#This Row],[Month]]="","",$I20+1)</f>
        <v>14</v>
      </c>
      <c r="J21" s="57" t="s">
        <v>198</v>
      </c>
      <c r="K21" s="198" t="str">
        <f>IF(Waste[[#This Row],[Month]]&lt;&gt;"",VLOOKUP(Waste[[#This Row],[Month]], dropdown!$S$4:$T$15, 2, FALSE),"")</f>
        <v>Q3</v>
      </c>
      <c r="L21" s="56" t="s">
        <v>322</v>
      </c>
      <c r="M21" s="28">
        <v>4</v>
      </c>
      <c r="N21" s="56" t="s">
        <v>318</v>
      </c>
      <c r="O21" s="199" t="s">
        <v>319</v>
      </c>
    </row>
    <row r="22" spans="2:15" x14ac:dyDescent="0.2">
      <c r="I22" s="198">
        <f>IF(Waste[[#This Row],[Month]]="","",$I21+1)</f>
        <v>15</v>
      </c>
      <c r="J22" s="57" t="s">
        <v>184</v>
      </c>
      <c r="K22" s="198" t="str">
        <f>IF(Waste[[#This Row],[Month]]&lt;&gt;"",VLOOKUP(Waste[[#This Row],[Month]], dropdown!$S$4:$T$15, 2, FALSE),"")</f>
        <v>Q3</v>
      </c>
      <c r="L22" s="56" t="s">
        <v>322</v>
      </c>
      <c r="M22" s="28">
        <v>6</v>
      </c>
      <c r="N22" s="56" t="s">
        <v>318</v>
      </c>
      <c r="O22" s="199" t="s">
        <v>319</v>
      </c>
    </row>
    <row r="23" spans="2:15" x14ac:dyDescent="0.2">
      <c r="I23" s="198" t="str">
        <f>IF(Waste[[#This Row],[Month]]="","",$I22+1)</f>
        <v/>
      </c>
      <c r="J23" s="57"/>
      <c r="K23" s="198" t="str">
        <f>IF(Waste[[#This Row],[Month]]&lt;&gt;"",VLOOKUP(Waste[[#This Row],[Month]], dropdown!$S$4:$T$15, 2, FALSE),"")</f>
        <v/>
      </c>
      <c r="L23" s="56"/>
      <c r="M23" s="28"/>
      <c r="N23" s="56"/>
      <c r="O23" s="199"/>
    </row>
    <row r="24" spans="2:15" x14ac:dyDescent="0.2">
      <c r="I24" s="198" t="str">
        <f>IF(Waste[[#This Row],[Month]]="","",$I23+1)</f>
        <v/>
      </c>
      <c r="J24" s="57"/>
      <c r="K24" s="198" t="str">
        <f>IF(Waste[[#This Row],[Month]]&lt;&gt;"",VLOOKUP(Waste[[#This Row],[Month]], dropdown!$S$4:$T$15, 2, FALSE),"")</f>
        <v/>
      </c>
      <c r="L24" s="56"/>
      <c r="M24" s="28"/>
      <c r="N24" s="56"/>
      <c r="O24" s="199"/>
    </row>
    <row r="25" spans="2:15" x14ac:dyDescent="0.2">
      <c r="I25" s="198" t="str">
        <f>IF(Waste[[#This Row],[Month]]="","",$I24+1)</f>
        <v/>
      </c>
      <c r="J25" s="57"/>
      <c r="K25" s="198" t="str">
        <f>IF(Waste[[#This Row],[Month]]&lt;&gt;"",VLOOKUP(Waste[[#This Row],[Month]], dropdown!$S$4:$T$15, 2, FALSE),"")</f>
        <v/>
      </c>
      <c r="L25" s="56"/>
      <c r="M25" s="28"/>
      <c r="N25" s="56"/>
      <c r="O25" s="199"/>
    </row>
    <row r="26" spans="2:15" ht="14" customHeight="1" x14ac:dyDescent="0.2">
      <c r="I26" s="198" t="str">
        <f>IF(Waste[[#This Row],[Month]]="","",$I25+1)</f>
        <v/>
      </c>
      <c r="J26" s="57"/>
      <c r="K26" s="198" t="str">
        <f>IF(Waste[[#This Row],[Month]]&lt;&gt;"",VLOOKUP(Waste[[#This Row],[Month]], dropdown!$S$4:$T$15, 2, FALSE),"")</f>
        <v/>
      </c>
      <c r="L26" s="56"/>
      <c r="M26" s="28"/>
      <c r="N26" s="56"/>
      <c r="O26" s="199"/>
    </row>
    <row r="27" spans="2:15" x14ac:dyDescent="0.2">
      <c r="I27" s="198" t="str">
        <f>IF(Waste[[#This Row],[Month]]="","",$I26+1)</f>
        <v/>
      </c>
      <c r="J27" s="57"/>
      <c r="K27" s="198" t="str">
        <f>IF(Waste[[#This Row],[Month]]&lt;&gt;"",VLOOKUP(Waste[[#This Row],[Month]], dropdown!$S$4:$T$15, 2, FALSE),"")</f>
        <v/>
      </c>
      <c r="L27" s="56"/>
      <c r="M27" s="28"/>
      <c r="N27" s="56"/>
      <c r="O27" s="199"/>
    </row>
    <row r="28" spans="2:15" ht="14" customHeight="1" x14ac:dyDescent="0.2">
      <c r="I28" s="198" t="str">
        <f>IF(Waste[[#This Row],[Month]]="","",$I27+1)</f>
        <v/>
      </c>
      <c r="J28" s="57"/>
      <c r="K28" s="198" t="str">
        <f>IF(Waste[[#This Row],[Month]]&lt;&gt;"",VLOOKUP(Waste[[#This Row],[Month]], dropdown!$S$4:$T$15, 2, FALSE),"")</f>
        <v/>
      </c>
      <c r="L28" s="56"/>
      <c r="M28" s="28"/>
      <c r="N28" s="56"/>
      <c r="O28" s="199"/>
    </row>
    <row r="29" spans="2:15" x14ac:dyDescent="0.2">
      <c r="I29" s="198" t="str">
        <f>IF(Waste[[#This Row],[Month]]="","",$I28+1)</f>
        <v/>
      </c>
      <c r="J29" s="57"/>
      <c r="K29" s="198" t="str">
        <f>IF(Waste[[#This Row],[Month]]&lt;&gt;"",VLOOKUP(Waste[[#This Row],[Month]], dropdown!$S$4:$T$15, 2, FALSE),"")</f>
        <v/>
      </c>
      <c r="L29" s="56"/>
      <c r="M29" s="28"/>
      <c r="N29" s="56"/>
      <c r="O29" s="199"/>
    </row>
    <row r="30" spans="2:15" ht="14" customHeight="1" x14ac:dyDescent="0.2">
      <c r="I30" s="198" t="str">
        <f>IF(Waste[[#This Row],[Month]]="","",$I29+1)</f>
        <v/>
      </c>
      <c r="J30" s="57"/>
      <c r="K30" s="198" t="str">
        <f>IF(Waste[[#This Row],[Month]]&lt;&gt;"",VLOOKUP(Waste[[#This Row],[Month]], dropdown!$S$4:$T$15, 2, FALSE),"")</f>
        <v/>
      </c>
      <c r="L30" s="56"/>
      <c r="M30" s="28"/>
      <c r="N30" s="56"/>
      <c r="O30" s="199"/>
    </row>
    <row r="31" spans="2:15" x14ac:dyDescent="0.2">
      <c r="I31" s="198" t="str">
        <f>IF(Waste[[#This Row],[Month]]="","",$I30+1)</f>
        <v/>
      </c>
      <c r="J31" s="57"/>
      <c r="K31" s="198" t="str">
        <f>IF(Waste[[#This Row],[Month]]&lt;&gt;"",VLOOKUP(Waste[[#This Row],[Month]], dropdown!$S$4:$T$15, 2, FALSE),"")</f>
        <v/>
      </c>
      <c r="L31" s="56"/>
      <c r="M31" s="28"/>
      <c r="N31" s="56"/>
      <c r="O31" s="199"/>
    </row>
    <row r="32" spans="2:15" ht="14" customHeight="1" x14ac:dyDescent="0.2">
      <c r="I32" s="198" t="str">
        <f>IF(Waste[[#This Row],[Month]]="","",$I31+1)</f>
        <v/>
      </c>
      <c r="J32" s="57"/>
      <c r="K32" s="198" t="str">
        <f>IF(Waste[[#This Row],[Month]]&lt;&gt;"",VLOOKUP(Waste[[#This Row],[Month]], dropdown!$S$4:$T$15, 2, FALSE),"")</f>
        <v/>
      </c>
      <c r="L32" s="56"/>
      <c r="M32" s="28"/>
      <c r="N32" s="56"/>
      <c r="O32" s="199"/>
    </row>
    <row r="33" spans="9:15" x14ac:dyDescent="0.2">
      <c r="I33" s="198" t="str">
        <f>IF(Waste[[#This Row],[Month]]="","",$I32+1)</f>
        <v/>
      </c>
      <c r="J33" s="57"/>
      <c r="K33" s="198" t="str">
        <f>IF(Waste[[#This Row],[Month]]&lt;&gt;"",VLOOKUP(Waste[[#This Row],[Month]], dropdown!$S$4:$T$15, 2, FALSE),"")</f>
        <v/>
      </c>
      <c r="L33" s="56"/>
      <c r="M33" s="28"/>
      <c r="N33" s="56"/>
      <c r="O33" s="199"/>
    </row>
    <row r="34" spans="9:15" x14ac:dyDescent="0.2">
      <c r="I34" s="198" t="str">
        <f>IF(Waste[[#This Row],[Month]]="","",$I33+1)</f>
        <v/>
      </c>
      <c r="J34" s="57"/>
      <c r="K34" s="198" t="str">
        <f>IF(Waste[[#This Row],[Month]]&lt;&gt;"",VLOOKUP(Waste[[#This Row],[Month]], dropdown!$S$4:$T$15, 2, FALSE),"")</f>
        <v/>
      </c>
      <c r="L34" s="56"/>
      <c r="M34" s="28"/>
      <c r="N34" s="56"/>
      <c r="O34" s="199"/>
    </row>
    <row r="35" spans="9:15" x14ac:dyDescent="0.2">
      <c r="I35" s="198" t="str">
        <f>IF(Waste[[#This Row],[Month]]="","",$I34+1)</f>
        <v/>
      </c>
      <c r="J35" s="57"/>
      <c r="K35" s="198" t="str">
        <f>IF(Waste[[#This Row],[Month]]&lt;&gt;"",VLOOKUP(Waste[[#This Row],[Month]], dropdown!$S$4:$T$15, 2, FALSE),"")</f>
        <v/>
      </c>
      <c r="L35" s="56"/>
      <c r="M35" s="28"/>
      <c r="N35" s="56"/>
      <c r="O35" s="199"/>
    </row>
    <row r="36" spans="9:15" x14ac:dyDescent="0.2">
      <c r="I36" s="198" t="str">
        <f>IF(Waste[[#This Row],[Month]]="","",$I35+1)</f>
        <v/>
      </c>
      <c r="J36" s="57"/>
      <c r="K36" s="198" t="str">
        <f>IF(Waste[[#This Row],[Month]]&lt;&gt;"",VLOOKUP(Waste[[#This Row],[Month]], dropdown!$S$4:$T$15, 2, FALSE),"")</f>
        <v/>
      </c>
      <c r="L36" s="56"/>
      <c r="M36" s="28"/>
      <c r="N36" s="56"/>
      <c r="O36" s="199"/>
    </row>
    <row r="37" spans="9:15" x14ac:dyDescent="0.2">
      <c r="I37" s="198" t="str">
        <f>IF(Waste[[#This Row],[Month]]="","",$I36+1)</f>
        <v/>
      </c>
      <c r="J37" s="57"/>
      <c r="K37" s="198" t="str">
        <f>IF(Waste[[#This Row],[Month]]&lt;&gt;"",VLOOKUP(Waste[[#This Row],[Month]], dropdown!$S$4:$T$15, 2, FALSE),"")</f>
        <v/>
      </c>
      <c r="L37" s="56"/>
      <c r="M37" s="28"/>
      <c r="N37" s="56"/>
      <c r="O37" s="199"/>
    </row>
    <row r="38" spans="9:15" x14ac:dyDescent="0.2">
      <c r="I38" s="198" t="str">
        <f>IF(Waste[[#This Row],[Month]]="","",$I37+1)</f>
        <v/>
      </c>
      <c r="J38" s="57"/>
      <c r="K38" s="198" t="str">
        <f>IF(Waste[[#This Row],[Month]]&lt;&gt;"",VLOOKUP(Waste[[#This Row],[Month]], dropdown!$S$4:$T$15, 2, FALSE),"")</f>
        <v/>
      </c>
      <c r="L38" s="56"/>
      <c r="M38" s="28"/>
      <c r="N38" s="56"/>
      <c r="O38" s="199"/>
    </row>
    <row r="39" spans="9:15" x14ac:dyDescent="0.2">
      <c r="I39" s="198" t="str">
        <f>IF(Waste[[#This Row],[Month]]="","",$I38+1)</f>
        <v/>
      </c>
      <c r="J39" s="57"/>
      <c r="K39" s="198" t="str">
        <f>IF(Waste[[#This Row],[Month]]&lt;&gt;"",VLOOKUP(Waste[[#This Row],[Month]], dropdown!$S$4:$T$15, 2, FALSE),"")</f>
        <v/>
      </c>
      <c r="L39" s="56"/>
      <c r="M39" s="28"/>
      <c r="N39" s="56"/>
      <c r="O39" s="199"/>
    </row>
    <row r="40" spans="9:15" x14ac:dyDescent="0.2">
      <c r="I40" s="198" t="str">
        <f>IF(Waste[[#This Row],[Month]]="","",$I39+1)</f>
        <v/>
      </c>
      <c r="J40" s="57"/>
      <c r="K40" s="198" t="str">
        <f>IF(Waste[[#This Row],[Month]]&lt;&gt;"",VLOOKUP(Waste[[#This Row],[Month]], dropdown!$S$4:$T$15, 2, FALSE),"")</f>
        <v/>
      </c>
      <c r="L40" s="56"/>
      <c r="M40" s="28"/>
      <c r="N40" s="56"/>
      <c r="O40" s="199"/>
    </row>
    <row r="41" spans="9:15" x14ac:dyDescent="0.2">
      <c r="I41" s="198" t="str">
        <f>IF(Waste[[#This Row],[Month]]="","",$I40+1)</f>
        <v/>
      </c>
      <c r="J41" s="57"/>
      <c r="K41" s="198" t="str">
        <f>IF(Waste[[#This Row],[Month]]&lt;&gt;"",VLOOKUP(Waste[[#This Row],[Month]], dropdown!$S$4:$T$15, 2, FALSE),"")</f>
        <v/>
      </c>
      <c r="L41" s="56"/>
      <c r="M41" s="28"/>
      <c r="N41" s="56"/>
      <c r="O41" s="199"/>
    </row>
    <row r="42" spans="9:15" x14ac:dyDescent="0.2">
      <c r="I42" s="198" t="str">
        <f>IF(Waste[[#This Row],[Month]]="","",$I41+1)</f>
        <v/>
      </c>
      <c r="J42" s="57"/>
      <c r="K42" s="198" t="str">
        <f>IF(Waste[[#This Row],[Month]]&lt;&gt;"",VLOOKUP(Waste[[#This Row],[Month]], dropdown!$S$4:$T$15, 2, FALSE),"")</f>
        <v/>
      </c>
      <c r="L42" s="56"/>
      <c r="M42" s="28"/>
      <c r="N42" s="56"/>
      <c r="O42" s="199"/>
    </row>
    <row r="43" spans="9:15" x14ac:dyDescent="0.2">
      <c r="I43" s="198" t="str">
        <f>IF(Waste[[#This Row],[Month]]="","",$I42+1)</f>
        <v/>
      </c>
      <c r="J43" s="57"/>
      <c r="K43" s="198" t="str">
        <f>IF(Waste[[#This Row],[Month]]&lt;&gt;"",VLOOKUP(Waste[[#This Row],[Month]], dropdown!$S$4:$T$15, 2, FALSE),"")</f>
        <v/>
      </c>
      <c r="L43" s="56"/>
      <c r="M43" s="28"/>
      <c r="N43" s="56"/>
      <c r="O43" s="199"/>
    </row>
    <row r="44" spans="9:15" x14ac:dyDescent="0.2">
      <c r="I44" s="198" t="str">
        <f>IF(Waste[[#This Row],[Month]]="","",$I43+1)</f>
        <v/>
      </c>
      <c r="J44" s="57"/>
      <c r="K44" s="198" t="str">
        <f>IF(Waste[[#This Row],[Month]]&lt;&gt;"",VLOOKUP(Waste[[#This Row],[Month]], dropdown!$S$4:$T$15, 2, FALSE),"")</f>
        <v/>
      </c>
      <c r="L44" s="56"/>
      <c r="M44" s="28"/>
      <c r="N44" s="56"/>
      <c r="O44" s="199"/>
    </row>
    <row r="45" spans="9:15" x14ac:dyDescent="0.2">
      <c r="I45" s="198" t="str">
        <f>IF(Waste[[#This Row],[Month]]="","",$I44+1)</f>
        <v/>
      </c>
      <c r="J45" s="57"/>
      <c r="K45" s="198" t="str">
        <f>IF(Waste[[#This Row],[Month]]&lt;&gt;"",VLOOKUP(Waste[[#This Row],[Month]], dropdown!$S$4:$T$15, 2, FALSE),"")</f>
        <v/>
      </c>
      <c r="L45" s="56"/>
      <c r="M45" s="28"/>
      <c r="N45" s="56"/>
      <c r="O45" s="199"/>
    </row>
    <row r="46" spans="9:15" x14ac:dyDescent="0.2">
      <c r="I46" s="198" t="str">
        <f>IF(Waste[[#This Row],[Month]]="","",$I45+1)</f>
        <v/>
      </c>
      <c r="J46" s="57"/>
      <c r="K46" s="198" t="str">
        <f>IF(Waste[[#This Row],[Month]]&lt;&gt;"",VLOOKUP(Waste[[#This Row],[Month]], dropdown!$S$4:$T$15, 2, FALSE),"")</f>
        <v/>
      </c>
      <c r="L46" s="56"/>
      <c r="M46" s="28"/>
      <c r="N46" s="56"/>
      <c r="O46" s="199"/>
    </row>
    <row r="47" spans="9:15" x14ac:dyDescent="0.2">
      <c r="I47" s="198" t="str">
        <f>IF(Waste[[#This Row],[Month]]="","",$I46+1)</f>
        <v/>
      </c>
      <c r="J47" s="57"/>
      <c r="K47" s="198" t="str">
        <f>IF(Waste[[#This Row],[Month]]&lt;&gt;"",VLOOKUP(Waste[[#This Row],[Month]], dropdown!$S$4:$T$15, 2, FALSE),"")</f>
        <v/>
      </c>
      <c r="L47" s="56"/>
      <c r="M47" s="28"/>
      <c r="N47" s="56"/>
      <c r="O47" s="199"/>
    </row>
    <row r="48" spans="9:15" x14ac:dyDescent="0.2">
      <c r="I48" s="198" t="str">
        <f>IF(Waste[[#This Row],[Month]]="","",$I47+1)</f>
        <v/>
      </c>
      <c r="J48" s="57"/>
      <c r="K48" s="198" t="str">
        <f>IF(Waste[[#This Row],[Month]]&lt;&gt;"",VLOOKUP(Waste[[#This Row],[Month]], dropdown!$S$4:$T$15, 2, FALSE),"")</f>
        <v/>
      </c>
      <c r="L48" s="56"/>
      <c r="M48" s="28"/>
      <c r="N48" s="56"/>
      <c r="O48" s="199"/>
    </row>
    <row r="49" spans="9:15" x14ac:dyDescent="0.2">
      <c r="I49" s="198" t="str">
        <f>IF(Waste[[#This Row],[Month]]="","",$I48+1)</f>
        <v/>
      </c>
      <c r="J49" s="57"/>
      <c r="K49" s="198" t="str">
        <f>IF(Waste[[#This Row],[Month]]&lt;&gt;"",VLOOKUP(Waste[[#This Row],[Month]], dropdown!$S$4:$T$15, 2, FALSE),"")</f>
        <v/>
      </c>
      <c r="L49" s="56"/>
      <c r="M49" s="28"/>
      <c r="N49" s="56"/>
      <c r="O49" s="199"/>
    </row>
    <row r="50" spans="9:15" x14ac:dyDescent="0.2">
      <c r="I50" s="198" t="str">
        <f>IF(Waste[[#This Row],[Month]]="","",$I49+1)</f>
        <v/>
      </c>
      <c r="J50" s="57"/>
      <c r="K50" s="198" t="str">
        <f>IF(Waste[[#This Row],[Month]]&lt;&gt;"",VLOOKUP(Waste[[#This Row],[Month]], dropdown!$S$4:$T$15, 2, FALSE),"")</f>
        <v/>
      </c>
      <c r="L50" s="56"/>
      <c r="M50" s="28"/>
      <c r="N50" s="56"/>
      <c r="O50" s="199"/>
    </row>
    <row r="51" spans="9:15" x14ac:dyDescent="0.2">
      <c r="I51" s="198" t="str">
        <f>IF(Waste[[#This Row],[Month]]="","",$I50+1)</f>
        <v/>
      </c>
      <c r="J51" s="57"/>
      <c r="K51" s="198" t="str">
        <f>IF(Waste[[#This Row],[Month]]&lt;&gt;"",VLOOKUP(Waste[[#This Row],[Month]], dropdown!$S$4:$T$15, 2, FALSE),"")</f>
        <v/>
      </c>
      <c r="L51" s="56"/>
      <c r="M51" s="28"/>
      <c r="N51" s="56"/>
      <c r="O51" s="199"/>
    </row>
    <row r="52" spans="9:15" x14ac:dyDescent="0.2">
      <c r="I52" s="198" t="str">
        <f>IF(Waste[[#This Row],[Month]]="","",$I51+1)</f>
        <v/>
      </c>
      <c r="J52" s="57"/>
      <c r="K52" s="198" t="str">
        <f>IF(Waste[[#This Row],[Month]]&lt;&gt;"",VLOOKUP(Waste[[#This Row],[Month]], dropdown!$S$4:$T$15, 2, FALSE),"")</f>
        <v/>
      </c>
      <c r="L52" s="56"/>
      <c r="M52" s="28"/>
      <c r="N52" s="56"/>
      <c r="O52" s="199"/>
    </row>
    <row r="53" spans="9:15" x14ac:dyDescent="0.2">
      <c r="I53" s="198" t="str">
        <f>IF(Waste[[#This Row],[Month]]="","",$I52+1)</f>
        <v/>
      </c>
      <c r="J53" s="57"/>
      <c r="K53" s="198" t="str">
        <f>IF(Waste[[#This Row],[Month]]&lt;&gt;"",VLOOKUP(Waste[[#This Row],[Month]], dropdown!$S$4:$T$15, 2, FALSE),"")</f>
        <v/>
      </c>
      <c r="L53" s="56"/>
      <c r="M53" s="28"/>
      <c r="N53" s="56"/>
      <c r="O53" s="199"/>
    </row>
    <row r="54" spans="9:15" x14ac:dyDescent="0.2">
      <c r="I54" s="198" t="str">
        <f>IF(Waste[[#This Row],[Month]]="","",$I53+1)</f>
        <v/>
      </c>
      <c r="J54" s="57"/>
      <c r="K54" s="198" t="str">
        <f>IF(Waste[[#This Row],[Month]]&lt;&gt;"",VLOOKUP(Waste[[#This Row],[Month]], dropdown!$S$4:$T$15, 2, FALSE),"")</f>
        <v/>
      </c>
      <c r="L54" s="56"/>
      <c r="M54" s="28"/>
      <c r="N54" s="56"/>
      <c r="O54" s="199"/>
    </row>
    <row r="55" spans="9:15" x14ac:dyDescent="0.2">
      <c r="I55" s="198" t="str">
        <f>IF(Waste[[#This Row],[Month]]="","",$I54+1)</f>
        <v/>
      </c>
      <c r="J55" s="57"/>
      <c r="K55" s="198" t="str">
        <f>IF(Waste[[#This Row],[Month]]&lt;&gt;"",VLOOKUP(Waste[[#This Row],[Month]], dropdown!$S$4:$T$15, 2, FALSE),"")</f>
        <v/>
      </c>
      <c r="L55" s="56"/>
      <c r="M55" s="28"/>
      <c r="N55" s="56"/>
      <c r="O55" s="199"/>
    </row>
    <row r="56" spans="9:15" x14ac:dyDescent="0.2">
      <c r="I56" s="198" t="str">
        <f>IF(Waste[[#This Row],[Month]]="","",$I55+1)</f>
        <v/>
      </c>
      <c r="J56" s="57"/>
      <c r="K56" s="198" t="str">
        <f>IF(Waste[[#This Row],[Month]]&lt;&gt;"",VLOOKUP(Waste[[#This Row],[Month]], dropdown!$S$4:$T$15, 2, FALSE),"")</f>
        <v/>
      </c>
      <c r="L56" s="56"/>
      <c r="M56" s="28"/>
      <c r="N56" s="56"/>
      <c r="O56" s="199"/>
    </row>
    <row r="57" spans="9:15" x14ac:dyDescent="0.2">
      <c r="I57" s="198" t="str">
        <f>IF(Waste[[#This Row],[Month]]="","",$I56+1)</f>
        <v/>
      </c>
      <c r="J57" s="57"/>
      <c r="K57" s="198" t="str">
        <f>IF(Waste[[#This Row],[Month]]&lt;&gt;"",VLOOKUP(Waste[[#This Row],[Month]], dropdown!$S$4:$T$15, 2, FALSE),"")</f>
        <v/>
      </c>
      <c r="L57" s="56"/>
      <c r="M57" s="28"/>
      <c r="N57" s="56"/>
      <c r="O57" s="199"/>
    </row>
    <row r="58" spans="9:15" x14ac:dyDescent="0.2">
      <c r="I58" s="198" t="str">
        <f>IF(Waste[[#This Row],[Month]]="","",$I57+1)</f>
        <v/>
      </c>
      <c r="J58" s="57"/>
      <c r="K58" s="198" t="str">
        <f>IF(Waste[[#This Row],[Month]]&lt;&gt;"",VLOOKUP(Waste[[#This Row],[Month]], dropdown!$S$4:$T$15, 2, FALSE),"")</f>
        <v/>
      </c>
      <c r="L58" s="56"/>
      <c r="M58" s="28"/>
      <c r="N58" s="56"/>
      <c r="O58" s="199"/>
    </row>
    <row r="59" spans="9:15" x14ac:dyDescent="0.2">
      <c r="I59" s="198" t="str">
        <f>IF(Waste[[#This Row],[Month]]="","",$I58+1)</f>
        <v/>
      </c>
      <c r="J59" s="57"/>
      <c r="K59" s="198" t="str">
        <f>IF(Waste[[#This Row],[Month]]&lt;&gt;"",VLOOKUP(Waste[[#This Row],[Month]], dropdown!$S$4:$T$15, 2, FALSE),"")</f>
        <v/>
      </c>
      <c r="L59" s="56"/>
      <c r="M59" s="28"/>
      <c r="N59" s="56"/>
      <c r="O59" s="199"/>
    </row>
    <row r="60" spans="9:15" x14ac:dyDescent="0.2">
      <c r="I60" s="198" t="str">
        <f>IF(Waste[[#This Row],[Month]]="","",$I59+1)</f>
        <v/>
      </c>
      <c r="J60" s="57"/>
      <c r="K60" s="198" t="str">
        <f>IF(Waste[[#This Row],[Month]]&lt;&gt;"",VLOOKUP(Waste[[#This Row],[Month]], dropdown!$S$4:$T$15, 2, FALSE),"")</f>
        <v/>
      </c>
      <c r="L60" s="56"/>
      <c r="M60" s="28"/>
      <c r="N60" s="56"/>
      <c r="O60" s="199"/>
    </row>
    <row r="61" spans="9:15" x14ac:dyDescent="0.2">
      <c r="I61" s="198" t="str">
        <f>IF(Waste[[#This Row],[Month]]="","",$I60+1)</f>
        <v/>
      </c>
      <c r="J61" s="57"/>
      <c r="K61" s="198" t="str">
        <f>IF(Waste[[#This Row],[Month]]&lt;&gt;"",VLOOKUP(Waste[[#This Row],[Month]], dropdown!$S$4:$T$15, 2, FALSE),"")</f>
        <v/>
      </c>
      <c r="L61" s="56"/>
      <c r="M61" s="28"/>
      <c r="N61" s="56"/>
      <c r="O61" s="199"/>
    </row>
    <row r="62" spans="9:15" x14ac:dyDescent="0.2">
      <c r="I62" s="198" t="str">
        <f>IF(Waste[[#This Row],[Month]]="","",$I61+1)</f>
        <v/>
      </c>
      <c r="J62" s="57"/>
      <c r="K62" s="198" t="str">
        <f>IF(Waste[[#This Row],[Month]]&lt;&gt;"",VLOOKUP(Waste[[#This Row],[Month]], dropdown!$S$4:$T$15, 2, FALSE),"")</f>
        <v/>
      </c>
      <c r="L62" s="56"/>
      <c r="M62" s="28"/>
      <c r="N62" s="56"/>
      <c r="O62" s="199"/>
    </row>
    <row r="63" spans="9:15" x14ac:dyDescent="0.2">
      <c r="I63" s="198" t="str">
        <f>IF(Waste[[#This Row],[Month]]="","",$I62+1)</f>
        <v/>
      </c>
      <c r="J63" s="57"/>
      <c r="K63" s="198" t="str">
        <f>IF(Waste[[#This Row],[Month]]&lt;&gt;"",VLOOKUP(Waste[[#This Row],[Month]], dropdown!$S$4:$T$15, 2, FALSE),"")</f>
        <v/>
      </c>
      <c r="L63" s="56"/>
      <c r="M63" s="28"/>
      <c r="N63" s="56"/>
      <c r="O63" s="199"/>
    </row>
    <row r="64" spans="9:15" x14ac:dyDescent="0.2">
      <c r="I64" s="198" t="str">
        <f>IF(Waste[[#This Row],[Month]]="","",$I63+1)</f>
        <v/>
      </c>
      <c r="J64" s="57"/>
      <c r="K64" s="198" t="str">
        <f>IF(Waste[[#This Row],[Month]]&lt;&gt;"",VLOOKUP(Waste[[#This Row],[Month]], dropdown!$S$4:$T$15, 2, FALSE),"")</f>
        <v/>
      </c>
      <c r="L64" s="56"/>
      <c r="M64" s="28"/>
      <c r="N64" s="56"/>
      <c r="O64" s="199"/>
    </row>
    <row r="65" spans="9:15" x14ac:dyDescent="0.2">
      <c r="I65" s="198" t="str">
        <f>IF(Waste[[#This Row],[Month]]="","",$I64+1)</f>
        <v/>
      </c>
      <c r="J65" s="57"/>
      <c r="K65" s="198" t="str">
        <f>IF(Waste[[#This Row],[Month]]&lt;&gt;"",VLOOKUP(Waste[[#This Row],[Month]], dropdown!$S$4:$T$15, 2, FALSE),"")</f>
        <v/>
      </c>
      <c r="L65" s="56"/>
      <c r="M65" s="28"/>
      <c r="N65" s="56"/>
      <c r="O65" s="199"/>
    </row>
    <row r="66" spans="9:15" x14ac:dyDescent="0.2">
      <c r="I66" s="198" t="str">
        <f>IF(Waste[[#This Row],[Month]]="","",$I65+1)</f>
        <v/>
      </c>
      <c r="J66" s="57"/>
      <c r="K66" s="198" t="str">
        <f>IF(Waste[[#This Row],[Month]]&lt;&gt;"",VLOOKUP(Waste[[#This Row],[Month]], dropdown!$S$4:$T$15, 2, FALSE),"")</f>
        <v/>
      </c>
      <c r="L66" s="56"/>
      <c r="M66" s="28"/>
      <c r="N66" s="56"/>
      <c r="O66" s="199"/>
    </row>
    <row r="67" spans="9:15" x14ac:dyDescent="0.2">
      <c r="I67" s="198" t="str">
        <f>IF(Waste[[#This Row],[Month]]="","",$I66+1)</f>
        <v/>
      </c>
      <c r="J67" s="57"/>
      <c r="K67" s="198" t="str">
        <f>IF(Waste[[#This Row],[Month]]&lt;&gt;"",VLOOKUP(Waste[[#This Row],[Month]], dropdown!$S$4:$T$15, 2, FALSE),"")</f>
        <v/>
      </c>
      <c r="L67" s="56"/>
      <c r="M67" s="28"/>
      <c r="N67" s="56"/>
      <c r="O67" s="199"/>
    </row>
    <row r="68" spans="9:15" x14ac:dyDescent="0.2">
      <c r="I68" s="198" t="str">
        <f>IF(Waste[[#This Row],[Month]]="","",$I67+1)</f>
        <v/>
      </c>
      <c r="J68" s="57"/>
      <c r="K68" s="198" t="str">
        <f>IF(Waste[[#This Row],[Month]]&lt;&gt;"",VLOOKUP(Waste[[#This Row],[Month]], dropdown!$S$4:$T$15, 2, FALSE),"")</f>
        <v/>
      </c>
      <c r="L68" s="56"/>
      <c r="M68" s="28"/>
      <c r="N68" s="56"/>
      <c r="O68" s="199"/>
    </row>
    <row r="69" spans="9:15" x14ac:dyDescent="0.2">
      <c r="I69" s="198" t="str">
        <f>IF(Waste[[#This Row],[Month]]="","",$I68+1)</f>
        <v/>
      </c>
      <c r="J69" s="57"/>
      <c r="K69" s="198" t="str">
        <f>IF(Waste[[#This Row],[Month]]&lt;&gt;"",VLOOKUP(Waste[[#This Row],[Month]], dropdown!$S$4:$T$15, 2, FALSE),"")</f>
        <v/>
      </c>
      <c r="L69" s="56"/>
      <c r="M69" s="28"/>
      <c r="N69" s="56"/>
      <c r="O69" s="199"/>
    </row>
    <row r="70" spans="9:15" x14ac:dyDescent="0.2">
      <c r="I70" s="198" t="str">
        <f>IF(Waste[[#This Row],[Month]]="","",$I69+1)</f>
        <v/>
      </c>
      <c r="J70" s="57"/>
      <c r="K70" s="198" t="str">
        <f>IF(Waste[[#This Row],[Month]]&lt;&gt;"",VLOOKUP(Waste[[#This Row],[Month]], dropdown!$S$4:$T$15, 2, FALSE),"")</f>
        <v/>
      </c>
      <c r="L70" s="56"/>
      <c r="M70" s="28"/>
      <c r="N70" s="56"/>
      <c r="O70" s="199"/>
    </row>
    <row r="71" spans="9:15" x14ac:dyDescent="0.2">
      <c r="I71" s="198" t="str">
        <f>IF(Waste[[#This Row],[Month]]="","",$I70+1)</f>
        <v/>
      </c>
      <c r="J71" s="57"/>
      <c r="K71" s="198" t="str">
        <f>IF(Waste[[#This Row],[Month]]&lt;&gt;"",VLOOKUP(Waste[[#This Row],[Month]], dropdown!$S$4:$T$15, 2, FALSE),"")</f>
        <v/>
      </c>
      <c r="L71" s="56"/>
      <c r="M71" s="28"/>
      <c r="N71" s="56"/>
      <c r="O71" s="199"/>
    </row>
    <row r="72" spans="9:15" x14ac:dyDescent="0.2">
      <c r="I72" s="198" t="str">
        <f>IF(Waste[[#This Row],[Month]]="","",$I71+1)</f>
        <v/>
      </c>
      <c r="J72" s="57"/>
      <c r="K72" s="198" t="str">
        <f>IF(Waste[[#This Row],[Month]]&lt;&gt;"",VLOOKUP(Waste[[#This Row],[Month]], dropdown!$S$4:$T$15, 2, FALSE),"")</f>
        <v/>
      </c>
      <c r="L72" s="56"/>
      <c r="M72" s="28"/>
      <c r="N72" s="56"/>
      <c r="O72" s="199"/>
    </row>
    <row r="73" spans="9:15" x14ac:dyDescent="0.2">
      <c r="I73" s="198" t="str">
        <f>IF(Waste[[#This Row],[Month]]="","",$I72+1)</f>
        <v/>
      </c>
      <c r="J73" s="57"/>
      <c r="K73" s="198" t="str">
        <f>IF(Waste[[#This Row],[Month]]&lt;&gt;"",VLOOKUP(Waste[[#This Row],[Month]], dropdown!$S$4:$T$15, 2, FALSE),"")</f>
        <v/>
      </c>
      <c r="L73" s="56"/>
      <c r="M73" s="28"/>
      <c r="N73" s="56"/>
      <c r="O73" s="199"/>
    </row>
    <row r="74" spans="9:15" x14ac:dyDescent="0.2">
      <c r="I74" s="198" t="str">
        <f>IF(Waste[[#This Row],[Month]]="","",$I73+1)</f>
        <v/>
      </c>
      <c r="J74" s="57"/>
      <c r="K74" s="198" t="str">
        <f>IF(Waste[[#This Row],[Month]]&lt;&gt;"",VLOOKUP(Waste[[#This Row],[Month]], dropdown!$S$4:$T$15, 2, FALSE),"")</f>
        <v/>
      </c>
      <c r="L74" s="56"/>
      <c r="M74" s="28"/>
      <c r="N74" s="56"/>
      <c r="O74" s="199"/>
    </row>
    <row r="75" spans="9:15" x14ac:dyDescent="0.2">
      <c r="I75" s="198" t="str">
        <f>IF(Waste[[#This Row],[Month]]="","",$I74+1)</f>
        <v/>
      </c>
      <c r="J75" s="57"/>
      <c r="K75" s="198" t="str">
        <f>IF(Waste[[#This Row],[Month]]&lt;&gt;"",VLOOKUP(Waste[[#This Row],[Month]], dropdown!$S$4:$T$15, 2, FALSE),"")</f>
        <v/>
      </c>
      <c r="L75" s="56"/>
      <c r="M75" s="28"/>
      <c r="N75" s="56"/>
      <c r="O75" s="199"/>
    </row>
    <row r="76" spans="9:15" x14ac:dyDescent="0.2">
      <c r="I76" s="198" t="str">
        <f>IF(Waste[[#This Row],[Month]]="","",$I75+1)</f>
        <v/>
      </c>
      <c r="J76" s="57"/>
      <c r="K76" s="198" t="str">
        <f>IF(Waste[[#This Row],[Month]]&lt;&gt;"",VLOOKUP(Waste[[#This Row],[Month]], dropdown!$S$4:$T$15, 2, FALSE),"")</f>
        <v/>
      </c>
      <c r="L76" s="56"/>
      <c r="M76" s="28"/>
      <c r="N76" s="56"/>
      <c r="O76" s="199"/>
    </row>
    <row r="77" spans="9:15" x14ac:dyDescent="0.2">
      <c r="I77" s="198" t="str">
        <f>IF(Waste[[#This Row],[Month]]="","",$I76+1)</f>
        <v/>
      </c>
      <c r="J77" s="57"/>
      <c r="K77" s="198" t="str">
        <f>IF(Waste[[#This Row],[Month]]&lt;&gt;"",VLOOKUP(Waste[[#This Row],[Month]], dropdown!$S$4:$T$15, 2, FALSE),"")</f>
        <v/>
      </c>
      <c r="L77" s="56"/>
      <c r="M77" s="28"/>
      <c r="N77" s="56"/>
      <c r="O77" s="199"/>
    </row>
    <row r="78" spans="9:15" x14ac:dyDescent="0.2">
      <c r="I78" s="198" t="str">
        <f>IF(Waste[[#This Row],[Month]]="","",$I77+1)</f>
        <v/>
      </c>
      <c r="J78" s="57"/>
      <c r="K78" s="198" t="str">
        <f>IF(Waste[[#This Row],[Month]]&lt;&gt;"",VLOOKUP(Waste[[#This Row],[Month]], dropdown!$S$4:$T$15, 2, FALSE),"")</f>
        <v/>
      </c>
      <c r="L78" s="56"/>
      <c r="M78" s="28"/>
      <c r="N78" s="56"/>
      <c r="O78" s="199"/>
    </row>
    <row r="79" spans="9:15" x14ac:dyDescent="0.2">
      <c r="I79" s="198" t="str">
        <f>IF(Waste[[#This Row],[Month]]="","",$I78+1)</f>
        <v/>
      </c>
      <c r="J79" s="57"/>
      <c r="K79" s="198" t="str">
        <f>IF(Waste[[#This Row],[Month]]&lt;&gt;"",VLOOKUP(Waste[[#This Row],[Month]], dropdown!$S$4:$T$15, 2, FALSE),"")</f>
        <v/>
      </c>
      <c r="L79" s="56"/>
      <c r="M79" s="28"/>
      <c r="N79" s="56"/>
      <c r="O79" s="199"/>
    </row>
    <row r="80" spans="9:15" x14ac:dyDescent="0.2">
      <c r="I80" s="198" t="str">
        <f>IF(Waste[[#This Row],[Month]]="","",$I79+1)</f>
        <v/>
      </c>
      <c r="J80" s="57"/>
      <c r="K80" s="198" t="str">
        <f>IF(Waste[[#This Row],[Month]]&lt;&gt;"",VLOOKUP(Waste[[#This Row],[Month]], dropdown!$S$4:$T$15, 2, FALSE),"")</f>
        <v/>
      </c>
      <c r="L80" s="56"/>
      <c r="M80" s="28"/>
      <c r="N80" s="56"/>
      <c r="O80" s="199"/>
    </row>
    <row r="81" spans="9:15" x14ac:dyDescent="0.2">
      <c r="I81" s="198" t="str">
        <f>IF(Waste[[#This Row],[Month]]="","",$I80+1)</f>
        <v/>
      </c>
      <c r="J81" s="57"/>
      <c r="K81" s="198" t="str">
        <f>IF(Waste[[#This Row],[Month]]&lt;&gt;"",VLOOKUP(Waste[[#This Row],[Month]], dropdown!$S$4:$T$15, 2, FALSE),"")</f>
        <v/>
      </c>
      <c r="L81" s="56"/>
      <c r="M81" s="28"/>
      <c r="N81" s="56"/>
      <c r="O81" s="199"/>
    </row>
    <row r="82" spans="9:15" x14ac:dyDescent="0.2">
      <c r="I82" s="198" t="str">
        <f>IF(Waste[[#This Row],[Month]]="","",$I81+1)</f>
        <v/>
      </c>
      <c r="J82" s="57"/>
      <c r="K82" s="198" t="str">
        <f>IF(Waste[[#This Row],[Month]]&lt;&gt;"",VLOOKUP(Waste[[#This Row],[Month]], dropdown!$S$4:$T$15, 2, FALSE),"")</f>
        <v/>
      </c>
      <c r="L82" s="56"/>
      <c r="M82" s="28"/>
      <c r="N82" s="56"/>
      <c r="O82" s="199"/>
    </row>
    <row r="83" spans="9:15" x14ac:dyDescent="0.2">
      <c r="I83" s="198" t="str">
        <f>IF(Waste[[#This Row],[Month]]="","",$I82+1)</f>
        <v/>
      </c>
      <c r="J83" s="57"/>
      <c r="K83" s="198" t="str">
        <f>IF(Waste[[#This Row],[Month]]&lt;&gt;"",VLOOKUP(Waste[[#This Row],[Month]], dropdown!$S$4:$T$15, 2, FALSE),"")</f>
        <v/>
      </c>
      <c r="L83" s="56"/>
      <c r="M83" s="28"/>
      <c r="N83" s="56"/>
      <c r="O83" s="199"/>
    </row>
    <row r="84" spans="9:15" x14ac:dyDescent="0.2">
      <c r="I84" s="198" t="str">
        <f>IF(Waste[[#This Row],[Month]]="","",$I83+1)</f>
        <v/>
      </c>
      <c r="J84" s="57"/>
      <c r="K84" s="198" t="str">
        <f>IF(Waste[[#This Row],[Month]]&lt;&gt;"",VLOOKUP(Waste[[#This Row],[Month]], dropdown!$S$4:$T$15, 2, FALSE),"")</f>
        <v/>
      </c>
      <c r="L84" s="56"/>
      <c r="M84" s="28"/>
      <c r="N84" s="56"/>
      <c r="O84" s="199"/>
    </row>
    <row r="85" spans="9:15" x14ac:dyDescent="0.2">
      <c r="I85" s="198" t="str">
        <f>IF(Waste[[#This Row],[Month]]="","",$I84+1)</f>
        <v/>
      </c>
      <c r="J85" s="57"/>
      <c r="K85" s="198" t="str">
        <f>IF(Waste[[#This Row],[Month]]&lt;&gt;"",VLOOKUP(Waste[[#This Row],[Month]], dropdown!$S$4:$T$15, 2, FALSE),"")</f>
        <v/>
      </c>
      <c r="L85" s="56"/>
      <c r="M85" s="28"/>
      <c r="N85" s="56"/>
      <c r="O85" s="199"/>
    </row>
    <row r="86" spans="9:15" x14ac:dyDescent="0.2">
      <c r="I86" s="198" t="str">
        <f>IF(Waste[[#This Row],[Month]]="","",$I85+1)</f>
        <v/>
      </c>
      <c r="J86" s="57"/>
      <c r="K86" s="198" t="str">
        <f>IF(Waste[[#This Row],[Month]]&lt;&gt;"",VLOOKUP(Waste[[#This Row],[Month]], dropdown!$S$4:$T$15, 2, FALSE),"")</f>
        <v/>
      </c>
      <c r="L86" s="56"/>
      <c r="M86" s="28"/>
      <c r="N86" s="56"/>
      <c r="O86" s="199"/>
    </row>
    <row r="87" spans="9:15" x14ac:dyDescent="0.2">
      <c r="I87" s="198" t="str">
        <f>IF(Waste[[#This Row],[Month]]="","",$I86+1)</f>
        <v/>
      </c>
      <c r="J87" s="57"/>
      <c r="K87" s="198" t="str">
        <f>IF(Waste[[#This Row],[Month]]&lt;&gt;"",VLOOKUP(Waste[[#This Row],[Month]], dropdown!$S$4:$T$15, 2, FALSE),"")</f>
        <v/>
      </c>
      <c r="L87" s="56"/>
      <c r="M87" s="28"/>
      <c r="N87" s="56"/>
      <c r="O87" s="199"/>
    </row>
    <row r="88" spans="9:15" x14ac:dyDescent="0.2">
      <c r="I88" s="198" t="str">
        <f>IF(Waste[[#This Row],[Month]]="","",$I87+1)</f>
        <v/>
      </c>
      <c r="J88" s="57"/>
      <c r="K88" s="198" t="str">
        <f>IF(Waste[[#This Row],[Month]]&lt;&gt;"",VLOOKUP(Waste[[#This Row],[Month]], dropdown!$S$4:$T$15, 2, FALSE),"")</f>
        <v/>
      </c>
      <c r="L88" s="56"/>
      <c r="M88" s="28"/>
      <c r="N88" s="56"/>
      <c r="O88" s="199"/>
    </row>
    <row r="89" spans="9:15" x14ac:dyDescent="0.2">
      <c r="I89" s="198" t="str">
        <f>IF(Waste[[#This Row],[Month]]="","",$I88+1)</f>
        <v/>
      </c>
      <c r="J89" s="57"/>
      <c r="K89" s="198" t="str">
        <f>IF(Waste[[#This Row],[Month]]&lt;&gt;"",VLOOKUP(Waste[[#This Row],[Month]], dropdown!$S$4:$T$15, 2, FALSE),"")</f>
        <v/>
      </c>
      <c r="L89" s="56"/>
      <c r="M89" s="28"/>
      <c r="N89" s="56"/>
      <c r="O89" s="199"/>
    </row>
    <row r="90" spans="9:15" x14ac:dyDescent="0.2">
      <c r="I90" s="198" t="str">
        <f>IF(Waste[[#This Row],[Month]]="","",$I89+1)</f>
        <v/>
      </c>
      <c r="J90" s="57"/>
      <c r="K90" s="198" t="str">
        <f>IF(Waste[[#This Row],[Month]]&lt;&gt;"",VLOOKUP(Waste[[#This Row],[Month]], dropdown!$S$4:$T$15, 2, FALSE),"")</f>
        <v/>
      </c>
      <c r="L90" s="56"/>
      <c r="M90" s="28"/>
      <c r="N90" s="56"/>
      <c r="O90" s="199"/>
    </row>
    <row r="91" spans="9:15" x14ac:dyDescent="0.2">
      <c r="I91" s="198" t="str">
        <f>IF(Waste[[#This Row],[Month]]="","",$I90+1)</f>
        <v/>
      </c>
      <c r="J91" s="57"/>
      <c r="K91" s="198" t="str">
        <f>IF(Waste[[#This Row],[Month]]&lt;&gt;"",VLOOKUP(Waste[[#This Row],[Month]], dropdown!$S$4:$T$15, 2, FALSE),"")</f>
        <v/>
      </c>
      <c r="L91" s="56"/>
      <c r="M91" s="28"/>
      <c r="N91" s="56"/>
      <c r="O91" s="199"/>
    </row>
    <row r="92" spans="9:15" x14ac:dyDescent="0.2">
      <c r="I92" s="198" t="str">
        <f>IF(Waste[[#This Row],[Month]]="","",$I91+1)</f>
        <v/>
      </c>
      <c r="J92" s="57"/>
      <c r="K92" s="198" t="str">
        <f>IF(Waste[[#This Row],[Month]]&lt;&gt;"",VLOOKUP(Waste[[#This Row],[Month]], dropdown!$S$4:$T$15, 2, FALSE),"")</f>
        <v/>
      </c>
      <c r="L92" s="56"/>
      <c r="M92" s="28"/>
      <c r="N92" s="56"/>
      <c r="O92" s="199"/>
    </row>
    <row r="93" spans="9:15" x14ac:dyDescent="0.2">
      <c r="I93" s="198" t="str">
        <f>IF(Waste[[#This Row],[Month]]="","",$I92+1)</f>
        <v/>
      </c>
      <c r="J93" s="57"/>
      <c r="K93" s="198" t="str">
        <f>IF(Waste[[#This Row],[Month]]&lt;&gt;"",VLOOKUP(Waste[[#This Row],[Month]], dropdown!$S$4:$T$15, 2, FALSE),"")</f>
        <v/>
      </c>
      <c r="L93" s="56"/>
      <c r="M93" s="28"/>
      <c r="N93" s="56"/>
      <c r="O93" s="199"/>
    </row>
    <row r="94" spans="9:15" x14ac:dyDescent="0.2">
      <c r="I94" s="198" t="str">
        <f>IF(Waste[[#This Row],[Month]]="","",$I93+1)</f>
        <v/>
      </c>
      <c r="J94" s="57"/>
      <c r="K94" s="198" t="str">
        <f>IF(Waste[[#This Row],[Month]]&lt;&gt;"",VLOOKUP(Waste[[#This Row],[Month]], dropdown!$S$4:$T$15, 2, FALSE),"")</f>
        <v/>
      </c>
      <c r="L94" s="56"/>
      <c r="M94" s="28"/>
      <c r="N94" s="56"/>
      <c r="O94" s="199"/>
    </row>
    <row r="95" spans="9:15" x14ac:dyDescent="0.2">
      <c r="I95" s="198" t="str">
        <f>IF(Waste[[#This Row],[Month]]="","",$I94+1)</f>
        <v/>
      </c>
      <c r="J95" s="57"/>
      <c r="K95" s="198" t="str">
        <f>IF(Waste[[#This Row],[Month]]&lt;&gt;"",VLOOKUP(Waste[[#This Row],[Month]], dropdown!$S$4:$T$15, 2, FALSE),"")</f>
        <v/>
      </c>
      <c r="L95" s="56"/>
      <c r="M95" s="28"/>
      <c r="N95" s="56"/>
      <c r="O95" s="199"/>
    </row>
    <row r="96" spans="9:15" x14ac:dyDescent="0.2">
      <c r="I96" s="198" t="str">
        <f>IF(Waste[[#This Row],[Month]]="","",$I95+1)</f>
        <v/>
      </c>
      <c r="J96" s="57"/>
      <c r="K96" s="198" t="str">
        <f>IF(Waste[[#This Row],[Month]]&lt;&gt;"",VLOOKUP(Waste[[#This Row],[Month]], dropdown!$S$4:$T$15, 2, FALSE),"")</f>
        <v/>
      </c>
      <c r="L96" s="56"/>
      <c r="M96" s="28"/>
      <c r="N96" s="56"/>
      <c r="O96" s="199"/>
    </row>
    <row r="97" spans="9:15" x14ac:dyDescent="0.2">
      <c r="I97" s="198" t="str">
        <f>IF(Waste[[#This Row],[Month]]="","",$I96+1)</f>
        <v/>
      </c>
      <c r="J97" s="57"/>
      <c r="K97" s="198" t="str">
        <f>IF(Waste[[#This Row],[Month]]&lt;&gt;"",VLOOKUP(Waste[[#This Row],[Month]], dropdown!$S$4:$T$15, 2, FALSE),"")</f>
        <v/>
      </c>
      <c r="L97" s="56"/>
      <c r="M97" s="28"/>
      <c r="N97" s="56"/>
      <c r="O97" s="199"/>
    </row>
    <row r="98" spans="9:15" x14ac:dyDescent="0.2">
      <c r="I98" s="198" t="str">
        <f>IF(Waste[[#This Row],[Month]]="","",$I97+1)</f>
        <v/>
      </c>
      <c r="J98" s="57"/>
      <c r="K98" s="198" t="str">
        <f>IF(Waste[[#This Row],[Month]]&lt;&gt;"",VLOOKUP(Waste[[#This Row],[Month]], dropdown!$S$4:$T$15, 2, FALSE),"")</f>
        <v/>
      </c>
      <c r="L98" s="56"/>
      <c r="M98" s="28"/>
      <c r="N98" s="56"/>
      <c r="O98" s="199"/>
    </row>
    <row r="99" spans="9:15" x14ac:dyDescent="0.2">
      <c r="I99" s="198" t="str">
        <f>IF(Waste[[#This Row],[Month]]="","",$I98+1)</f>
        <v/>
      </c>
      <c r="J99" s="57"/>
      <c r="K99" s="198" t="str">
        <f>IF(Waste[[#This Row],[Month]]&lt;&gt;"",VLOOKUP(Waste[[#This Row],[Month]], dropdown!$S$4:$T$15, 2, FALSE),"")</f>
        <v/>
      </c>
      <c r="L99" s="56"/>
      <c r="M99" s="28"/>
      <c r="N99" s="56"/>
      <c r="O99" s="199"/>
    </row>
    <row r="100" spans="9:15" x14ac:dyDescent="0.2">
      <c r="I100" s="198" t="str">
        <f>IF(Waste[[#This Row],[Month]]="","",$I99+1)</f>
        <v/>
      </c>
      <c r="J100" s="57"/>
      <c r="K100" s="198" t="str">
        <f>IF(Waste[[#This Row],[Month]]&lt;&gt;"",VLOOKUP(Waste[[#This Row],[Month]], dropdown!$S$4:$T$15, 2, FALSE),"")</f>
        <v/>
      </c>
      <c r="L100" s="56"/>
      <c r="M100" s="28"/>
      <c r="N100" s="56"/>
      <c r="O100" s="199"/>
    </row>
    <row r="101" spans="9:15" x14ac:dyDescent="0.2">
      <c r="I101" s="198" t="str">
        <f>IF(Waste[[#This Row],[Month]]="","",$I100+1)</f>
        <v/>
      </c>
      <c r="J101" s="57"/>
      <c r="K101" s="198" t="str">
        <f>IF(Waste[[#This Row],[Month]]&lt;&gt;"",VLOOKUP(Waste[[#This Row],[Month]], dropdown!$S$4:$T$15, 2, FALSE),"")</f>
        <v/>
      </c>
      <c r="L101" s="56"/>
      <c r="M101" s="28"/>
      <c r="N101" s="56"/>
      <c r="O101" s="199"/>
    </row>
    <row r="102" spans="9:15" x14ac:dyDescent="0.2">
      <c r="I102" s="198" t="str">
        <f>IF(Waste[[#This Row],[Month]]="","",$I101+1)</f>
        <v/>
      </c>
      <c r="J102" s="57"/>
      <c r="K102" s="198" t="str">
        <f>IF(Waste[[#This Row],[Month]]&lt;&gt;"",VLOOKUP(Waste[[#This Row],[Month]], dropdown!$S$4:$T$15, 2, FALSE),"")</f>
        <v/>
      </c>
      <c r="L102" s="56"/>
      <c r="M102" s="28"/>
      <c r="N102" s="56"/>
      <c r="O102" s="199"/>
    </row>
    <row r="103" spans="9:15" x14ac:dyDescent="0.2">
      <c r="I103" s="198" t="str">
        <f>IF(Waste[[#This Row],[Month]]="","",$I102+1)</f>
        <v/>
      </c>
      <c r="J103" s="57"/>
      <c r="K103" s="198" t="str">
        <f>IF(Waste[[#This Row],[Month]]&lt;&gt;"",VLOOKUP(Waste[[#This Row],[Month]], dropdown!$S$4:$T$15, 2, FALSE),"")</f>
        <v/>
      </c>
      <c r="L103" s="56"/>
      <c r="M103" s="28"/>
      <c r="N103" s="56"/>
      <c r="O103" s="199"/>
    </row>
    <row r="104" spans="9:15" x14ac:dyDescent="0.2">
      <c r="I104" s="198" t="str">
        <f>IF(Waste[[#This Row],[Month]]="","",$I103+1)</f>
        <v/>
      </c>
      <c r="J104" s="200"/>
      <c r="K104" s="198" t="str">
        <f>IF(Waste[[#This Row],[Month]]&lt;&gt;"",VLOOKUP(Waste[[#This Row],[Month]], dropdown!$S$4:$T$15, 2, FALSE),"")</f>
        <v/>
      </c>
      <c r="L104" s="350"/>
      <c r="M104" s="201"/>
      <c r="N104" s="350"/>
      <c r="O104" s="203"/>
    </row>
    <row r="106" spans="9:15" x14ac:dyDescent="0.2">
      <c r="I106" s="326" t="s">
        <v>189</v>
      </c>
    </row>
  </sheetData>
  <sheetProtection algorithmName="SHA-512" hashValue="74l+hhPwjBGv36+Igad6PziOHZPSqTLk+NmNf3Bq9XzyIgdYJRnLSkMj22Ir11SPF70HZZ7XpnIMnOfvKYTTug==" saltValue="ITr+j5GeG3nqM18df+gXOg==" spinCount="100000" sheet="1" objects="1" scenarios="1" selectLockedCells="1"/>
  <protectedRanges>
    <protectedRange sqref="J7:J104 L7:L104 M8:M104 N7 M7:O104" name="Range1"/>
    <protectedRange sqref="J7:J104 L7:O104" name="Range2"/>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zoomScale="88" zoomScaleNormal="100" workbookViewId="0">
      <selection activeCell="H4" sqref="H4"/>
    </sheetView>
  </sheetViews>
  <sheetFormatPr baseColWidth="10" defaultColWidth="10.83203125" defaultRowHeight="19" x14ac:dyDescent="0.2"/>
  <cols>
    <col min="1" max="1" width="8" style="51" customWidth="1"/>
    <col min="2" max="2" width="18.1640625" style="52" customWidth="1"/>
    <col min="3" max="3" width="26.5" style="51" customWidth="1"/>
    <col min="4" max="4" width="5.33203125" style="51" customWidth="1"/>
    <col min="5" max="5" width="36.1640625" style="51" customWidth="1"/>
    <col min="6" max="6" width="12.6640625" style="71" customWidth="1"/>
    <col min="7" max="7" width="14.6640625" style="51" customWidth="1"/>
    <col min="8" max="8" width="1.6640625" style="51" customWidth="1"/>
    <col min="9" max="9" width="0.6640625" style="76" hidden="1" customWidth="1"/>
    <col min="10" max="10" width="17" style="51" customWidth="1"/>
    <col min="11" max="11" width="4.5" style="51" customWidth="1"/>
    <col min="12" max="12" width="32.1640625" style="51" customWidth="1"/>
    <col min="13" max="13" width="25.6640625" style="51" customWidth="1"/>
    <col min="14" max="14" width="15" style="51" customWidth="1"/>
    <col min="15" max="15" width="2.33203125" style="51" customWidth="1"/>
    <col min="16" max="16" width="12.83203125" style="51" hidden="1" customWidth="1"/>
    <col min="17" max="17" width="19.1640625" style="51" customWidth="1"/>
    <col min="18" max="16384" width="10.83203125" style="51"/>
  </cols>
  <sheetData>
    <row r="6" spans="2:17" ht="19" customHeight="1" x14ac:dyDescent="0.2">
      <c r="B6" s="72" t="s">
        <v>9</v>
      </c>
      <c r="C6" s="58" t="str">
        <f>'1. Data Info and Summary'!$D$2</f>
        <v>Security Plant Complex</v>
      </c>
      <c r="E6" s="480" t="s">
        <v>323</v>
      </c>
      <c r="F6" s="480"/>
      <c r="G6" s="480"/>
      <c r="H6" s="480"/>
      <c r="I6" s="480"/>
      <c r="J6" s="480"/>
      <c r="K6" s="480"/>
      <c r="L6" s="480"/>
      <c r="M6" s="480"/>
      <c r="N6" s="480"/>
      <c r="O6" s="480"/>
      <c r="P6" s="480"/>
      <c r="Q6" s="480"/>
    </row>
    <row r="7" spans="2:17" ht="20" customHeight="1" x14ac:dyDescent="0.2">
      <c r="B7" s="72" t="s">
        <v>14</v>
      </c>
      <c r="C7" s="58">
        <f>'1. Data Info and Summary'!$D$3</f>
        <v>2024</v>
      </c>
      <c r="E7" s="480"/>
      <c r="F7" s="480"/>
      <c r="G7" s="480"/>
      <c r="H7" s="480"/>
      <c r="I7" s="480"/>
      <c r="J7" s="480"/>
      <c r="K7" s="480"/>
      <c r="L7" s="480"/>
      <c r="M7" s="480"/>
      <c r="N7" s="480"/>
      <c r="O7" s="480"/>
      <c r="P7" s="480"/>
      <c r="Q7" s="480"/>
    </row>
    <row r="8" spans="2:17" ht="20" customHeight="1" x14ac:dyDescent="0.2">
      <c r="B8" s="73"/>
    </row>
    <row r="9" spans="2:17" x14ac:dyDescent="0.2">
      <c r="C9" s="52"/>
      <c r="E9" s="482" t="s">
        <v>324</v>
      </c>
      <c r="F9" s="482"/>
      <c r="G9" s="482"/>
      <c r="H9" s="482"/>
      <c r="I9" s="482"/>
      <c r="J9" s="482"/>
      <c r="L9" s="482" t="s">
        <v>325</v>
      </c>
      <c r="M9" s="482"/>
      <c r="N9" s="482"/>
      <c r="O9" s="482"/>
      <c r="P9" s="482"/>
      <c r="Q9" s="482"/>
    </row>
    <row r="10" spans="2:17" ht="8" customHeight="1" x14ac:dyDescent="0.2">
      <c r="B10" s="73"/>
    </row>
    <row r="11" spans="2:17" x14ac:dyDescent="0.2">
      <c r="E11" s="481" t="s">
        <v>326</v>
      </c>
      <c r="F11" s="481"/>
      <c r="G11" s="481"/>
      <c r="H11" s="481"/>
      <c r="I11" s="481"/>
      <c r="J11" s="481"/>
      <c r="L11" s="481" t="s">
        <v>327</v>
      </c>
      <c r="M11" s="481"/>
      <c r="N11" s="481"/>
      <c r="O11" s="481"/>
      <c r="P11" s="481"/>
      <c r="Q11" s="481"/>
    </row>
    <row r="12" spans="2:17" x14ac:dyDescent="0.2">
      <c r="E12" s="74" t="str">
        <f>'1. Data Info and Summary'!$C17</f>
        <v>Fuel Type</v>
      </c>
      <c r="F12" s="77" t="s">
        <v>328</v>
      </c>
      <c r="G12" s="74" t="s">
        <v>55</v>
      </c>
      <c r="H12" s="79"/>
      <c r="I12" s="77" t="s">
        <v>329</v>
      </c>
      <c r="J12" s="77" t="s">
        <v>330</v>
      </c>
      <c r="L12" s="74" t="str">
        <f>'2.3a Electricity'!$B$11</f>
        <v>Electricity</v>
      </c>
      <c r="M12" s="81" t="s">
        <v>328</v>
      </c>
      <c r="N12" s="74" t="str">
        <f>'2.3a Electricity'!$C$11</f>
        <v>Unit</v>
      </c>
      <c r="O12" s="79"/>
      <c r="P12" s="77" t="s">
        <v>329</v>
      </c>
      <c r="Q12" s="74" t="s">
        <v>330</v>
      </c>
    </row>
    <row r="13" spans="2:17" x14ac:dyDescent="0.2">
      <c r="E13" s="75" t="str">
        <f>'1. Data Info and Summary'!$C18</f>
        <v>Diesel - Standby generator sets</v>
      </c>
      <c r="F13" s="80">
        <f>'1. Data Info and Summary'!$E18</f>
        <v>12135</v>
      </c>
      <c r="G13" s="75" t="str">
        <f>'1. Data Info and Summary'!$D18</f>
        <v>Liters</v>
      </c>
      <c r="I13" s="78">
        <f>VLOOKUP($E13,Emission_Factors!$A$1:$G$20,5,FALSE)</f>
        <v>2.68</v>
      </c>
      <c r="J13" s="146">
        <f>F13*I13</f>
        <v>32521.800000000003</v>
      </c>
      <c r="L13" s="75" t="s">
        <v>159</v>
      </c>
      <c r="M13" s="80">
        <f>SUM('2.3a Electricity'!$D$12:$G$12)</f>
        <v>18499617.59</v>
      </c>
      <c r="N13" s="75" t="str">
        <f>'2.3a Electricity'!$C$12</f>
        <v>Kilowatt-hour</v>
      </c>
      <c r="P13" s="78">
        <f>VLOOKUP($L13,Emission_Factors!$A$1:$G$20,5,FALSE)</f>
        <v>0.56000000000000005</v>
      </c>
      <c r="Q13" s="146">
        <f>M13*P13</f>
        <v>10359785.850400001</v>
      </c>
    </row>
    <row r="14" spans="2:17" x14ac:dyDescent="0.2">
      <c r="E14" s="75" t="str">
        <f>'1. Data Info and Summary'!$C19</f>
        <v>Diesel - Others</v>
      </c>
      <c r="F14" s="80">
        <f>'1. Data Info and Summary'!$E19</f>
        <v>0</v>
      </c>
      <c r="G14" s="75" t="str">
        <f>'1. Data Info and Summary'!$D19</f>
        <v>Liters</v>
      </c>
      <c r="I14" s="78">
        <f>VLOOKUP($E14,Emission_Factors!$A$1:$G$20,5,FALSE)</f>
        <v>2.68</v>
      </c>
      <c r="J14" s="146">
        <f t="shared" ref="J14:J17" si="0">F14*I14</f>
        <v>0</v>
      </c>
    </row>
    <row r="15" spans="2:17" x14ac:dyDescent="0.2">
      <c r="E15" s="75" t="str">
        <f>'1. Data Info and Summary'!$C20</f>
        <v>Gasoline - Others</v>
      </c>
      <c r="F15" s="80">
        <f>'1. Data Info and Summary'!$E20</f>
        <v>0</v>
      </c>
      <c r="G15" s="75" t="str">
        <f>'1. Data Info and Summary'!$D20</f>
        <v>Liters</v>
      </c>
      <c r="I15" s="78">
        <f>VLOOKUP($E15,Emission_Factors!$A$1:$G$20,5,FALSE)</f>
        <v>2.3199999999999998</v>
      </c>
      <c r="J15" s="146">
        <f t="shared" si="0"/>
        <v>0</v>
      </c>
    </row>
    <row r="16" spans="2:17" x14ac:dyDescent="0.2">
      <c r="E16" s="75" t="str">
        <f>'1. Data Info and Summary'!$C21</f>
        <v>LPG - Heating and cooking</v>
      </c>
      <c r="F16" s="80">
        <f>'1. Data Info and Summary'!$E21</f>
        <v>0</v>
      </c>
      <c r="G16" s="75" t="str">
        <f>'1. Data Info and Summary'!$D21</f>
        <v>Kilograms</v>
      </c>
      <c r="I16" s="78">
        <f>VLOOKUP($E16,Emission_Factors!$A$1:$G$20,5,FALSE)</f>
        <v>1.51</v>
      </c>
      <c r="J16" s="146">
        <f t="shared" si="0"/>
        <v>0</v>
      </c>
    </row>
    <row r="17" spans="5:10" x14ac:dyDescent="0.2">
      <c r="E17" s="75" t="str">
        <f>'1. Data Info and Summary'!$C22</f>
        <v>Compressed natural gas</v>
      </c>
      <c r="F17" s="80">
        <f>'1. Data Info and Summary'!$E22</f>
        <v>0</v>
      </c>
      <c r="G17" s="75" t="str">
        <f>'1. Data Info and Summary'!$D22</f>
        <v>Cubic meters</v>
      </c>
      <c r="I17" s="78">
        <f>VLOOKUP($E17,Emission_Factors!$A$1:$G$20,5,FALSE)</f>
        <v>1.9</v>
      </c>
      <c r="J17" s="146">
        <f t="shared" si="0"/>
        <v>0</v>
      </c>
    </row>
    <row r="18" spans="5:10" x14ac:dyDescent="0.2">
      <c r="E18" s="152" t="s">
        <v>331</v>
      </c>
      <c r="F18" s="80"/>
      <c r="G18" s="75"/>
      <c r="I18" s="78"/>
      <c r="J18" s="153">
        <f>SUM(J13:J17)</f>
        <v>32521.800000000003</v>
      </c>
    </row>
    <row r="20" spans="5:10" x14ac:dyDescent="0.2">
      <c r="E20" s="481" t="s">
        <v>332</v>
      </c>
      <c r="F20" s="481"/>
      <c r="G20" s="481"/>
      <c r="H20" s="481"/>
      <c r="I20" s="481"/>
      <c r="J20" s="481"/>
    </row>
    <row r="21" spans="5:10" x14ac:dyDescent="0.2">
      <c r="E21" s="74" t="str">
        <f>'1. Data Info and Summary'!$C25</f>
        <v>Fuel Type</v>
      </c>
      <c r="F21" s="74" t="s">
        <v>328</v>
      </c>
      <c r="G21" s="74" t="s">
        <v>55</v>
      </c>
      <c r="H21" s="79"/>
      <c r="I21" s="77" t="s">
        <v>329</v>
      </c>
      <c r="J21" s="77" t="s">
        <v>330</v>
      </c>
    </row>
    <row r="22" spans="5:10" x14ac:dyDescent="0.2">
      <c r="E22" s="75" t="str">
        <f>'1. Data Info and Summary'!$C26</f>
        <v>Diesel - Transport vehicles</v>
      </c>
      <c r="F22" s="80">
        <f>'1. Data Info and Summary'!$E26</f>
        <v>10748.76</v>
      </c>
      <c r="G22" s="75" t="str">
        <f>'1. Data Info and Summary'!$D26</f>
        <v>Liters</v>
      </c>
      <c r="I22" s="78">
        <f>VLOOKUP($E22,Emission_Factors!$A$1:$G$20,5,FALSE)</f>
        <v>2.68</v>
      </c>
      <c r="J22" s="146">
        <f>F22*I22</f>
        <v>28806.676800000001</v>
      </c>
    </row>
    <row r="23" spans="5:10" x14ac:dyDescent="0.2">
      <c r="E23" s="75" t="str">
        <f>'1. Data Info and Summary'!$C27</f>
        <v>Gasoline - Transport vehicles</v>
      </c>
      <c r="F23" s="80">
        <f>'1. Data Info and Summary'!$E27</f>
        <v>0</v>
      </c>
      <c r="G23" s="75" t="str">
        <f>'1. Data Info and Summary'!$D27</f>
        <v>Liters</v>
      </c>
      <c r="I23" s="78">
        <f>VLOOKUP($E23,Emission_Factors!$A$1:$G$20,5,FALSE)</f>
        <v>2.3199999999999998</v>
      </c>
      <c r="J23" s="146">
        <f t="shared" ref="J23" si="1">F23*I23</f>
        <v>0</v>
      </c>
    </row>
    <row r="24" spans="5:10" x14ac:dyDescent="0.2">
      <c r="E24" s="152" t="s">
        <v>331</v>
      </c>
      <c r="F24" s="80"/>
      <c r="G24" s="75"/>
      <c r="I24" s="78"/>
      <c r="J24" s="153">
        <f>SUM(J22:J23)</f>
        <v>28806.676800000001</v>
      </c>
    </row>
    <row r="26" spans="5:10" x14ac:dyDescent="0.2">
      <c r="F26" s="51"/>
      <c r="I26" s="51"/>
    </row>
    <row r="27" spans="5:10" x14ac:dyDescent="0.2">
      <c r="F27" s="51"/>
      <c r="I27" s="51"/>
    </row>
    <row r="28" spans="5:10" x14ac:dyDescent="0.2">
      <c r="F28" s="51"/>
      <c r="I28" s="51"/>
    </row>
    <row r="29" spans="5:10" x14ac:dyDescent="0.2">
      <c r="F29" s="51"/>
      <c r="I29" s="51"/>
    </row>
    <row r="30" spans="5:10" x14ac:dyDescent="0.2">
      <c r="F30" s="51"/>
      <c r="I30" s="51"/>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5" width="7.6640625" bestFit="1" customWidth="1"/>
    <col min="6" max="7" width="10" bestFit="1" customWidth="1"/>
    <col min="8" max="8" width="11.33203125" bestFit="1" customWidth="1"/>
  </cols>
  <sheetData>
    <row r="1" spans="1:17" ht="19" x14ac:dyDescent="0.25">
      <c r="A1" s="260" t="s">
        <v>156</v>
      </c>
      <c r="B1" s="206"/>
      <c r="C1" s="206"/>
      <c r="D1" s="206"/>
      <c r="E1" s="206"/>
      <c r="F1" s="206"/>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4" t="s">
        <v>43</v>
      </c>
      <c r="B4" t="s">
        <v>333</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4" t="s">
        <v>334</v>
      </c>
      <c r="B6" s="204" t="s">
        <v>47</v>
      </c>
      <c r="G6" s="20"/>
      <c r="H6" s="12"/>
      <c r="I6" s="20"/>
      <c r="J6" s="20"/>
      <c r="K6" s="20"/>
      <c r="L6" s="20"/>
      <c r="M6" s="21"/>
      <c r="N6" s="21"/>
      <c r="O6" s="22"/>
      <c r="P6" s="11"/>
      <c r="Q6" s="20"/>
    </row>
    <row r="7" spans="1:17" outlineLevel="1" x14ac:dyDescent="0.2">
      <c r="A7" s="204" t="s">
        <v>335</v>
      </c>
      <c r="B7" t="s">
        <v>154</v>
      </c>
      <c r="C7" t="s">
        <v>155</v>
      </c>
      <c r="D7" t="s">
        <v>336</v>
      </c>
      <c r="G7" s="20"/>
      <c r="H7" s="12"/>
      <c r="I7" s="20"/>
      <c r="J7" s="20"/>
      <c r="K7" s="20"/>
      <c r="L7" s="20"/>
      <c r="M7" s="21"/>
      <c r="N7" s="21"/>
      <c r="O7" s="22"/>
      <c r="P7" s="11"/>
      <c r="Q7" s="20"/>
    </row>
    <row r="8" spans="1:17" outlineLevel="1" x14ac:dyDescent="0.2">
      <c r="A8" s="19" t="s">
        <v>337</v>
      </c>
      <c r="B8" s="341"/>
      <c r="C8" s="341"/>
      <c r="D8" s="341"/>
      <c r="G8" s="20"/>
      <c r="H8" s="12"/>
      <c r="I8" s="20"/>
      <c r="J8" s="20"/>
      <c r="K8" s="20"/>
      <c r="L8" s="20"/>
      <c r="M8" s="21"/>
      <c r="N8" s="21"/>
      <c r="O8" s="22"/>
      <c r="P8" s="11"/>
      <c r="Q8" s="20"/>
    </row>
    <row r="9" spans="1:17" outlineLevel="1" x14ac:dyDescent="0.2">
      <c r="A9" s="19" t="s">
        <v>41</v>
      </c>
      <c r="B9" s="341"/>
      <c r="C9" s="341">
        <v>100</v>
      </c>
      <c r="D9" s="341">
        <v>100</v>
      </c>
      <c r="G9" s="20"/>
      <c r="H9" s="12"/>
      <c r="I9" s="20"/>
      <c r="J9" s="20"/>
      <c r="K9" s="20"/>
      <c r="L9" s="20"/>
      <c r="M9" s="21"/>
      <c r="N9" s="21"/>
      <c r="O9" s="22"/>
      <c r="P9" s="11"/>
      <c r="Q9" s="20"/>
    </row>
    <row r="10" spans="1:17" outlineLevel="1" x14ac:dyDescent="0.2">
      <c r="A10" s="19" t="s">
        <v>336</v>
      </c>
      <c r="B10" s="341"/>
      <c r="C10" s="341">
        <v>100</v>
      </c>
      <c r="D10" s="341">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60" t="s">
        <v>157</v>
      </c>
      <c r="B25" s="206"/>
      <c r="C25" s="206"/>
      <c r="D25" s="206"/>
      <c r="E25" s="206"/>
      <c r="F25" s="206"/>
    </row>
    <row r="26" spans="1:19" outlineLevel="1" x14ac:dyDescent="0.2"/>
    <row r="27" spans="1:19" outlineLevel="1" x14ac:dyDescent="0.2">
      <c r="A27" s="204" t="s">
        <v>43</v>
      </c>
      <c r="B27" t="s">
        <v>333</v>
      </c>
      <c r="C27" s="11"/>
      <c r="D27" s="11"/>
      <c r="E27" s="11"/>
      <c r="F27" s="11"/>
      <c r="G27" s="20"/>
      <c r="H27" s="12"/>
      <c r="I27" s="20"/>
      <c r="J27" s="20"/>
      <c r="K27" s="21"/>
      <c r="L27" s="21"/>
      <c r="M27" s="22"/>
      <c r="N27" s="22"/>
      <c r="O27" s="11"/>
      <c r="P27" s="22"/>
      <c r="Q27" s="20"/>
      <c r="R27" s="20"/>
      <c r="S27" s="43"/>
    </row>
    <row r="28" spans="1:19" outlineLevel="1" x14ac:dyDescent="0.2">
      <c r="A28" s="11"/>
      <c r="B28" s="11"/>
      <c r="C28" s="11"/>
      <c r="D28" s="11"/>
      <c r="E28" s="11"/>
      <c r="F28" s="11"/>
      <c r="G28" s="20"/>
      <c r="H28" s="12"/>
      <c r="I28" s="20"/>
      <c r="J28" s="20"/>
      <c r="K28" s="21"/>
      <c r="L28" s="21"/>
      <c r="M28" s="22"/>
      <c r="N28" s="22"/>
      <c r="O28" s="11"/>
      <c r="P28" s="22"/>
      <c r="Q28" s="20"/>
      <c r="R28" s="20"/>
      <c r="S28" s="43"/>
    </row>
    <row r="29" spans="1:19" outlineLevel="1" x14ac:dyDescent="0.2">
      <c r="A29" s="204" t="s">
        <v>334</v>
      </c>
      <c r="B29" s="204" t="s">
        <v>338</v>
      </c>
      <c r="I29" s="20"/>
      <c r="J29" s="20"/>
      <c r="K29" s="21"/>
      <c r="L29" s="21"/>
      <c r="M29" s="22"/>
      <c r="N29" s="22"/>
      <c r="O29" s="11"/>
      <c r="P29" s="22"/>
      <c r="Q29" s="20"/>
      <c r="R29" s="20"/>
      <c r="S29" s="43"/>
    </row>
    <row r="30" spans="1:19" outlineLevel="1" x14ac:dyDescent="0.2">
      <c r="A30" s="204" t="s">
        <v>335</v>
      </c>
      <c r="B30" t="s">
        <v>49</v>
      </c>
      <c r="C30" t="s">
        <v>155</v>
      </c>
      <c r="D30" t="s">
        <v>153</v>
      </c>
      <c r="E30" t="s">
        <v>154</v>
      </c>
      <c r="F30" t="s">
        <v>336</v>
      </c>
      <c r="I30" s="20"/>
      <c r="J30" s="20"/>
      <c r="K30" s="21"/>
      <c r="L30" s="21"/>
      <c r="M30" s="22"/>
      <c r="N30" s="22"/>
      <c r="O30" s="11"/>
      <c r="P30" s="22"/>
      <c r="Q30" s="20"/>
      <c r="R30" s="20"/>
      <c r="S30" s="43"/>
    </row>
    <row r="31" spans="1:19" outlineLevel="1" x14ac:dyDescent="0.2">
      <c r="A31" s="19" t="s">
        <v>192</v>
      </c>
      <c r="B31" s="341">
        <v>460</v>
      </c>
      <c r="C31" s="341">
        <v>948.46</v>
      </c>
      <c r="D31" s="341">
        <v>1025</v>
      </c>
      <c r="E31" s="341">
        <v>784.6</v>
      </c>
      <c r="F31" s="341">
        <v>3218.06</v>
      </c>
      <c r="I31" s="20"/>
      <c r="J31" s="20"/>
      <c r="K31" s="21"/>
      <c r="L31" s="21"/>
      <c r="M31" s="22"/>
      <c r="N31" s="22"/>
      <c r="O31" s="11"/>
      <c r="P31" s="22"/>
      <c r="Q31" s="20"/>
      <c r="R31" s="20"/>
      <c r="S31" s="43"/>
    </row>
    <row r="32" spans="1:19" outlineLevel="1" x14ac:dyDescent="0.2">
      <c r="A32" s="207" t="s">
        <v>66</v>
      </c>
      <c r="B32" s="341">
        <v>460</v>
      </c>
      <c r="C32" s="341">
        <v>948.46</v>
      </c>
      <c r="D32" s="341">
        <v>1025</v>
      </c>
      <c r="E32" s="341">
        <v>784.6</v>
      </c>
      <c r="F32" s="341">
        <v>3218.06</v>
      </c>
      <c r="I32" s="20"/>
      <c r="J32" s="20"/>
      <c r="K32" s="21"/>
      <c r="L32" s="21"/>
      <c r="M32" s="22"/>
      <c r="N32" s="22"/>
      <c r="O32" s="11"/>
      <c r="P32" s="22"/>
      <c r="Q32" s="20"/>
      <c r="R32" s="20"/>
      <c r="S32" s="43"/>
    </row>
    <row r="33" spans="1:19" outlineLevel="1" x14ac:dyDescent="0.2">
      <c r="A33" s="19" t="s">
        <v>194</v>
      </c>
      <c r="B33" s="341">
        <v>1439.13</v>
      </c>
      <c r="C33" s="341">
        <v>1306.31</v>
      </c>
      <c r="D33" s="341">
        <v>1381.32</v>
      </c>
      <c r="E33" s="341">
        <v>1118.94</v>
      </c>
      <c r="F33" s="341">
        <v>5245.7000000000007</v>
      </c>
      <c r="I33" s="20"/>
      <c r="J33" s="20"/>
      <c r="K33" s="21"/>
      <c r="L33" s="21"/>
      <c r="M33" s="22"/>
      <c r="N33" s="22"/>
      <c r="O33" s="11"/>
      <c r="P33" s="22"/>
      <c r="Q33" s="20"/>
      <c r="R33" s="20"/>
      <c r="S33" s="43"/>
    </row>
    <row r="34" spans="1:19" outlineLevel="1" x14ac:dyDescent="0.2">
      <c r="A34" s="207" t="s">
        <v>66</v>
      </c>
      <c r="B34" s="341">
        <v>1439.13</v>
      </c>
      <c r="C34" s="341">
        <v>1306.31</v>
      </c>
      <c r="D34" s="341">
        <v>1381.32</v>
      </c>
      <c r="E34" s="341">
        <v>1118.94</v>
      </c>
      <c r="F34" s="341">
        <v>5245.7000000000007</v>
      </c>
      <c r="I34" s="20"/>
      <c r="J34" s="20"/>
      <c r="K34" s="21"/>
      <c r="L34" s="21"/>
      <c r="M34" s="22"/>
      <c r="N34" s="22"/>
      <c r="O34" s="11"/>
      <c r="P34" s="22"/>
      <c r="Q34" s="20"/>
      <c r="R34" s="20"/>
      <c r="S34" s="43"/>
    </row>
    <row r="35" spans="1:19" outlineLevel="1" x14ac:dyDescent="0.2">
      <c r="A35" s="19" t="s">
        <v>195</v>
      </c>
      <c r="B35" s="341">
        <v>620</v>
      </c>
      <c r="C35" s="341">
        <v>520</v>
      </c>
      <c r="D35" s="341">
        <v>610</v>
      </c>
      <c r="E35" s="341">
        <v>535</v>
      </c>
      <c r="F35" s="341">
        <v>2285</v>
      </c>
      <c r="I35" s="20"/>
      <c r="J35" s="20"/>
      <c r="K35" s="21"/>
      <c r="L35" s="21"/>
      <c r="M35" s="22"/>
      <c r="N35" s="22"/>
      <c r="O35" s="11"/>
      <c r="P35" s="22"/>
      <c r="Q35" s="20"/>
      <c r="R35" s="20"/>
      <c r="S35" s="43"/>
    </row>
    <row r="36" spans="1:19" outlineLevel="1" x14ac:dyDescent="0.2">
      <c r="A36" s="207" t="s">
        <v>66</v>
      </c>
      <c r="B36" s="341">
        <v>620</v>
      </c>
      <c r="C36" s="341">
        <v>520</v>
      </c>
      <c r="D36" s="341">
        <v>610</v>
      </c>
      <c r="E36" s="341">
        <v>535</v>
      </c>
      <c r="F36" s="341">
        <v>2285</v>
      </c>
      <c r="H36" s="12"/>
      <c r="I36" s="20"/>
      <c r="J36" s="20"/>
      <c r="K36" s="21"/>
      <c r="L36" s="21"/>
      <c r="M36" s="22"/>
      <c r="N36" s="22"/>
      <c r="O36" s="11"/>
      <c r="P36" s="22"/>
      <c r="Q36" s="20"/>
      <c r="R36" s="20"/>
      <c r="S36" s="43"/>
    </row>
    <row r="37" spans="1:19" outlineLevel="1" x14ac:dyDescent="0.2">
      <c r="A37" s="19" t="s">
        <v>336</v>
      </c>
      <c r="B37" s="341">
        <v>2519.13</v>
      </c>
      <c r="C37" s="341">
        <v>2774.77</v>
      </c>
      <c r="D37" s="341">
        <v>3016.3199999999997</v>
      </c>
      <c r="E37" s="341">
        <v>2438.54</v>
      </c>
      <c r="F37" s="341">
        <v>10748.76</v>
      </c>
      <c r="H37" s="12"/>
      <c r="I37" s="20"/>
      <c r="J37" s="20"/>
      <c r="K37" s="21"/>
      <c r="L37" s="21"/>
      <c r="M37" s="22"/>
      <c r="N37" s="22"/>
      <c r="O37" s="11"/>
      <c r="P37" s="22"/>
      <c r="Q37" s="20"/>
      <c r="R37" s="20"/>
      <c r="S37" s="43"/>
    </row>
    <row r="38" spans="1:19" outlineLevel="1" x14ac:dyDescent="0.2">
      <c r="H38" s="12"/>
      <c r="I38" s="20"/>
      <c r="J38" s="20"/>
      <c r="K38" s="21"/>
      <c r="L38" s="21"/>
      <c r="M38" s="22"/>
      <c r="N38" s="22"/>
      <c r="O38" s="11"/>
      <c r="P38" s="22"/>
      <c r="Q38" s="20"/>
      <c r="R38" s="20"/>
      <c r="S38" s="43"/>
    </row>
    <row r="39" spans="1:19" outlineLevel="1" x14ac:dyDescent="0.2">
      <c r="H39" s="12"/>
      <c r="I39" s="20"/>
      <c r="J39" s="20"/>
      <c r="K39" s="21"/>
      <c r="L39" s="21"/>
      <c r="M39" s="22"/>
      <c r="N39" s="22"/>
      <c r="O39" s="11"/>
      <c r="P39" s="22"/>
      <c r="Q39" s="20"/>
      <c r="R39" s="20"/>
      <c r="S39" s="43"/>
    </row>
    <row r="40" spans="1:19" outlineLevel="1" x14ac:dyDescent="0.2">
      <c r="H40" s="12"/>
      <c r="I40" s="20"/>
      <c r="J40" s="20"/>
      <c r="K40" s="21"/>
      <c r="L40" s="21"/>
      <c r="M40" s="22"/>
      <c r="N40" s="22"/>
      <c r="O40" s="11"/>
      <c r="P40" s="22"/>
      <c r="Q40" s="20"/>
      <c r="R40" s="20"/>
      <c r="S40" s="43"/>
    </row>
    <row r="41" spans="1:19" outlineLevel="1" x14ac:dyDescent="0.2">
      <c r="H41" s="12"/>
      <c r="I41" s="20"/>
      <c r="J41" s="20"/>
      <c r="K41" s="21"/>
      <c r="L41" s="21"/>
      <c r="M41" s="22"/>
      <c r="N41" s="22"/>
      <c r="O41" s="11"/>
      <c r="P41" s="22"/>
      <c r="Q41" s="20"/>
      <c r="R41" s="20"/>
      <c r="S41" s="43"/>
    </row>
    <row r="42" spans="1:19" outlineLevel="1" x14ac:dyDescent="0.2">
      <c r="H42" s="12"/>
      <c r="I42" s="20"/>
      <c r="J42" s="20"/>
      <c r="K42" s="21"/>
      <c r="L42" s="21"/>
      <c r="M42" s="22"/>
      <c r="N42" s="22"/>
      <c r="O42" s="11"/>
      <c r="P42" s="22"/>
      <c r="Q42" s="20"/>
      <c r="R42" s="20"/>
      <c r="S42" s="43"/>
    </row>
    <row r="43" spans="1:19" outlineLevel="1" x14ac:dyDescent="0.2">
      <c r="D43" s="11"/>
      <c r="E43" s="11"/>
      <c r="F43" s="11"/>
      <c r="G43" s="20"/>
      <c r="H43" s="12"/>
      <c r="I43" s="20"/>
      <c r="J43" s="20"/>
      <c r="K43" s="21"/>
      <c r="L43" s="21"/>
      <c r="M43" s="22"/>
      <c r="N43" s="22"/>
      <c r="O43" s="11"/>
      <c r="P43" s="22"/>
      <c r="Q43" s="20"/>
      <c r="R43" s="20"/>
      <c r="S43" s="43"/>
    </row>
    <row r="44" spans="1:19" outlineLevel="1" x14ac:dyDescent="0.2">
      <c r="D44" s="11"/>
      <c r="E44" s="11"/>
      <c r="F44" s="11"/>
      <c r="G44" s="20"/>
      <c r="H44" s="12"/>
      <c r="I44" s="20"/>
      <c r="J44" s="20"/>
      <c r="K44" s="21"/>
      <c r="L44" s="21"/>
      <c r="M44" s="22"/>
      <c r="N44" s="22"/>
      <c r="O44" s="11"/>
      <c r="P44" s="22"/>
      <c r="Q44" s="20"/>
      <c r="R44" s="20"/>
      <c r="S44" s="43"/>
    </row>
    <row r="45" spans="1:19" outlineLevel="1" x14ac:dyDescent="0.2">
      <c r="D45" s="11"/>
      <c r="E45" s="11"/>
      <c r="F45" s="11"/>
      <c r="G45" s="20"/>
      <c r="H45" s="12"/>
      <c r="I45" s="20"/>
      <c r="J45" s="20"/>
      <c r="K45" s="21"/>
      <c r="L45" s="21"/>
      <c r="M45" s="22"/>
      <c r="N45" s="22"/>
      <c r="O45" s="11"/>
      <c r="P45" s="22"/>
      <c r="Q45" s="20"/>
      <c r="R45" s="20"/>
      <c r="S45" s="43"/>
    </row>
    <row r="46" spans="1:19" outlineLevel="1" x14ac:dyDescent="0.2">
      <c r="D46" s="11"/>
      <c r="E46" s="11"/>
      <c r="F46" s="11"/>
      <c r="G46" s="20"/>
      <c r="H46" s="12"/>
      <c r="I46" s="20"/>
      <c r="J46" s="20"/>
      <c r="K46" s="21"/>
      <c r="L46" s="21"/>
      <c r="M46" s="22"/>
      <c r="N46" s="22"/>
      <c r="O46" s="11"/>
      <c r="P46" s="22"/>
      <c r="Q46" s="20"/>
      <c r="R46" s="20"/>
      <c r="S46" s="43"/>
    </row>
    <row r="47" spans="1:19" outlineLevel="1" x14ac:dyDescent="0.2"/>
    <row r="48" spans="1:19" outlineLevel="1" x14ac:dyDescent="0.2"/>
    <row r="49" spans="1:18" outlineLevel="1" x14ac:dyDescent="0.2"/>
    <row r="50" spans="1:18" outlineLevel="1" x14ac:dyDescent="0.2"/>
    <row r="54" spans="1:18" ht="19" x14ac:dyDescent="0.25">
      <c r="A54" s="260" t="s">
        <v>159</v>
      </c>
      <c r="B54" s="206"/>
      <c r="C54" s="206"/>
      <c r="D54" s="206"/>
      <c r="E54" s="206"/>
      <c r="F54" s="206"/>
    </row>
    <row r="55" spans="1:18" outlineLevel="1" x14ac:dyDescent="0.2"/>
    <row r="56" spans="1:18" s="20" customFormat="1" outlineLevel="1" x14ac:dyDescent="0.2">
      <c r="A56" s="204" t="s">
        <v>43</v>
      </c>
      <c r="B56" t="s">
        <v>333</v>
      </c>
      <c r="C56" s="216"/>
      <c r="D56" s="217"/>
      <c r="E56" s="217"/>
      <c r="F56" s="217"/>
      <c r="H56" s="12"/>
      <c r="J56" s="21"/>
      <c r="K56" s="21"/>
      <c r="L56" s="22"/>
      <c r="M56" s="45"/>
      <c r="N56" s="169"/>
      <c r="Q56" s="47"/>
      <c r="R56" s="47"/>
    </row>
    <row r="57" spans="1:18" s="20" customFormat="1" ht="14" outlineLevel="1" x14ac:dyDescent="0.2">
      <c r="A57" s="11"/>
      <c r="B57" s="11"/>
      <c r="C57" s="11"/>
      <c r="D57" s="11"/>
      <c r="E57" s="11"/>
      <c r="F57" s="11"/>
      <c r="H57" s="12"/>
      <c r="J57" s="21"/>
      <c r="K57" s="21"/>
      <c r="L57" s="22"/>
      <c r="M57" s="45"/>
      <c r="N57" s="169"/>
      <c r="Q57" s="47"/>
      <c r="R57" s="47"/>
    </row>
    <row r="58" spans="1:18" outlineLevel="1" x14ac:dyDescent="0.2">
      <c r="A58" s="204" t="s">
        <v>340</v>
      </c>
      <c r="B58" s="204" t="s">
        <v>338</v>
      </c>
      <c r="H58" s="12"/>
      <c r="I58" s="20"/>
      <c r="J58" s="21"/>
      <c r="K58" s="21"/>
      <c r="L58" s="22"/>
      <c r="M58" s="45"/>
      <c r="N58" s="169"/>
      <c r="O58" s="20"/>
      <c r="P58" s="20"/>
      <c r="Q58" s="47"/>
    </row>
    <row r="59" spans="1:18" outlineLevel="1" x14ac:dyDescent="0.2">
      <c r="A59" s="204" t="s">
        <v>335</v>
      </c>
      <c r="C59" t="s">
        <v>49</v>
      </c>
      <c r="D59" t="s">
        <v>154</v>
      </c>
      <c r="E59" t="s">
        <v>155</v>
      </c>
      <c r="F59" t="s">
        <v>153</v>
      </c>
      <c r="G59" t="s">
        <v>336</v>
      </c>
      <c r="H59" s="12"/>
      <c r="I59" s="20"/>
      <c r="J59" s="21"/>
      <c r="K59" s="21"/>
      <c r="L59" s="22"/>
      <c r="M59" s="45"/>
      <c r="N59" s="169"/>
      <c r="O59" s="20"/>
      <c r="P59" s="20"/>
      <c r="Q59" s="47"/>
    </row>
    <row r="60" spans="1:18" outlineLevel="1" x14ac:dyDescent="0.2">
      <c r="A60" s="19" t="s">
        <v>341</v>
      </c>
      <c r="B60" s="341"/>
      <c r="C60" s="341">
        <v>1000</v>
      </c>
      <c r="D60" s="341">
        <v>2000</v>
      </c>
      <c r="E60" s="341">
        <v>3000</v>
      </c>
      <c r="F60" s="341">
        <v>4000</v>
      </c>
      <c r="G60" s="341">
        <v>10000</v>
      </c>
      <c r="H60" s="12"/>
      <c r="I60" s="20"/>
      <c r="J60" s="21"/>
      <c r="K60" s="21"/>
      <c r="L60" s="22"/>
      <c r="M60" s="45"/>
      <c r="N60" s="169"/>
      <c r="O60" s="20"/>
      <c r="P60" s="20"/>
      <c r="Q60" s="47"/>
    </row>
    <row r="61" spans="1:18" outlineLevel="1" x14ac:dyDescent="0.2">
      <c r="A61" s="19" t="s">
        <v>342</v>
      </c>
      <c r="B61" s="341"/>
      <c r="C61" s="341"/>
      <c r="D61" s="341"/>
      <c r="E61" s="341">
        <v>1700</v>
      </c>
      <c r="F61" s="341"/>
      <c r="G61" s="341">
        <v>1700</v>
      </c>
      <c r="H61" s="12"/>
      <c r="I61" s="20"/>
      <c r="J61" s="21"/>
      <c r="K61" s="21"/>
      <c r="L61" s="22"/>
      <c r="M61" s="45"/>
      <c r="N61" s="169"/>
      <c r="O61" s="20"/>
      <c r="P61" s="20"/>
      <c r="Q61" s="47"/>
    </row>
    <row r="62" spans="1:18" outlineLevel="1" x14ac:dyDescent="0.2">
      <c r="A62" s="19" t="s">
        <v>339</v>
      </c>
      <c r="B62" s="341"/>
      <c r="C62" s="341"/>
      <c r="D62" s="341"/>
      <c r="E62" s="341"/>
      <c r="F62" s="341"/>
      <c r="G62" s="341"/>
      <c r="H62" s="12"/>
      <c r="I62" s="20"/>
      <c r="J62" s="21"/>
      <c r="K62" s="21"/>
      <c r="L62" s="22"/>
      <c r="M62" s="45"/>
      <c r="N62" s="169"/>
      <c r="O62" s="20"/>
      <c r="P62" s="20"/>
      <c r="Q62" s="47"/>
    </row>
    <row r="63" spans="1:18" outlineLevel="1" x14ac:dyDescent="0.2">
      <c r="A63" s="19" t="s">
        <v>343</v>
      </c>
      <c r="B63" s="341"/>
      <c r="C63" s="341">
        <v>2000</v>
      </c>
      <c r="D63" s="341"/>
      <c r="E63" s="341">
        <v>3000</v>
      </c>
      <c r="F63" s="341"/>
      <c r="G63" s="341">
        <v>5000</v>
      </c>
      <c r="H63" s="12"/>
      <c r="I63" s="20"/>
      <c r="J63" s="21"/>
      <c r="K63" s="21"/>
      <c r="L63" s="22"/>
      <c r="M63" s="45"/>
      <c r="N63" s="169"/>
      <c r="O63" s="20"/>
      <c r="P63" s="20"/>
      <c r="Q63" s="47"/>
    </row>
    <row r="64" spans="1:18" outlineLevel="1" x14ac:dyDescent="0.2">
      <c r="A64" s="19" t="s">
        <v>336</v>
      </c>
      <c r="B64" s="341"/>
      <c r="C64" s="341">
        <v>3000</v>
      </c>
      <c r="D64" s="341">
        <v>2000</v>
      </c>
      <c r="E64" s="341">
        <v>7700</v>
      </c>
      <c r="F64" s="341">
        <v>4000</v>
      </c>
      <c r="G64" s="341">
        <v>16700</v>
      </c>
      <c r="H64" s="12"/>
      <c r="I64" s="20"/>
      <c r="J64" s="21"/>
      <c r="K64" s="21"/>
      <c r="L64" s="22"/>
      <c r="M64" s="45"/>
      <c r="N64" s="169"/>
      <c r="O64" s="20"/>
      <c r="P64" s="20"/>
      <c r="Q64" s="47"/>
    </row>
    <row r="65" spans="1:17" outlineLevel="1" x14ac:dyDescent="0.2">
      <c r="D65" s="11"/>
      <c r="E65" s="11"/>
      <c r="F65" s="11"/>
      <c r="G65" s="20"/>
      <c r="H65" s="12"/>
      <c r="I65" s="20"/>
      <c r="J65" s="21"/>
      <c r="K65" s="21"/>
      <c r="L65" s="22"/>
      <c r="M65" s="45"/>
      <c r="N65" s="169"/>
      <c r="O65" s="20"/>
      <c r="P65" s="20"/>
      <c r="Q65" s="47"/>
    </row>
    <row r="66" spans="1:17" outlineLevel="1" x14ac:dyDescent="0.2">
      <c r="D66" s="11"/>
      <c r="E66" s="11"/>
      <c r="F66" s="11"/>
      <c r="G66" s="20"/>
      <c r="H66" s="12"/>
      <c r="I66" s="20"/>
      <c r="J66" s="21"/>
      <c r="K66" s="21"/>
      <c r="L66" s="22"/>
      <c r="M66" s="45"/>
      <c r="N66" s="169"/>
      <c r="O66" s="20"/>
      <c r="P66" s="20"/>
      <c r="Q66" s="47"/>
    </row>
    <row r="67" spans="1:17" outlineLevel="1" x14ac:dyDescent="0.2">
      <c r="D67" s="11"/>
      <c r="E67" s="11"/>
      <c r="F67" s="11"/>
      <c r="G67" s="20"/>
      <c r="H67" s="12"/>
      <c r="I67" s="20"/>
      <c r="J67" s="21"/>
      <c r="K67" s="21"/>
      <c r="L67" s="22"/>
      <c r="M67" s="45"/>
      <c r="N67" s="169"/>
      <c r="O67" s="20"/>
      <c r="P67" s="20"/>
      <c r="Q67" s="47"/>
    </row>
    <row r="68" spans="1:17" outlineLevel="1" x14ac:dyDescent="0.2">
      <c r="D68" s="11"/>
      <c r="E68" s="11"/>
      <c r="F68" s="11"/>
      <c r="G68" s="20"/>
      <c r="H68" s="12"/>
      <c r="I68" s="20"/>
      <c r="J68" s="21"/>
      <c r="K68" s="21"/>
      <c r="L68" s="22"/>
      <c r="M68" s="45"/>
      <c r="N68" s="169"/>
      <c r="O68" s="20"/>
      <c r="P68" s="20"/>
      <c r="Q68" s="47"/>
    </row>
    <row r="69" spans="1:17" outlineLevel="1" x14ac:dyDescent="0.2">
      <c r="D69" s="11"/>
      <c r="E69" s="11"/>
      <c r="F69" s="11"/>
      <c r="G69" s="20"/>
      <c r="H69" s="12"/>
      <c r="I69" s="20"/>
      <c r="J69" s="21"/>
      <c r="K69" s="21"/>
      <c r="L69" s="22"/>
      <c r="M69" s="45"/>
      <c r="N69" s="169"/>
      <c r="O69" s="20"/>
      <c r="P69" s="20"/>
      <c r="Q69" s="47"/>
    </row>
    <row r="70" spans="1:17" outlineLevel="1" x14ac:dyDescent="0.2">
      <c r="D70" s="11"/>
      <c r="E70" s="11"/>
      <c r="F70" s="11"/>
      <c r="G70" s="20"/>
      <c r="H70" s="12"/>
      <c r="I70" s="20"/>
      <c r="J70" s="21"/>
      <c r="K70" s="21"/>
      <c r="L70" s="22"/>
      <c r="M70" s="45"/>
      <c r="N70" s="169"/>
      <c r="O70" s="20"/>
      <c r="P70" s="20"/>
      <c r="Q70" s="47"/>
    </row>
    <row r="71" spans="1:17" outlineLevel="1" x14ac:dyDescent="0.2">
      <c r="D71" s="11"/>
      <c r="E71" s="11"/>
      <c r="F71" s="11"/>
      <c r="G71" s="20"/>
      <c r="H71" s="12"/>
      <c r="I71" s="20"/>
      <c r="J71" s="21"/>
      <c r="K71" s="21"/>
      <c r="L71" s="22"/>
      <c r="M71" s="45"/>
      <c r="N71" s="169"/>
      <c r="O71" s="20"/>
      <c r="P71" s="20"/>
      <c r="Q71" s="47"/>
    </row>
    <row r="72" spans="1:17" outlineLevel="1" x14ac:dyDescent="0.2">
      <c r="D72" s="11"/>
      <c r="E72" s="11"/>
      <c r="F72" s="11"/>
      <c r="G72" s="20"/>
      <c r="H72" s="12"/>
      <c r="I72" s="20"/>
      <c r="J72" s="21"/>
      <c r="K72" s="21"/>
      <c r="L72" s="22"/>
      <c r="M72" s="45"/>
      <c r="N72" s="169"/>
      <c r="O72" s="20"/>
      <c r="P72" s="20"/>
      <c r="Q72" s="47"/>
    </row>
    <row r="73" spans="1:17" outlineLevel="1" x14ac:dyDescent="0.2">
      <c r="D73" s="11"/>
      <c r="E73" s="11"/>
      <c r="F73" s="11"/>
      <c r="G73" s="20"/>
      <c r="H73" s="12"/>
      <c r="I73" s="20"/>
      <c r="J73" s="21"/>
      <c r="K73" s="21"/>
      <c r="L73" s="22"/>
      <c r="M73" s="45"/>
      <c r="N73" s="169"/>
      <c r="O73" s="20"/>
      <c r="P73" s="20"/>
      <c r="Q73" s="47"/>
    </row>
    <row r="74" spans="1:17" outlineLevel="1" x14ac:dyDescent="0.2"/>
    <row r="75" spans="1:17" outlineLevel="1" x14ac:dyDescent="0.2"/>
    <row r="79" spans="1:17" ht="19" x14ac:dyDescent="0.25">
      <c r="A79" s="260" t="s">
        <v>344</v>
      </c>
      <c r="B79" s="206"/>
      <c r="C79" s="206"/>
      <c r="D79" s="206"/>
      <c r="E79" s="206"/>
      <c r="F79" s="206"/>
    </row>
    <row r="81" spans="1:17" s="20" customFormat="1" outlineLevel="1" x14ac:dyDescent="0.2">
      <c r="A81" s="204" t="s">
        <v>43</v>
      </c>
      <c r="B81" t="s">
        <v>333</v>
      </c>
      <c r="C81" s="274"/>
      <c r="D81" s="11"/>
      <c r="E81" s="11"/>
      <c r="F81" s="11"/>
      <c r="H81" s="12"/>
      <c r="J81" s="21"/>
      <c r="K81" s="21"/>
      <c r="L81" s="22"/>
      <c r="M81" s="45"/>
      <c r="N81" s="169"/>
      <c r="Q81" s="47"/>
    </row>
    <row r="82" spans="1:17" s="20" customFormat="1" ht="14" outlineLevel="1" x14ac:dyDescent="0.2">
      <c r="A82" s="11"/>
      <c r="B82" s="11"/>
      <c r="C82" s="11"/>
      <c r="D82" s="11"/>
      <c r="E82" s="11"/>
      <c r="F82" s="11"/>
      <c r="H82" s="12"/>
      <c r="J82" s="21"/>
      <c r="K82" s="21"/>
      <c r="L82" s="22"/>
      <c r="M82" s="45"/>
      <c r="N82" s="169"/>
      <c r="Q82" s="47"/>
    </row>
    <row r="83" spans="1:17" s="20" customFormat="1" outlineLevel="1" x14ac:dyDescent="0.2">
      <c r="A83" s="204" t="s">
        <v>340</v>
      </c>
      <c r="B83" s="204" t="s">
        <v>338</v>
      </c>
      <c r="C83"/>
      <c r="D83"/>
      <c r="E83"/>
      <c r="F83"/>
      <c r="G83"/>
      <c r="H83" s="12"/>
      <c r="J83" s="21"/>
      <c r="K83" s="21"/>
      <c r="L83" s="22"/>
      <c r="M83" s="45"/>
      <c r="N83" s="169"/>
      <c r="Q83" s="47"/>
    </row>
    <row r="84" spans="1:17" s="20" customFormat="1" outlineLevel="1" x14ac:dyDescent="0.2">
      <c r="A84" s="204" t="s">
        <v>335</v>
      </c>
      <c r="B84"/>
      <c r="C84" t="s">
        <v>49</v>
      </c>
      <c r="D84" t="s">
        <v>154</v>
      </c>
      <c r="E84" t="s">
        <v>155</v>
      </c>
      <c r="F84" t="s">
        <v>153</v>
      </c>
      <c r="G84" t="s">
        <v>336</v>
      </c>
      <c r="H84" s="12"/>
      <c r="J84" s="21"/>
      <c r="K84" s="21"/>
      <c r="L84" s="22"/>
      <c r="M84" s="45"/>
      <c r="N84" s="169"/>
      <c r="Q84" s="47"/>
    </row>
    <row r="85" spans="1:17" s="20" customFormat="1" outlineLevel="1" x14ac:dyDescent="0.2">
      <c r="A85" s="19" t="s">
        <v>341</v>
      </c>
      <c r="B85"/>
      <c r="C85">
        <v>1000</v>
      </c>
      <c r="D85">
        <v>2000</v>
      </c>
      <c r="E85">
        <v>3000</v>
      </c>
      <c r="F85">
        <v>4000</v>
      </c>
      <c r="G85">
        <v>10000</v>
      </c>
      <c r="H85" s="12"/>
      <c r="J85" s="21"/>
      <c r="K85" s="21"/>
      <c r="L85" s="22"/>
      <c r="M85" s="45"/>
      <c r="N85" s="169"/>
      <c r="Q85" s="47"/>
    </row>
    <row r="86" spans="1:17" s="20" customFormat="1" outlineLevel="1" x14ac:dyDescent="0.2">
      <c r="A86" s="19" t="s">
        <v>342</v>
      </c>
      <c r="B86"/>
      <c r="C86"/>
      <c r="D86"/>
      <c r="E86">
        <v>1700</v>
      </c>
      <c r="F86"/>
      <c r="G86">
        <v>1700</v>
      </c>
      <c r="H86" s="12"/>
      <c r="J86" s="21"/>
      <c r="K86" s="21"/>
      <c r="L86" s="22"/>
      <c r="M86" s="45"/>
      <c r="N86" s="169"/>
      <c r="Q86" s="47"/>
    </row>
    <row r="87" spans="1:17" s="20" customFormat="1" outlineLevel="1" x14ac:dyDescent="0.2">
      <c r="A87" s="19" t="s">
        <v>339</v>
      </c>
      <c r="B87"/>
      <c r="C87"/>
      <c r="D87"/>
      <c r="E87"/>
      <c r="F87"/>
      <c r="G87"/>
      <c r="H87" s="12"/>
      <c r="J87" s="21"/>
      <c r="K87" s="21"/>
      <c r="L87" s="22"/>
      <c r="M87" s="45"/>
      <c r="N87" s="169"/>
      <c r="Q87" s="47"/>
    </row>
    <row r="88" spans="1:17" s="20" customFormat="1" outlineLevel="1" x14ac:dyDescent="0.2">
      <c r="A88" s="19" t="s">
        <v>343</v>
      </c>
      <c r="B88"/>
      <c r="C88">
        <v>2000</v>
      </c>
      <c r="D88"/>
      <c r="E88">
        <v>3000</v>
      </c>
      <c r="F88"/>
      <c r="G88">
        <v>5000</v>
      </c>
      <c r="H88" s="12"/>
      <c r="J88" s="21"/>
      <c r="K88" s="21"/>
      <c r="L88" s="22"/>
      <c r="M88" s="45"/>
      <c r="N88" s="169"/>
      <c r="Q88" s="47"/>
    </row>
    <row r="89" spans="1:17" s="20" customFormat="1" outlineLevel="1" x14ac:dyDescent="0.2">
      <c r="A89" s="19" t="s">
        <v>336</v>
      </c>
      <c r="B89"/>
      <c r="C89">
        <v>3000</v>
      </c>
      <c r="D89">
        <v>2000</v>
      </c>
      <c r="E89">
        <v>7700</v>
      </c>
      <c r="F89">
        <v>4000</v>
      </c>
      <c r="G89">
        <v>16700</v>
      </c>
      <c r="H89" s="12"/>
      <c r="J89" s="21"/>
      <c r="K89" s="21"/>
      <c r="L89" s="22"/>
      <c r="M89" s="45"/>
      <c r="N89" s="169"/>
      <c r="Q89" s="47"/>
    </row>
    <row r="90" spans="1:17" s="20" customFormat="1" outlineLevel="1" x14ac:dyDescent="0.2">
      <c r="A90"/>
      <c r="B90"/>
      <c r="C90"/>
      <c r="D90" s="11"/>
      <c r="E90" s="11"/>
      <c r="F90" s="11"/>
      <c r="H90" s="12"/>
      <c r="J90" s="21"/>
      <c r="K90" s="21"/>
      <c r="L90" s="22"/>
      <c r="M90" s="45"/>
      <c r="N90" s="169"/>
      <c r="Q90" s="47"/>
    </row>
    <row r="91" spans="1:17" s="20" customFormat="1" outlineLevel="1" x14ac:dyDescent="0.2">
      <c r="A91"/>
      <c r="B91"/>
      <c r="C91"/>
      <c r="D91" s="11"/>
      <c r="E91" s="11"/>
      <c r="F91" s="11"/>
      <c r="H91" s="12"/>
      <c r="J91" s="21"/>
      <c r="K91" s="21"/>
      <c r="L91" s="22"/>
      <c r="M91" s="45"/>
      <c r="N91" s="169"/>
      <c r="Q91" s="47"/>
    </row>
    <row r="92" spans="1:17" s="20" customFormat="1" outlineLevel="1" x14ac:dyDescent="0.2">
      <c r="A92"/>
      <c r="B92"/>
      <c r="C92"/>
      <c r="D92" s="11"/>
      <c r="E92" s="11"/>
      <c r="F92" s="11"/>
      <c r="H92" s="12"/>
      <c r="J92" s="21"/>
      <c r="K92" s="21"/>
      <c r="L92" s="22"/>
      <c r="M92" s="45"/>
      <c r="N92" s="169"/>
      <c r="Q92" s="47"/>
    </row>
    <row r="93" spans="1:17" s="20" customFormat="1" outlineLevel="1" x14ac:dyDescent="0.2">
      <c r="A93"/>
      <c r="B93"/>
      <c r="C93"/>
      <c r="D93" s="11"/>
      <c r="E93" s="11"/>
      <c r="F93" s="11"/>
      <c r="H93" s="12"/>
      <c r="J93" s="21"/>
      <c r="K93" s="21"/>
      <c r="L93" s="22"/>
      <c r="M93" s="45"/>
      <c r="N93" s="169"/>
      <c r="Q93" s="47"/>
    </row>
    <row r="94" spans="1:17" s="20" customFormat="1" outlineLevel="1" x14ac:dyDescent="0.2">
      <c r="A94"/>
      <c r="B94"/>
      <c r="C94"/>
      <c r="D94" s="11"/>
      <c r="E94" s="11"/>
      <c r="F94" s="11"/>
      <c r="H94" s="12"/>
      <c r="J94" s="21"/>
      <c r="K94" s="21"/>
      <c r="L94" s="22"/>
      <c r="M94" s="45"/>
      <c r="N94" s="169"/>
      <c r="Q94" s="47"/>
    </row>
    <row r="95" spans="1:17" s="20" customFormat="1" outlineLevel="1" x14ac:dyDescent="0.2">
      <c r="A95"/>
      <c r="B95"/>
      <c r="C95"/>
      <c r="D95" s="11"/>
      <c r="E95" s="11"/>
      <c r="F95" s="11"/>
      <c r="H95" s="12"/>
      <c r="J95" s="21"/>
      <c r="K95" s="21"/>
      <c r="L95" s="22"/>
      <c r="M95" s="45"/>
      <c r="N95" s="169"/>
      <c r="Q95" s="47"/>
    </row>
    <row r="96" spans="1:17" s="20" customFormat="1" outlineLevel="1" x14ac:dyDescent="0.2">
      <c r="A96"/>
      <c r="B96"/>
      <c r="C96"/>
      <c r="D96" s="11"/>
      <c r="E96" s="11"/>
      <c r="F96" s="11"/>
      <c r="H96" s="12"/>
      <c r="J96" s="21"/>
      <c r="K96" s="21"/>
      <c r="L96" s="22"/>
      <c r="M96" s="45"/>
      <c r="N96" s="169"/>
      <c r="Q96" s="47"/>
    </row>
    <row r="97" spans="1:21" s="20" customFormat="1" outlineLevel="1" x14ac:dyDescent="0.2">
      <c r="A97"/>
      <c r="B97"/>
      <c r="C97"/>
      <c r="D97" s="11"/>
      <c r="E97" s="11"/>
      <c r="F97" s="11"/>
      <c r="H97" s="12"/>
      <c r="J97" s="21"/>
      <c r="K97" s="21"/>
      <c r="L97" s="22"/>
      <c r="M97" s="45"/>
      <c r="N97" s="169"/>
      <c r="Q97" s="47"/>
    </row>
    <row r="98" spans="1:21" outlineLevel="1" x14ac:dyDescent="0.2"/>
    <row r="99" spans="1:21" outlineLevel="1" x14ac:dyDescent="0.2"/>
    <row r="100" spans="1:21" outlineLevel="1" x14ac:dyDescent="0.2"/>
    <row r="101" spans="1:21" outlineLevel="1" x14ac:dyDescent="0.2"/>
    <row r="104" spans="1:21" ht="19" x14ac:dyDescent="0.25">
      <c r="A104" s="260" t="s">
        <v>161</v>
      </c>
      <c r="B104" s="206"/>
      <c r="C104" s="206"/>
      <c r="D104" s="206"/>
      <c r="E104" s="206"/>
      <c r="F104" s="206"/>
    </row>
    <row r="105" spans="1:21" outlineLevel="1" x14ac:dyDescent="0.2"/>
    <row r="106" spans="1:21" outlineLevel="1" x14ac:dyDescent="0.2">
      <c r="A106" s="204" t="s">
        <v>43</v>
      </c>
      <c r="B106" t="s">
        <v>333</v>
      </c>
      <c r="C106" s="11"/>
      <c r="D106" s="11"/>
      <c r="E106" s="11"/>
      <c r="F106" s="11"/>
      <c r="G106" s="20"/>
      <c r="H106" s="12"/>
      <c r="I106" s="21"/>
      <c r="J106" s="21"/>
      <c r="K106" s="21"/>
      <c r="L106" s="21"/>
      <c r="M106" s="22"/>
      <c r="N106" s="20"/>
      <c r="O106" s="20"/>
      <c r="P106" s="43"/>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3"/>
      <c r="Q107" s="20"/>
      <c r="R107" s="11"/>
      <c r="S107" s="20"/>
      <c r="T107" s="20"/>
      <c r="U107" s="20"/>
    </row>
    <row r="108" spans="1:21" outlineLevel="1" x14ac:dyDescent="0.2">
      <c r="A108" s="204" t="s">
        <v>345</v>
      </c>
      <c r="B108" s="204" t="s">
        <v>47</v>
      </c>
      <c r="G108" s="20"/>
      <c r="H108" s="12"/>
      <c r="I108" s="21"/>
      <c r="J108" s="21"/>
      <c r="K108" s="21"/>
      <c r="L108" s="21"/>
      <c r="M108" s="22"/>
      <c r="N108" s="20"/>
      <c r="O108" s="20"/>
      <c r="P108" s="43"/>
      <c r="Q108" s="20"/>
      <c r="R108" s="11"/>
      <c r="S108" s="20"/>
      <c r="T108" s="20"/>
      <c r="U108" s="20"/>
    </row>
    <row r="109" spans="1:21" outlineLevel="1" x14ac:dyDescent="0.2">
      <c r="A109" s="204" t="s">
        <v>335</v>
      </c>
      <c r="B109" t="s">
        <v>49</v>
      </c>
      <c r="C109" t="s">
        <v>153</v>
      </c>
      <c r="D109" t="s">
        <v>154</v>
      </c>
      <c r="E109" t="s">
        <v>336</v>
      </c>
      <c r="G109" s="20"/>
      <c r="H109" s="12"/>
      <c r="I109" s="21"/>
      <c r="J109" s="21"/>
      <c r="K109" s="21"/>
      <c r="L109" s="21"/>
      <c r="M109" s="22"/>
      <c r="N109" s="20"/>
      <c r="O109" s="20"/>
      <c r="P109" s="43"/>
      <c r="Q109" s="20"/>
      <c r="R109" s="11"/>
      <c r="S109" s="20"/>
      <c r="T109" s="20"/>
      <c r="U109" s="20"/>
    </row>
    <row r="110" spans="1:21" outlineLevel="1" x14ac:dyDescent="0.2">
      <c r="A110" s="19" t="s">
        <v>343</v>
      </c>
      <c r="B110" s="267"/>
      <c r="C110" s="267"/>
      <c r="D110" s="267">
        <v>200</v>
      </c>
      <c r="E110" s="267">
        <v>200</v>
      </c>
      <c r="G110" s="20"/>
      <c r="H110" s="12"/>
      <c r="I110" s="21"/>
      <c r="J110" s="21"/>
      <c r="K110" s="21"/>
      <c r="L110" s="21"/>
      <c r="M110" s="22"/>
      <c r="N110" s="20"/>
      <c r="O110" s="20"/>
      <c r="P110" s="43"/>
      <c r="Q110" s="20"/>
      <c r="R110" s="11"/>
      <c r="S110" s="20"/>
      <c r="T110" s="20"/>
      <c r="U110" s="20"/>
    </row>
    <row r="111" spans="1:21" outlineLevel="1" x14ac:dyDescent="0.2">
      <c r="A111" s="207" t="s">
        <v>127</v>
      </c>
      <c r="B111" s="267"/>
      <c r="C111" s="267"/>
      <c r="D111" s="267">
        <v>200</v>
      </c>
      <c r="E111" s="267">
        <v>200</v>
      </c>
      <c r="G111" s="20"/>
      <c r="H111" s="12"/>
      <c r="I111" s="21"/>
      <c r="J111" s="21"/>
      <c r="K111" s="21"/>
      <c r="L111" s="21"/>
      <c r="M111" s="22"/>
      <c r="N111" s="20"/>
      <c r="O111" s="20"/>
      <c r="P111" s="43"/>
      <c r="Q111" s="20"/>
      <c r="R111" s="11"/>
      <c r="S111" s="20"/>
      <c r="T111" s="20"/>
      <c r="U111" s="20"/>
    </row>
    <row r="112" spans="1:21" outlineLevel="1" x14ac:dyDescent="0.2">
      <c r="A112" s="19" t="s">
        <v>342</v>
      </c>
      <c r="B112" s="267">
        <v>800</v>
      </c>
      <c r="C112" s="267"/>
      <c r="D112" s="267"/>
      <c r="E112" s="267">
        <v>800</v>
      </c>
      <c r="G112" s="20"/>
      <c r="H112" s="12"/>
      <c r="I112" s="21"/>
      <c r="J112" s="21"/>
      <c r="K112" s="21"/>
      <c r="L112" s="21"/>
      <c r="M112" s="22"/>
      <c r="N112" s="20"/>
      <c r="O112" s="20"/>
      <c r="P112" s="43"/>
      <c r="Q112" s="20"/>
      <c r="R112" s="11"/>
      <c r="S112" s="20"/>
      <c r="T112" s="20"/>
      <c r="U112" s="20"/>
    </row>
    <row r="113" spans="1:21" outlineLevel="1" x14ac:dyDescent="0.2">
      <c r="A113" s="207" t="s">
        <v>346</v>
      </c>
      <c r="B113" s="267">
        <v>300</v>
      </c>
      <c r="C113" s="267"/>
      <c r="D113" s="267"/>
      <c r="E113" s="267">
        <v>300</v>
      </c>
      <c r="G113" s="20"/>
      <c r="H113" s="12"/>
      <c r="I113" s="21"/>
      <c r="J113" s="21"/>
      <c r="K113" s="21"/>
      <c r="L113" s="21"/>
      <c r="M113" s="22"/>
      <c r="N113" s="20"/>
      <c r="O113" s="20"/>
      <c r="P113" s="43"/>
      <c r="Q113" s="20"/>
      <c r="R113" s="11"/>
      <c r="S113" s="20"/>
      <c r="T113" s="20"/>
      <c r="U113" s="20"/>
    </row>
    <row r="114" spans="1:21" outlineLevel="1" x14ac:dyDescent="0.2">
      <c r="A114" s="207" t="s">
        <v>127</v>
      </c>
      <c r="B114" s="267">
        <v>500</v>
      </c>
      <c r="C114" s="267"/>
      <c r="D114" s="267"/>
      <c r="E114" s="267">
        <v>500</v>
      </c>
      <c r="G114" s="20"/>
      <c r="H114" s="12"/>
      <c r="I114" s="21"/>
      <c r="J114" s="21"/>
      <c r="K114" s="21"/>
      <c r="L114" s="21"/>
      <c r="M114" s="22"/>
      <c r="N114" s="20"/>
      <c r="O114" s="20"/>
      <c r="P114" s="43"/>
      <c r="Q114" s="20"/>
      <c r="R114" s="11"/>
      <c r="S114" s="20"/>
      <c r="T114" s="20"/>
      <c r="U114" s="20"/>
    </row>
    <row r="115" spans="1:21" outlineLevel="1" x14ac:dyDescent="0.2">
      <c r="A115" s="19" t="s">
        <v>347</v>
      </c>
      <c r="B115" s="267"/>
      <c r="C115" s="267">
        <v>200</v>
      </c>
      <c r="D115" s="267"/>
      <c r="E115" s="267">
        <v>200</v>
      </c>
      <c r="G115" s="20"/>
      <c r="H115" s="12"/>
      <c r="I115" s="21"/>
      <c r="J115" s="21"/>
      <c r="K115" s="21"/>
      <c r="L115" s="21"/>
      <c r="M115" s="22"/>
      <c r="N115" s="20"/>
      <c r="O115" s="20"/>
      <c r="P115" s="43"/>
      <c r="Q115" s="20"/>
      <c r="R115" s="11"/>
      <c r="S115" s="20"/>
      <c r="T115" s="20"/>
      <c r="U115" s="20"/>
    </row>
    <row r="116" spans="1:21" outlineLevel="1" x14ac:dyDescent="0.2">
      <c r="A116" s="207" t="s">
        <v>346</v>
      </c>
      <c r="B116" s="267"/>
      <c r="C116" s="267">
        <v>200</v>
      </c>
      <c r="D116" s="267"/>
      <c r="E116" s="267">
        <v>200</v>
      </c>
      <c r="G116" s="20"/>
      <c r="H116" s="12"/>
      <c r="I116" s="21"/>
      <c r="J116" s="21"/>
      <c r="K116" s="21"/>
      <c r="L116" s="21"/>
      <c r="M116" s="22"/>
      <c r="N116" s="20"/>
      <c r="O116" s="20"/>
      <c r="P116" s="43"/>
      <c r="Q116" s="20"/>
      <c r="R116" s="11"/>
      <c r="S116" s="20"/>
      <c r="T116" s="20"/>
      <c r="U116" s="20"/>
    </row>
    <row r="117" spans="1:21" outlineLevel="1" x14ac:dyDescent="0.2">
      <c r="A117" s="19" t="s">
        <v>339</v>
      </c>
      <c r="B117" s="267"/>
      <c r="C117" s="267">
        <v>150</v>
      </c>
      <c r="D117" s="267"/>
      <c r="E117" s="267">
        <v>150</v>
      </c>
      <c r="G117" s="20"/>
      <c r="H117" s="12"/>
      <c r="I117" s="21"/>
      <c r="J117" s="21"/>
      <c r="K117" s="21"/>
      <c r="L117" s="21"/>
      <c r="M117" s="22"/>
      <c r="N117" s="20"/>
      <c r="O117" s="20"/>
      <c r="P117" s="43"/>
      <c r="Q117" s="20"/>
      <c r="R117" s="11"/>
      <c r="S117" s="20"/>
      <c r="T117" s="20"/>
      <c r="U117" s="20"/>
    </row>
    <row r="118" spans="1:21" outlineLevel="1" x14ac:dyDescent="0.2">
      <c r="A118" s="207" t="s">
        <v>348</v>
      </c>
      <c r="B118" s="267"/>
      <c r="C118" s="267">
        <v>150</v>
      </c>
      <c r="D118" s="267"/>
      <c r="E118" s="267">
        <v>150</v>
      </c>
      <c r="G118" s="20"/>
      <c r="H118" s="12"/>
      <c r="I118" s="21"/>
      <c r="J118" s="21"/>
      <c r="K118" s="21"/>
      <c r="L118" s="21"/>
      <c r="M118" s="22"/>
      <c r="N118" s="20"/>
      <c r="O118" s="20"/>
      <c r="P118" s="43"/>
      <c r="Q118" s="20"/>
      <c r="R118" s="11"/>
      <c r="S118" s="20"/>
      <c r="T118" s="20"/>
      <c r="U118" s="20"/>
    </row>
    <row r="119" spans="1:21" outlineLevel="1" x14ac:dyDescent="0.2">
      <c r="A119" s="19" t="s">
        <v>336</v>
      </c>
      <c r="B119" s="267">
        <v>800</v>
      </c>
      <c r="C119" s="267">
        <v>350</v>
      </c>
      <c r="D119" s="267">
        <v>200</v>
      </c>
      <c r="E119" s="267">
        <v>1350</v>
      </c>
      <c r="G119" s="20"/>
      <c r="H119" s="12"/>
      <c r="I119" s="21"/>
      <c r="J119" s="21"/>
      <c r="K119" s="21"/>
      <c r="L119" s="21"/>
      <c r="M119" s="22"/>
      <c r="N119" s="20"/>
      <c r="O119" s="20"/>
      <c r="P119" s="43"/>
      <c r="Q119" s="20"/>
      <c r="R119" s="11"/>
      <c r="S119" s="20"/>
      <c r="T119" s="20"/>
      <c r="U119" s="20"/>
    </row>
    <row r="120" spans="1:21" outlineLevel="1" x14ac:dyDescent="0.2">
      <c r="G120" s="20"/>
      <c r="H120" s="12"/>
      <c r="I120" s="21"/>
      <c r="J120" s="21"/>
      <c r="K120" s="21"/>
      <c r="L120" s="21"/>
      <c r="M120" s="22"/>
      <c r="N120" s="20"/>
      <c r="O120" s="20"/>
      <c r="P120" s="43"/>
      <c r="Q120" s="20"/>
      <c r="R120" s="11"/>
      <c r="S120" s="20"/>
      <c r="T120" s="20"/>
      <c r="U120" s="20"/>
    </row>
    <row r="121" spans="1:21" outlineLevel="1" x14ac:dyDescent="0.2">
      <c r="D121" s="11"/>
      <c r="E121" s="11"/>
      <c r="F121" s="11"/>
      <c r="G121" s="20"/>
      <c r="H121" s="12"/>
      <c r="I121" s="21"/>
      <c r="J121" s="21"/>
      <c r="K121" s="21"/>
      <c r="L121" s="21"/>
      <c r="M121" s="22"/>
      <c r="N121" s="20"/>
      <c r="O121" s="20"/>
      <c r="P121" s="43"/>
      <c r="Q121" s="20"/>
      <c r="R121" s="11"/>
      <c r="S121" s="20"/>
      <c r="T121" s="20"/>
      <c r="U121" s="20"/>
    </row>
    <row r="122" spans="1:21" outlineLevel="1" x14ac:dyDescent="0.2">
      <c r="D122" s="11"/>
      <c r="E122" s="11"/>
      <c r="F122" s="11"/>
      <c r="G122" s="20"/>
      <c r="H122" s="12"/>
      <c r="I122" s="21"/>
      <c r="J122" s="21"/>
      <c r="K122" s="21"/>
      <c r="L122" s="21"/>
      <c r="M122" s="22"/>
      <c r="N122" s="20"/>
      <c r="O122" s="20"/>
      <c r="P122" s="43"/>
      <c r="Q122" s="20"/>
      <c r="R122" s="11"/>
      <c r="S122" s="20"/>
      <c r="T122" s="20"/>
      <c r="U122" s="20"/>
    </row>
    <row r="123" spans="1:21" outlineLevel="1" x14ac:dyDescent="0.2">
      <c r="A123" s="204" t="s">
        <v>43</v>
      </c>
      <c r="B123" t="s">
        <v>333</v>
      </c>
      <c r="D123" s="11"/>
      <c r="E123" s="11"/>
      <c r="F123" s="11"/>
      <c r="G123" s="20"/>
      <c r="H123" s="12"/>
      <c r="I123" s="21"/>
      <c r="J123" s="21"/>
      <c r="K123" s="21"/>
      <c r="L123" s="21"/>
      <c r="M123" s="22"/>
      <c r="N123" s="20"/>
      <c r="O123" s="20"/>
      <c r="P123" s="43"/>
      <c r="Q123" s="20"/>
      <c r="R123" s="11"/>
      <c r="S123" s="20"/>
      <c r="T123" s="20"/>
      <c r="U123" s="20"/>
    </row>
    <row r="124" spans="1:21" outlineLevel="1" x14ac:dyDescent="0.2">
      <c r="D124" s="11"/>
      <c r="E124" s="11"/>
      <c r="F124" s="11"/>
      <c r="G124" s="20"/>
      <c r="H124" s="12"/>
      <c r="I124" s="21"/>
      <c r="J124" s="21"/>
      <c r="K124" s="21"/>
      <c r="L124" s="21"/>
      <c r="M124" s="22"/>
      <c r="N124" s="20"/>
      <c r="O124" s="20"/>
      <c r="P124" s="43"/>
      <c r="Q124" s="20"/>
      <c r="R124" s="11"/>
      <c r="S124" s="20"/>
      <c r="T124" s="20"/>
      <c r="U124" s="20"/>
    </row>
    <row r="125" spans="1:21" outlineLevel="1" x14ac:dyDescent="0.2">
      <c r="A125" s="204" t="s">
        <v>349</v>
      </c>
      <c r="B125" s="204" t="s">
        <v>47</v>
      </c>
      <c r="G125" s="20"/>
      <c r="H125" s="12"/>
      <c r="I125" s="21"/>
      <c r="J125" s="21"/>
      <c r="K125" s="21"/>
      <c r="L125" s="21"/>
      <c r="M125" s="22"/>
      <c r="N125" s="20"/>
      <c r="O125" s="20"/>
      <c r="P125" s="43"/>
      <c r="Q125" s="20"/>
      <c r="R125" s="11"/>
      <c r="S125" s="20"/>
      <c r="T125" s="20"/>
      <c r="U125" s="20"/>
    </row>
    <row r="126" spans="1:21" outlineLevel="1" x14ac:dyDescent="0.2">
      <c r="A126" s="204" t="s">
        <v>335</v>
      </c>
      <c r="B126" t="s">
        <v>49</v>
      </c>
      <c r="C126" t="s">
        <v>153</v>
      </c>
      <c r="D126" t="s">
        <v>155</v>
      </c>
      <c r="E126" t="s">
        <v>336</v>
      </c>
      <c r="G126" s="20"/>
      <c r="H126" s="12"/>
      <c r="I126" s="21"/>
      <c r="J126" s="21"/>
      <c r="K126" s="21"/>
      <c r="L126" s="21"/>
      <c r="M126" s="22"/>
      <c r="N126" s="20"/>
      <c r="O126" s="20"/>
      <c r="P126" s="43"/>
      <c r="Q126" s="20"/>
      <c r="R126" s="11"/>
      <c r="S126" s="20"/>
      <c r="T126" s="20"/>
      <c r="U126" s="20"/>
    </row>
    <row r="127" spans="1:21" outlineLevel="1" x14ac:dyDescent="0.2">
      <c r="A127" s="19" t="s">
        <v>343</v>
      </c>
      <c r="C127">
        <v>140</v>
      </c>
      <c r="E127">
        <v>140</v>
      </c>
      <c r="G127" s="20"/>
      <c r="H127" s="12"/>
      <c r="I127" s="21"/>
      <c r="J127" s="21"/>
      <c r="K127" s="21"/>
      <c r="L127" s="21"/>
      <c r="M127" s="22"/>
      <c r="N127" s="20"/>
      <c r="O127" s="20"/>
      <c r="P127" s="43"/>
      <c r="Q127" s="20"/>
      <c r="R127" s="11"/>
      <c r="S127" s="20"/>
      <c r="T127" s="20"/>
      <c r="U127" s="20"/>
    </row>
    <row r="128" spans="1:21" outlineLevel="1" x14ac:dyDescent="0.2">
      <c r="A128" s="207" t="s">
        <v>136</v>
      </c>
      <c r="C128">
        <v>140</v>
      </c>
      <c r="E128">
        <v>140</v>
      </c>
      <c r="G128" s="20"/>
      <c r="H128" s="12"/>
      <c r="I128" s="21"/>
      <c r="J128" s="21"/>
      <c r="K128" s="21"/>
      <c r="L128" s="21"/>
      <c r="M128" s="22"/>
      <c r="N128" s="20"/>
      <c r="O128" s="20"/>
      <c r="P128" s="43"/>
      <c r="Q128" s="20"/>
      <c r="R128" s="11"/>
      <c r="S128" s="20"/>
      <c r="T128" s="20"/>
      <c r="U128" s="20"/>
    </row>
    <row r="129" spans="1:21" outlineLevel="1" x14ac:dyDescent="0.2">
      <c r="A129" s="19" t="s">
        <v>342</v>
      </c>
      <c r="C129">
        <v>400</v>
      </c>
      <c r="E129">
        <v>400</v>
      </c>
      <c r="G129" s="20"/>
      <c r="H129" s="12"/>
      <c r="I129" s="21"/>
      <c r="J129" s="21"/>
      <c r="K129" s="21"/>
      <c r="L129" s="21"/>
      <c r="M129" s="22"/>
      <c r="N129" s="20"/>
      <c r="O129" s="20"/>
      <c r="P129" s="43"/>
      <c r="Q129" s="20"/>
      <c r="R129" s="11"/>
      <c r="S129" s="20"/>
      <c r="T129" s="20"/>
      <c r="U129" s="20"/>
    </row>
    <row r="130" spans="1:21" outlineLevel="1" x14ac:dyDescent="0.2">
      <c r="A130" s="207" t="s">
        <v>136</v>
      </c>
      <c r="C130">
        <v>200</v>
      </c>
      <c r="E130">
        <v>200</v>
      </c>
      <c r="G130" s="20"/>
      <c r="H130" s="12"/>
      <c r="I130" s="21"/>
      <c r="J130" s="21"/>
      <c r="K130" s="21"/>
      <c r="L130" s="21"/>
      <c r="M130" s="22"/>
      <c r="N130" s="20"/>
      <c r="O130" s="20"/>
      <c r="P130" s="43"/>
      <c r="Q130" s="20"/>
      <c r="R130" s="11"/>
      <c r="S130" s="20"/>
      <c r="T130" s="20"/>
      <c r="U130" s="20"/>
    </row>
    <row r="131" spans="1:21" outlineLevel="1" x14ac:dyDescent="0.2">
      <c r="A131" s="207" t="s">
        <v>350</v>
      </c>
      <c r="C131">
        <v>200</v>
      </c>
      <c r="E131">
        <v>200</v>
      </c>
      <c r="G131" s="20"/>
      <c r="H131" s="12"/>
      <c r="I131" s="21"/>
      <c r="J131" s="21"/>
      <c r="K131" s="21"/>
      <c r="L131" s="21"/>
      <c r="M131" s="22"/>
      <c r="N131" s="20"/>
      <c r="O131" s="20"/>
      <c r="P131" s="43"/>
      <c r="Q131" s="20"/>
      <c r="R131" s="11"/>
      <c r="S131" s="20"/>
      <c r="T131" s="20"/>
      <c r="U131" s="20"/>
    </row>
    <row r="132" spans="1:21" outlineLevel="1" x14ac:dyDescent="0.2">
      <c r="A132" s="19" t="s">
        <v>347</v>
      </c>
      <c r="B132">
        <v>120</v>
      </c>
      <c r="D132">
        <v>130</v>
      </c>
      <c r="E132">
        <v>250</v>
      </c>
      <c r="G132" s="20"/>
      <c r="H132" s="12"/>
      <c r="I132" s="21"/>
      <c r="J132" s="21"/>
      <c r="K132" s="21"/>
      <c r="L132" s="21"/>
      <c r="M132" s="22"/>
      <c r="N132" s="20"/>
      <c r="O132" s="20"/>
      <c r="P132" s="43"/>
      <c r="Q132" s="20"/>
      <c r="R132" s="11"/>
      <c r="S132" s="20"/>
      <c r="T132" s="20"/>
      <c r="U132" s="20"/>
    </row>
    <row r="133" spans="1:21" outlineLevel="1" x14ac:dyDescent="0.2">
      <c r="A133" s="207" t="s">
        <v>136</v>
      </c>
      <c r="D133">
        <v>130</v>
      </c>
      <c r="E133">
        <v>130</v>
      </c>
      <c r="G133" s="20"/>
      <c r="H133" s="12"/>
      <c r="I133" s="21"/>
      <c r="J133" s="21"/>
      <c r="K133" s="21"/>
      <c r="L133" s="21"/>
      <c r="M133" s="22"/>
      <c r="N133" s="20"/>
      <c r="O133" s="20"/>
      <c r="P133" s="43"/>
      <c r="Q133" s="20"/>
      <c r="R133" s="11"/>
      <c r="S133" s="20"/>
      <c r="T133" s="20"/>
      <c r="U133" s="20"/>
    </row>
    <row r="134" spans="1:21" outlineLevel="1" x14ac:dyDescent="0.2">
      <c r="A134" s="207" t="s">
        <v>350</v>
      </c>
      <c r="B134">
        <v>120</v>
      </c>
      <c r="E134">
        <v>120</v>
      </c>
      <c r="G134" s="20"/>
      <c r="H134" s="12"/>
      <c r="I134" s="21"/>
      <c r="J134" s="21"/>
      <c r="K134" s="21"/>
      <c r="L134" s="21"/>
      <c r="M134" s="22"/>
      <c r="N134" s="20"/>
      <c r="O134" s="20"/>
      <c r="P134" s="43"/>
      <c r="Q134" s="20"/>
      <c r="R134" s="11"/>
      <c r="S134" s="20"/>
      <c r="T134" s="20"/>
      <c r="U134" s="20"/>
    </row>
    <row r="135" spans="1:21" outlineLevel="1" x14ac:dyDescent="0.2">
      <c r="A135" s="19" t="s">
        <v>336</v>
      </c>
      <c r="B135">
        <v>120</v>
      </c>
      <c r="C135">
        <v>540</v>
      </c>
      <c r="D135">
        <v>130</v>
      </c>
      <c r="E135">
        <v>790</v>
      </c>
      <c r="G135" s="20"/>
      <c r="H135" s="12"/>
      <c r="I135" s="21"/>
      <c r="J135" s="21"/>
      <c r="K135" s="21"/>
      <c r="L135" s="21"/>
      <c r="M135" s="22"/>
      <c r="N135" s="20"/>
      <c r="O135" s="20"/>
      <c r="P135" s="43"/>
      <c r="Q135" s="20"/>
      <c r="R135" s="11"/>
      <c r="S135" s="20"/>
      <c r="T135" s="20"/>
      <c r="U135" s="20"/>
    </row>
    <row r="136" spans="1:21" outlineLevel="1" x14ac:dyDescent="0.2">
      <c r="G136" s="20"/>
      <c r="H136" s="12"/>
      <c r="I136" s="21"/>
      <c r="J136" s="21"/>
      <c r="K136" s="21"/>
      <c r="L136" s="21"/>
      <c r="M136" s="22"/>
      <c r="N136" s="20"/>
      <c r="O136" s="20"/>
      <c r="P136" s="43"/>
      <c r="Q136" s="20"/>
      <c r="R136" s="11"/>
      <c r="S136" s="20"/>
      <c r="T136" s="20"/>
      <c r="U136" s="20"/>
    </row>
    <row r="137" spans="1:21" outlineLevel="1" x14ac:dyDescent="0.2">
      <c r="G137" s="20"/>
      <c r="H137" s="12"/>
      <c r="I137" s="21"/>
      <c r="J137" s="21"/>
      <c r="K137" s="21"/>
      <c r="L137" s="21"/>
      <c r="M137" s="22"/>
      <c r="N137" s="20"/>
      <c r="O137" s="20"/>
      <c r="P137" s="43"/>
      <c r="Q137" s="20"/>
      <c r="R137" s="11"/>
      <c r="S137" s="20"/>
      <c r="T137" s="20"/>
      <c r="U137" s="20"/>
    </row>
    <row r="141" spans="1:21" ht="19" x14ac:dyDescent="0.25">
      <c r="A141" s="260" t="s">
        <v>162</v>
      </c>
      <c r="B141" s="206"/>
      <c r="C141" s="206"/>
      <c r="D141" s="206"/>
      <c r="E141" s="206"/>
      <c r="F141" s="206"/>
    </row>
    <row r="142" spans="1:21" outlineLevel="1" x14ac:dyDescent="0.2"/>
    <row r="143" spans="1:21" outlineLevel="1" x14ac:dyDescent="0.2">
      <c r="A143" s="204" t="s">
        <v>43</v>
      </c>
      <c r="B143" t="s">
        <v>333</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4" t="s">
        <v>351</v>
      </c>
      <c r="B145" s="204" t="s">
        <v>338</v>
      </c>
      <c r="M145" s="22"/>
      <c r="N145" s="20"/>
      <c r="O145" s="20"/>
      <c r="P145" s="20"/>
    </row>
    <row r="146" spans="1:16" outlineLevel="1" x14ac:dyDescent="0.2">
      <c r="A146" s="204" t="s">
        <v>335</v>
      </c>
      <c r="B146" t="s">
        <v>49</v>
      </c>
      <c r="C146" t="s">
        <v>153</v>
      </c>
      <c r="D146" t="s">
        <v>154</v>
      </c>
      <c r="E146" t="s">
        <v>155</v>
      </c>
      <c r="F146" t="s">
        <v>336</v>
      </c>
      <c r="M146" s="22"/>
      <c r="N146" s="20"/>
      <c r="O146" s="20"/>
      <c r="P146" s="20"/>
    </row>
    <row r="147" spans="1:16" outlineLevel="1" x14ac:dyDescent="0.2">
      <c r="A147" s="19" t="s">
        <v>352</v>
      </c>
      <c r="B147" s="267"/>
      <c r="C147" s="267">
        <v>700</v>
      </c>
      <c r="D147" s="267">
        <v>1000</v>
      </c>
      <c r="E147" s="267">
        <v>500</v>
      </c>
      <c r="F147" s="267">
        <v>2200</v>
      </c>
      <c r="M147" s="22"/>
      <c r="N147" s="20"/>
      <c r="O147" s="20"/>
      <c r="P147" s="20"/>
    </row>
    <row r="148" spans="1:16" outlineLevel="1" x14ac:dyDescent="0.2">
      <c r="A148" s="207" t="s">
        <v>353</v>
      </c>
      <c r="B148" s="267"/>
      <c r="C148" s="267">
        <v>700</v>
      </c>
      <c r="D148" s="267">
        <v>1000</v>
      </c>
      <c r="E148" s="267">
        <v>500</v>
      </c>
      <c r="F148" s="267">
        <v>2200</v>
      </c>
      <c r="M148" s="22"/>
      <c r="N148" s="20"/>
      <c r="O148" s="20"/>
      <c r="P148" s="20"/>
    </row>
    <row r="149" spans="1:16" outlineLevel="1" x14ac:dyDescent="0.2">
      <c r="A149" s="19" t="s">
        <v>354</v>
      </c>
      <c r="B149" s="267">
        <v>1000</v>
      </c>
      <c r="C149" s="267">
        <v>500</v>
      </c>
      <c r="D149" s="267"/>
      <c r="E149" s="267">
        <v>750</v>
      </c>
      <c r="F149" s="267">
        <v>2250</v>
      </c>
      <c r="H149" s="12"/>
      <c r="I149" s="21"/>
      <c r="J149" s="21"/>
      <c r="K149" s="20"/>
      <c r="L149" s="20"/>
      <c r="M149" s="22"/>
      <c r="N149" s="20"/>
      <c r="O149" s="20"/>
      <c r="P149" s="20"/>
    </row>
    <row r="150" spans="1:16" outlineLevel="1" x14ac:dyDescent="0.2">
      <c r="A150" s="207" t="s">
        <v>355</v>
      </c>
      <c r="B150" s="267">
        <v>500</v>
      </c>
      <c r="C150" s="267"/>
      <c r="D150" s="267"/>
      <c r="E150" s="267">
        <v>750</v>
      </c>
      <c r="F150" s="267">
        <v>1250</v>
      </c>
      <c r="H150" s="12"/>
      <c r="I150" s="21"/>
      <c r="J150" s="21"/>
      <c r="K150" s="20"/>
      <c r="L150" s="20"/>
      <c r="M150" s="22"/>
      <c r="N150" s="20"/>
      <c r="O150" s="20"/>
      <c r="P150" s="20"/>
    </row>
    <row r="151" spans="1:16" outlineLevel="1" x14ac:dyDescent="0.2">
      <c r="A151" s="207" t="s">
        <v>317</v>
      </c>
      <c r="B151" s="267">
        <v>500</v>
      </c>
      <c r="C151" s="267"/>
      <c r="D151" s="267"/>
      <c r="E151" s="267"/>
      <c r="F151" s="267">
        <v>500</v>
      </c>
      <c r="H151" s="12"/>
      <c r="I151" s="21"/>
      <c r="J151" s="21"/>
      <c r="K151" s="20"/>
      <c r="L151" s="20"/>
      <c r="M151" s="22"/>
      <c r="N151" s="20"/>
      <c r="O151" s="20"/>
      <c r="P151" s="20"/>
    </row>
    <row r="152" spans="1:16" outlineLevel="1" x14ac:dyDescent="0.2">
      <c r="A152" s="207" t="s">
        <v>356</v>
      </c>
      <c r="B152" s="267"/>
      <c r="C152" s="267">
        <v>500</v>
      </c>
      <c r="D152" s="267"/>
      <c r="E152" s="267"/>
      <c r="F152" s="267">
        <v>500</v>
      </c>
      <c r="H152" s="12"/>
      <c r="I152" s="21"/>
      <c r="J152" s="21"/>
      <c r="K152" s="20"/>
      <c r="L152" s="20"/>
      <c r="M152" s="22"/>
      <c r="N152" s="20"/>
      <c r="O152" s="20"/>
      <c r="P152" s="20"/>
    </row>
    <row r="153" spans="1:16" outlineLevel="1" x14ac:dyDescent="0.2">
      <c r="A153" s="19" t="s">
        <v>336</v>
      </c>
      <c r="B153" s="267">
        <v>1000</v>
      </c>
      <c r="C153" s="267">
        <v>1200</v>
      </c>
      <c r="D153" s="267">
        <v>1000</v>
      </c>
      <c r="E153" s="267">
        <v>1250</v>
      </c>
      <c r="F153" s="267">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10" sqref="B10"/>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3.83203125" customWidth="1"/>
    <col min="38" max="38" width="2.6640625" customWidth="1"/>
    <col min="39" max="39" width="49" customWidth="1"/>
    <col min="40" max="40" width="2.6640625" customWidth="1"/>
    <col min="41" max="41" width="18.6640625" customWidth="1"/>
  </cols>
  <sheetData>
    <row r="3" spans="2:43" x14ac:dyDescent="0.2">
      <c r="B3" s="15" t="s">
        <v>140</v>
      </c>
      <c r="D3" s="15" t="s">
        <v>357</v>
      </c>
      <c r="E3" s="15" t="s">
        <v>358</v>
      </c>
      <c r="G3" s="268" t="s">
        <v>359</v>
      </c>
      <c r="I3" s="5" t="s">
        <v>360</v>
      </c>
      <c r="K3" s="15" t="s">
        <v>9</v>
      </c>
      <c r="L3" s="15" t="s">
        <v>360</v>
      </c>
      <c r="N3" s="218" t="s">
        <v>361</v>
      </c>
      <c r="P3" s="15" t="s">
        <v>362</v>
      </c>
      <c r="Q3" s="15" t="s">
        <v>55</v>
      </c>
      <c r="S3" s="15" t="s">
        <v>43</v>
      </c>
      <c r="T3" s="15" t="s">
        <v>363</v>
      </c>
      <c r="V3" s="15" t="s">
        <v>172</v>
      </c>
      <c r="X3" s="15" t="s">
        <v>158</v>
      </c>
      <c r="Z3" s="15" t="s">
        <v>364</v>
      </c>
      <c r="AB3" s="15" t="s">
        <v>365</v>
      </c>
      <c r="AE3" s="15" t="s">
        <v>366</v>
      </c>
      <c r="AG3" s="15" t="s">
        <v>134</v>
      </c>
      <c r="AI3" s="15" t="s">
        <v>367</v>
      </c>
      <c r="AK3" s="15" t="s">
        <v>62</v>
      </c>
      <c r="AM3" s="15" t="s">
        <v>368</v>
      </c>
      <c r="AO3" s="15" t="s">
        <v>369</v>
      </c>
      <c r="AQ3" s="15" t="s">
        <v>47</v>
      </c>
    </row>
    <row r="4" spans="2:43" x14ac:dyDescent="0.2">
      <c r="B4" s="16" t="s">
        <v>142</v>
      </c>
      <c r="D4" s="16" t="s">
        <v>352</v>
      </c>
      <c r="E4" s="16" t="s">
        <v>370</v>
      </c>
      <c r="G4" s="16" t="s">
        <v>371</v>
      </c>
      <c r="I4" s="2" t="s">
        <v>372</v>
      </c>
      <c r="K4" s="16" t="s">
        <v>373</v>
      </c>
      <c r="L4" s="16" t="s">
        <v>374</v>
      </c>
      <c r="N4" s="16" t="s">
        <v>38</v>
      </c>
      <c r="P4" s="50" t="s">
        <v>41</v>
      </c>
      <c r="Q4" s="50" t="s">
        <v>57</v>
      </c>
      <c r="S4" s="16" t="s">
        <v>193</v>
      </c>
      <c r="T4" s="16" t="s">
        <v>49</v>
      </c>
      <c r="V4" s="49">
        <v>2019</v>
      </c>
      <c r="X4" s="48" t="s">
        <v>209</v>
      </c>
      <c r="Z4" s="16" t="s">
        <v>375</v>
      </c>
      <c r="AB4" s="16" t="s">
        <v>211</v>
      </c>
      <c r="AE4" s="16" t="s">
        <v>127</v>
      </c>
      <c r="AG4" s="16" t="s">
        <v>376</v>
      </c>
      <c r="AI4" s="16" t="s">
        <v>377</v>
      </c>
      <c r="AK4" s="16" t="s">
        <v>378</v>
      </c>
      <c r="AM4" s="16" t="s">
        <v>222</v>
      </c>
      <c r="AO4" s="16" t="s">
        <v>379</v>
      </c>
      <c r="AQ4" s="16" t="s">
        <v>49</v>
      </c>
    </row>
    <row r="5" spans="2:43" x14ac:dyDescent="0.2">
      <c r="B5" s="16" t="s">
        <v>356</v>
      </c>
      <c r="D5" s="16" t="s">
        <v>318</v>
      </c>
      <c r="E5" s="16" t="s">
        <v>380</v>
      </c>
      <c r="G5" s="16" t="s">
        <v>381</v>
      </c>
      <c r="I5" s="2" t="s">
        <v>382</v>
      </c>
      <c r="K5" s="16" t="s">
        <v>383</v>
      </c>
      <c r="L5" s="16" t="s">
        <v>384</v>
      </c>
      <c r="N5" s="16" t="s">
        <v>179</v>
      </c>
      <c r="P5" s="50" t="s">
        <v>337</v>
      </c>
      <c r="Q5" s="50" t="s">
        <v>57</v>
      </c>
      <c r="S5" s="16" t="s">
        <v>92</v>
      </c>
      <c r="T5" s="16" t="s">
        <v>49</v>
      </c>
      <c r="V5" s="49">
        <v>2020</v>
      </c>
      <c r="X5" s="48" t="s">
        <v>217</v>
      </c>
      <c r="Z5" s="16" t="s">
        <v>3</v>
      </c>
      <c r="AB5" s="16" t="s">
        <v>210</v>
      </c>
      <c r="AE5" s="16" t="s">
        <v>348</v>
      </c>
      <c r="AG5" s="16" t="s">
        <v>136</v>
      </c>
      <c r="AI5" s="16" t="s">
        <v>385</v>
      </c>
      <c r="AK5" s="16" t="s">
        <v>386</v>
      </c>
      <c r="AM5" s="16" t="s">
        <v>208</v>
      </c>
      <c r="AO5" s="16" t="s">
        <v>387</v>
      </c>
      <c r="AQ5" s="16" t="s">
        <v>153</v>
      </c>
    </row>
    <row r="6" spans="2:43" x14ac:dyDescent="0.2">
      <c r="B6" s="16" t="s">
        <v>322</v>
      </c>
      <c r="D6" s="16" t="s">
        <v>388</v>
      </c>
      <c r="E6" s="16" t="s">
        <v>380</v>
      </c>
      <c r="G6" s="16" t="s">
        <v>389</v>
      </c>
      <c r="K6" s="16" t="s">
        <v>390</v>
      </c>
      <c r="L6" s="16" t="s">
        <v>391</v>
      </c>
      <c r="P6" s="50" t="s">
        <v>392</v>
      </c>
      <c r="Q6" s="50" t="s">
        <v>57</v>
      </c>
      <c r="S6" s="16" t="s">
        <v>180</v>
      </c>
      <c r="T6" s="16" t="s">
        <v>49</v>
      </c>
      <c r="V6" s="49">
        <v>2021</v>
      </c>
      <c r="X6" s="48" t="s">
        <v>216</v>
      </c>
      <c r="AB6" s="16" t="s">
        <v>89</v>
      </c>
      <c r="AE6" s="16" t="s">
        <v>346</v>
      </c>
      <c r="AG6" s="16" t="s">
        <v>195</v>
      </c>
      <c r="AK6" s="16" t="s">
        <v>194</v>
      </c>
      <c r="AM6" s="16" t="s">
        <v>215</v>
      </c>
      <c r="AO6" s="16" t="s">
        <v>393</v>
      </c>
      <c r="AQ6" s="16" t="s">
        <v>154</v>
      </c>
    </row>
    <row r="7" spans="2:43" x14ac:dyDescent="0.2">
      <c r="B7" s="16" t="s">
        <v>394</v>
      </c>
      <c r="D7" s="16" t="s">
        <v>381</v>
      </c>
      <c r="G7" s="16" t="s">
        <v>395</v>
      </c>
      <c r="K7" s="16" t="s">
        <v>396</v>
      </c>
      <c r="L7" s="16" t="s">
        <v>384</v>
      </c>
      <c r="P7" s="50" t="s">
        <v>397</v>
      </c>
      <c r="Q7" s="50" t="s">
        <v>320</v>
      </c>
      <c r="S7" s="16" t="s">
        <v>196</v>
      </c>
      <c r="T7" s="16" t="s">
        <v>153</v>
      </c>
      <c r="V7" s="49">
        <v>2022</v>
      </c>
      <c r="X7" s="48" t="s">
        <v>398</v>
      </c>
      <c r="AE7" s="16" t="s">
        <v>399</v>
      </c>
      <c r="AG7" s="16"/>
      <c r="AK7" s="16" t="s">
        <v>400</v>
      </c>
      <c r="AM7" s="16" t="s">
        <v>229</v>
      </c>
      <c r="AO7" s="16" t="s">
        <v>401</v>
      </c>
      <c r="AQ7" s="16" t="s">
        <v>155</v>
      </c>
    </row>
    <row r="8" spans="2:43" x14ac:dyDescent="0.2">
      <c r="B8" s="16" t="s">
        <v>317</v>
      </c>
      <c r="D8" s="16" t="s">
        <v>402</v>
      </c>
      <c r="G8" s="16" t="s">
        <v>195</v>
      </c>
      <c r="K8" s="16" t="s">
        <v>403</v>
      </c>
      <c r="L8" s="16" t="s">
        <v>391</v>
      </c>
      <c r="P8" s="50" t="s">
        <v>404</v>
      </c>
      <c r="Q8" s="50" t="s">
        <v>251</v>
      </c>
      <c r="S8" s="16" t="s">
        <v>197</v>
      </c>
      <c r="T8" s="16" t="s">
        <v>153</v>
      </c>
      <c r="V8" s="49">
        <v>2023</v>
      </c>
      <c r="X8" s="48" t="s">
        <v>214</v>
      </c>
      <c r="AE8" s="16" t="s">
        <v>195</v>
      </c>
      <c r="AK8" s="16" t="s">
        <v>192</v>
      </c>
      <c r="AM8" s="16" t="s">
        <v>195</v>
      </c>
      <c r="AO8" s="16" t="s">
        <v>405</v>
      </c>
    </row>
    <row r="9" spans="2:43" ht="16" x14ac:dyDescent="0.2">
      <c r="B9" s="16" t="s">
        <v>321</v>
      </c>
      <c r="D9" s="16" t="s">
        <v>406</v>
      </c>
      <c r="K9" s="16" t="s">
        <v>407</v>
      </c>
      <c r="L9" s="16" t="s">
        <v>391</v>
      </c>
      <c r="S9" s="16" t="s">
        <v>183</v>
      </c>
      <c r="T9" s="16" t="s">
        <v>153</v>
      </c>
      <c r="V9" s="49">
        <v>2024</v>
      </c>
      <c r="X9" s="48" t="s">
        <v>195</v>
      </c>
      <c r="AK9" s="378" t="s">
        <v>408</v>
      </c>
      <c r="AO9" s="16" t="s">
        <v>409</v>
      </c>
    </row>
    <row r="10" spans="2:43" ht="16" x14ac:dyDescent="0.2">
      <c r="D10" s="16" t="s">
        <v>195</v>
      </c>
      <c r="K10" s="16" t="s">
        <v>410</v>
      </c>
      <c r="L10" s="16" t="s">
        <v>384</v>
      </c>
      <c r="S10" s="16" t="s">
        <v>198</v>
      </c>
      <c r="T10" s="16" t="s">
        <v>154</v>
      </c>
      <c r="V10" s="49">
        <v>2025</v>
      </c>
      <c r="X10"/>
      <c r="AK10" s="378" t="s">
        <v>411</v>
      </c>
      <c r="AO10" s="16" t="s">
        <v>412</v>
      </c>
    </row>
    <row r="11" spans="2:43" ht="16" x14ac:dyDescent="0.2">
      <c r="K11" s="16" t="s">
        <v>413</v>
      </c>
      <c r="L11" s="16" t="s">
        <v>374</v>
      </c>
      <c r="S11" s="16" t="s">
        <v>45</v>
      </c>
      <c r="T11" s="16" t="s">
        <v>154</v>
      </c>
      <c r="V11" s="49">
        <v>2026</v>
      </c>
      <c r="X11"/>
      <c r="AK11" s="378" t="s">
        <v>414</v>
      </c>
      <c r="AO11" s="16" t="s">
        <v>415</v>
      </c>
    </row>
    <row r="12" spans="2:43" ht="16" x14ac:dyDescent="0.2">
      <c r="K12" s="16" t="s">
        <v>416</v>
      </c>
      <c r="L12" s="16" t="s">
        <v>391</v>
      </c>
      <c r="S12" s="16" t="s">
        <v>184</v>
      </c>
      <c r="T12" s="16" t="s">
        <v>154</v>
      </c>
      <c r="V12" s="49">
        <v>2027</v>
      </c>
      <c r="X12"/>
      <c r="AK12" s="378" t="s">
        <v>195</v>
      </c>
      <c r="AO12" s="16" t="s">
        <v>417</v>
      </c>
    </row>
    <row r="13" spans="2:43" x14ac:dyDescent="0.2">
      <c r="K13" s="16" t="s">
        <v>12</v>
      </c>
      <c r="L13" s="16" t="s">
        <v>418</v>
      </c>
      <c r="S13" s="16" t="s">
        <v>199</v>
      </c>
      <c r="T13" s="16" t="s">
        <v>155</v>
      </c>
      <c r="V13" s="49">
        <v>2028</v>
      </c>
      <c r="X13"/>
      <c r="AO13" s="16" t="s">
        <v>419</v>
      </c>
    </row>
    <row r="14" spans="2:43" x14ac:dyDescent="0.2">
      <c r="K14" s="16" t="s">
        <v>420</v>
      </c>
      <c r="L14" s="16" t="s">
        <v>374</v>
      </c>
      <c r="P14" s="15" t="s">
        <v>421</v>
      </c>
      <c r="Q14" s="15" t="s">
        <v>55</v>
      </c>
      <c r="S14" s="16" t="s">
        <v>200</v>
      </c>
      <c r="T14" s="16" t="s">
        <v>155</v>
      </c>
      <c r="V14" s="49">
        <v>2029</v>
      </c>
      <c r="X14"/>
      <c r="AO14" s="16" t="s">
        <v>422</v>
      </c>
    </row>
    <row r="15" spans="2:43" x14ac:dyDescent="0.2">
      <c r="K15" s="16" t="s">
        <v>423</v>
      </c>
      <c r="L15" s="16" t="s">
        <v>384</v>
      </c>
      <c r="P15" s="50" t="s">
        <v>66</v>
      </c>
      <c r="Q15" s="50" t="s">
        <v>57</v>
      </c>
      <c r="S15" s="16" t="s">
        <v>185</v>
      </c>
      <c r="T15" s="16" t="s">
        <v>155</v>
      </c>
      <c r="V15" s="49">
        <v>2030</v>
      </c>
      <c r="X15"/>
      <c r="AO15" s="16" t="s">
        <v>424</v>
      </c>
    </row>
    <row r="16" spans="2:43" x14ac:dyDescent="0.2">
      <c r="K16" s="16" t="s">
        <v>425</v>
      </c>
      <c r="L16" s="16" t="s">
        <v>426</v>
      </c>
      <c r="P16" s="50" t="s">
        <v>427</v>
      </c>
      <c r="Q16" s="50" t="s">
        <v>57</v>
      </c>
      <c r="V16" s="19"/>
      <c r="X16"/>
      <c r="AO16" s="16" t="s">
        <v>428</v>
      </c>
    </row>
    <row r="17" spans="11:41" x14ac:dyDescent="0.2">
      <c r="K17" s="16" t="s">
        <v>429</v>
      </c>
      <c r="L17" s="16" t="s">
        <v>426</v>
      </c>
      <c r="P17" s="50"/>
      <c r="Q17" s="50"/>
      <c r="X17"/>
      <c r="AO17" s="16" t="s">
        <v>430</v>
      </c>
    </row>
    <row r="18" spans="11:41" x14ac:dyDescent="0.2">
      <c r="K18" s="16" t="s">
        <v>431</v>
      </c>
      <c r="L18" s="16" t="s">
        <v>391</v>
      </c>
      <c r="P18" s="168"/>
      <c r="Q18" s="168"/>
      <c r="X18"/>
      <c r="AO18" s="16" t="s">
        <v>432</v>
      </c>
    </row>
    <row r="19" spans="11:41" x14ac:dyDescent="0.2">
      <c r="K19" s="16" t="s">
        <v>433</v>
      </c>
      <c r="L19" s="16" t="s">
        <v>384</v>
      </c>
      <c r="X19"/>
      <c r="AO19" s="16" t="s">
        <v>434</v>
      </c>
    </row>
    <row r="20" spans="11:41" x14ac:dyDescent="0.2">
      <c r="K20" s="16" t="s">
        <v>435</v>
      </c>
      <c r="L20" s="16" t="s">
        <v>391</v>
      </c>
      <c r="X20"/>
      <c r="AO20" s="16" t="s">
        <v>436</v>
      </c>
    </row>
    <row r="21" spans="11:41" x14ac:dyDescent="0.2">
      <c r="K21" s="16" t="s">
        <v>437</v>
      </c>
      <c r="L21" s="16" t="s">
        <v>426</v>
      </c>
      <c r="X21"/>
      <c r="AO21" s="16" t="s">
        <v>438</v>
      </c>
    </row>
    <row r="22" spans="11:41" x14ac:dyDescent="0.2">
      <c r="K22" s="16" t="s">
        <v>439</v>
      </c>
      <c r="L22" s="16" t="s">
        <v>374</v>
      </c>
      <c r="X22"/>
      <c r="AO22" s="16" t="s">
        <v>440</v>
      </c>
    </row>
    <row r="23" spans="11:41" x14ac:dyDescent="0.2">
      <c r="K23" s="16" t="s">
        <v>441</v>
      </c>
      <c r="L23" s="16" t="s">
        <v>384</v>
      </c>
      <c r="X23"/>
      <c r="AO23" s="16" t="s">
        <v>442</v>
      </c>
    </row>
    <row r="24" spans="11:41" x14ac:dyDescent="0.2">
      <c r="K24" s="16" t="s">
        <v>151</v>
      </c>
      <c r="L24" s="16" t="s">
        <v>418</v>
      </c>
      <c r="X24"/>
      <c r="AO24" s="16" t="s">
        <v>443</v>
      </c>
    </row>
    <row r="25" spans="11:41" x14ac:dyDescent="0.2">
      <c r="K25" s="16" t="s">
        <v>444</v>
      </c>
      <c r="L25" s="16" t="s">
        <v>426</v>
      </c>
      <c r="X25"/>
      <c r="AO25" s="16" t="s">
        <v>445</v>
      </c>
    </row>
    <row r="26" spans="11:41" x14ac:dyDescent="0.2">
      <c r="K26" s="16" t="s">
        <v>446</v>
      </c>
      <c r="L26" s="16" t="s">
        <v>374</v>
      </c>
      <c r="X26"/>
      <c r="AO26" s="16" t="s">
        <v>447</v>
      </c>
    </row>
    <row r="27" spans="11:41" x14ac:dyDescent="0.2">
      <c r="K27" s="16" t="s">
        <v>448</v>
      </c>
      <c r="L27" s="16" t="s">
        <v>384</v>
      </c>
      <c r="X27"/>
      <c r="AO27" s="16" t="s">
        <v>449</v>
      </c>
    </row>
    <row r="28" spans="11:41" x14ac:dyDescent="0.2">
      <c r="K28" s="16" t="s">
        <v>450</v>
      </c>
      <c r="L28" s="16" t="s">
        <v>374</v>
      </c>
      <c r="X28"/>
      <c r="AO28" s="16" t="s">
        <v>451</v>
      </c>
    </row>
    <row r="29" spans="11:41" x14ac:dyDescent="0.2">
      <c r="K29" s="16" t="s">
        <v>452</v>
      </c>
      <c r="L29" s="16" t="s">
        <v>391</v>
      </c>
      <c r="X29"/>
      <c r="AO29" s="16" t="s">
        <v>453</v>
      </c>
    </row>
    <row r="30" spans="11:41" x14ac:dyDescent="0.2">
      <c r="X30"/>
      <c r="AO30" s="16" t="s">
        <v>454</v>
      </c>
    </row>
    <row r="31" spans="11:41" x14ac:dyDescent="0.2">
      <c r="X31"/>
      <c r="AO31" s="16" t="s">
        <v>455</v>
      </c>
    </row>
    <row r="32" spans="11:41" x14ac:dyDescent="0.2">
      <c r="X32"/>
      <c r="AO32" s="16" t="s">
        <v>456</v>
      </c>
    </row>
    <row r="33" spans="24:41" x14ac:dyDescent="0.2">
      <c r="X33"/>
      <c r="AO33" s="16" t="s">
        <v>457</v>
      </c>
    </row>
    <row r="34" spans="24:41" x14ac:dyDescent="0.2">
      <c r="X34"/>
      <c r="AO34" s="16" t="s">
        <v>458</v>
      </c>
    </row>
    <row r="35" spans="24:41" x14ac:dyDescent="0.2">
      <c r="X35"/>
      <c r="AO35" s="16" t="s">
        <v>459</v>
      </c>
    </row>
    <row r="36" spans="24:41" x14ac:dyDescent="0.2">
      <c r="X36"/>
      <c r="AO36" s="16" t="s">
        <v>460</v>
      </c>
    </row>
    <row r="37" spans="24:41" x14ac:dyDescent="0.2">
      <c r="X37"/>
      <c r="AO37" s="16" t="s">
        <v>461</v>
      </c>
    </row>
    <row r="38" spans="24:41" x14ac:dyDescent="0.2">
      <c r="X38"/>
      <c r="AO38" s="16" t="s">
        <v>462</v>
      </c>
    </row>
    <row r="39" spans="24:41" x14ac:dyDescent="0.2">
      <c r="X39"/>
      <c r="AO39" s="16" t="s">
        <v>463</v>
      </c>
    </row>
    <row r="40" spans="24:41" x14ac:dyDescent="0.2">
      <c r="X40"/>
      <c r="AO40" s="16" t="s">
        <v>464</v>
      </c>
    </row>
    <row r="41" spans="24:41" x14ac:dyDescent="0.2">
      <c r="X41"/>
      <c r="AO41" s="16" t="s">
        <v>465</v>
      </c>
    </row>
    <row r="42" spans="24:41" x14ac:dyDescent="0.2">
      <c r="X42"/>
      <c r="AO42" t="s">
        <v>466</v>
      </c>
    </row>
    <row r="43" spans="24:41" x14ac:dyDescent="0.2">
      <c r="X43"/>
      <c r="AO43" s="16" t="s">
        <v>467</v>
      </c>
    </row>
    <row r="44" spans="24:41" x14ac:dyDescent="0.2">
      <c r="X44"/>
      <c r="AO44" s="16" t="s">
        <v>468</v>
      </c>
    </row>
    <row r="45" spans="24:41" x14ac:dyDescent="0.2">
      <c r="X45"/>
      <c r="AO45" s="16" t="s">
        <v>469</v>
      </c>
    </row>
    <row r="46" spans="24:41" x14ac:dyDescent="0.2">
      <c r="X46"/>
      <c r="AO46" s="16" t="s">
        <v>470</v>
      </c>
    </row>
    <row r="47" spans="24:41" x14ac:dyDescent="0.2">
      <c r="X47"/>
      <c r="AO47" s="16" t="s">
        <v>471</v>
      </c>
    </row>
    <row r="48" spans="24:41" x14ac:dyDescent="0.2">
      <c r="X48"/>
      <c r="AO48" s="16" t="s">
        <v>472</v>
      </c>
    </row>
    <row r="49" spans="24:41" x14ac:dyDescent="0.2">
      <c r="X49"/>
      <c r="AO49" s="16" t="s">
        <v>473</v>
      </c>
    </row>
    <row r="50" spans="24:41" x14ac:dyDescent="0.2">
      <c r="X50"/>
      <c r="AO50" t="s">
        <v>474</v>
      </c>
    </row>
    <row r="51" spans="24:41" x14ac:dyDescent="0.2">
      <c r="X51"/>
      <c r="AO51" s="16" t="s">
        <v>475</v>
      </c>
    </row>
    <row r="52" spans="24:41" x14ac:dyDescent="0.2">
      <c r="X52"/>
      <c r="AO52" s="16" t="s">
        <v>476</v>
      </c>
    </row>
    <row r="53" spans="24:41" x14ac:dyDescent="0.2">
      <c r="X53"/>
      <c r="AO53" s="16" t="s">
        <v>477</v>
      </c>
    </row>
    <row r="54" spans="24:41" x14ac:dyDescent="0.2">
      <c r="X54"/>
      <c r="AO54" s="16" t="s">
        <v>478</v>
      </c>
    </row>
    <row r="55" spans="24:41" x14ac:dyDescent="0.2">
      <c r="X55"/>
      <c r="AO55" s="16" t="s">
        <v>479</v>
      </c>
    </row>
    <row r="56" spans="24:41" x14ac:dyDescent="0.2">
      <c r="X56"/>
      <c r="AO56" s="16" t="s">
        <v>480</v>
      </c>
    </row>
    <row r="57" spans="24:41" x14ac:dyDescent="0.2">
      <c r="X57"/>
      <c r="AO57" s="16" t="s">
        <v>481</v>
      </c>
    </row>
    <row r="58" spans="24:41" x14ac:dyDescent="0.2">
      <c r="AO58" s="16" t="s">
        <v>482</v>
      </c>
    </row>
    <row r="59" spans="24:41" x14ac:dyDescent="0.2">
      <c r="AO59" s="16" t="s">
        <v>483</v>
      </c>
    </row>
    <row r="60" spans="24:41" x14ac:dyDescent="0.2">
      <c r="AO60" s="16" t="s">
        <v>484</v>
      </c>
    </row>
    <row r="61" spans="24:41" x14ac:dyDescent="0.2">
      <c r="AO61" s="16" t="s">
        <v>485</v>
      </c>
    </row>
    <row r="62" spans="24:41" x14ac:dyDescent="0.2">
      <c r="AO62" s="16" t="s">
        <v>486</v>
      </c>
    </row>
    <row r="63" spans="24:41" x14ac:dyDescent="0.2">
      <c r="AO63" s="16" t="s">
        <v>487</v>
      </c>
    </row>
    <row r="64" spans="24:41" x14ac:dyDescent="0.2">
      <c r="AO64" s="16" t="s">
        <v>488</v>
      </c>
    </row>
    <row r="65" spans="41:41" x14ac:dyDescent="0.2">
      <c r="AO65" s="16" t="s">
        <v>489</v>
      </c>
    </row>
    <row r="66" spans="41:41" x14ac:dyDescent="0.2">
      <c r="AO66" s="16" t="s">
        <v>490</v>
      </c>
    </row>
    <row r="67" spans="41:41" x14ac:dyDescent="0.2">
      <c r="AO67" s="16" t="s">
        <v>491</v>
      </c>
    </row>
    <row r="68" spans="41:41" x14ac:dyDescent="0.2">
      <c r="AO68" s="16" t="s">
        <v>492</v>
      </c>
    </row>
    <row r="69" spans="41:41" x14ac:dyDescent="0.2">
      <c r="AO69" s="16" t="s">
        <v>493</v>
      </c>
    </row>
    <row r="70" spans="41:41" x14ac:dyDescent="0.2">
      <c r="AO70" s="16" t="s">
        <v>494</v>
      </c>
    </row>
    <row r="71" spans="41:41" x14ac:dyDescent="0.2">
      <c r="AO71" s="16" t="s">
        <v>495</v>
      </c>
    </row>
    <row r="72" spans="41:41" x14ac:dyDescent="0.2">
      <c r="AO72" s="16" t="s">
        <v>496</v>
      </c>
    </row>
    <row r="73" spans="41:41" x14ac:dyDescent="0.2">
      <c r="AO73" s="16" t="s">
        <v>497</v>
      </c>
    </row>
    <row r="74" spans="41:41" x14ac:dyDescent="0.2">
      <c r="AO74" s="16" t="s">
        <v>498</v>
      </c>
    </row>
    <row r="75" spans="41:41" x14ac:dyDescent="0.2">
      <c r="AO75" s="16" t="s">
        <v>499</v>
      </c>
    </row>
    <row r="76" spans="41:41" x14ac:dyDescent="0.2">
      <c r="AO76" s="16" t="s">
        <v>500</v>
      </c>
    </row>
    <row r="77" spans="41:41" x14ac:dyDescent="0.2">
      <c r="AO77" s="16" t="s">
        <v>501</v>
      </c>
    </row>
    <row r="78" spans="41:41" x14ac:dyDescent="0.2">
      <c r="AO78" s="16" t="s">
        <v>502</v>
      </c>
    </row>
    <row r="79" spans="41:41" x14ac:dyDescent="0.2">
      <c r="AO79" s="16" t="s">
        <v>503</v>
      </c>
    </row>
    <row r="80" spans="41:41" x14ac:dyDescent="0.2">
      <c r="AO80" s="16" t="s">
        <v>504</v>
      </c>
    </row>
    <row r="81" spans="41:41" x14ac:dyDescent="0.2">
      <c r="AO81" s="16" t="s">
        <v>505</v>
      </c>
    </row>
    <row r="82" spans="41:41" x14ac:dyDescent="0.2">
      <c r="AO82" s="16" t="s">
        <v>506</v>
      </c>
    </row>
    <row r="83" spans="41:41" x14ac:dyDescent="0.2">
      <c r="AO83" s="16" t="s">
        <v>507</v>
      </c>
    </row>
    <row r="84" spans="41:41" x14ac:dyDescent="0.2">
      <c r="AO84" s="16" t="s">
        <v>508</v>
      </c>
    </row>
    <row r="85" spans="41:41" x14ac:dyDescent="0.2">
      <c r="AO85" s="16" t="s">
        <v>509</v>
      </c>
    </row>
    <row r="86" spans="41:41" x14ac:dyDescent="0.2">
      <c r="AO86" s="16" t="s">
        <v>510</v>
      </c>
    </row>
    <row r="87" spans="41:41" x14ac:dyDescent="0.2">
      <c r="AO87" s="16" t="s">
        <v>511</v>
      </c>
    </row>
    <row r="88" spans="41:41" x14ac:dyDescent="0.2">
      <c r="AO88" s="16" t="s">
        <v>512</v>
      </c>
    </row>
    <row r="89" spans="41:41" x14ac:dyDescent="0.2">
      <c r="AO89" s="16" t="s">
        <v>513</v>
      </c>
    </row>
    <row r="90" spans="41:41" x14ac:dyDescent="0.2">
      <c r="AO90" s="16" t="s">
        <v>514</v>
      </c>
    </row>
    <row r="91" spans="41:41" x14ac:dyDescent="0.2">
      <c r="AO91" s="16" t="s">
        <v>115</v>
      </c>
    </row>
    <row r="92" spans="41:41" x14ac:dyDescent="0.2">
      <c r="AO92" s="16" t="s">
        <v>515</v>
      </c>
    </row>
    <row r="93" spans="41:41" x14ac:dyDescent="0.2">
      <c r="AO93" s="16" t="s">
        <v>516</v>
      </c>
    </row>
    <row r="94" spans="41:41" x14ac:dyDescent="0.2">
      <c r="AO94" s="16" t="s">
        <v>517</v>
      </c>
    </row>
    <row r="95" spans="41:41" x14ac:dyDescent="0.2">
      <c r="AO95" s="16" t="s">
        <v>518</v>
      </c>
    </row>
    <row r="96" spans="41:41" x14ac:dyDescent="0.2">
      <c r="AO96" s="16" t="s">
        <v>519</v>
      </c>
    </row>
    <row r="97" spans="41:41" x14ac:dyDescent="0.2">
      <c r="AO97" s="16" t="s">
        <v>520</v>
      </c>
    </row>
    <row r="98" spans="41:41" x14ac:dyDescent="0.2">
      <c r="AO98" s="16" t="s">
        <v>521</v>
      </c>
    </row>
    <row r="99" spans="41:41" x14ac:dyDescent="0.2">
      <c r="AO99" s="16" t="s">
        <v>522</v>
      </c>
    </row>
    <row r="100" spans="41:41" x14ac:dyDescent="0.2">
      <c r="AO100" s="16" t="s">
        <v>523</v>
      </c>
    </row>
    <row r="101" spans="41:41" x14ac:dyDescent="0.2">
      <c r="AO101" s="16" t="s">
        <v>524</v>
      </c>
    </row>
    <row r="102" spans="41:41" x14ac:dyDescent="0.2">
      <c r="AO102" s="16" t="s">
        <v>525</v>
      </c>
    </row>
    <row r="103" spans="41:41" x14ac:dyDescent="0.2">
      <c r="AO103" s="16" t="s">
        <v>526</v>
      </c>
    </row>
    <row r="104" spans="41:41" x14ac:dyDescent="0.2">
      <c r="AO104" s="16" t="s">
        <v>527</v>
      </c>
    </row>
    <row r="105" spans="41:41" x14ac:dyDescent="0.2">
      <c r="AO105" s="16" t="s">
        <v>528</v>
      </c>
    </row>
    <row r="106" spans="41:41" x14ac:dyDescent="0.2">
      <c r="AO106" s="16" t="s">
        <v>529</v>
      </c>
    </row>
    <row r="107" spans="41:41" x14ac:dyDescent="0.2">
      <c r="AO107" s="16" t="s">
        <v>530</v>
      </c>
    </row>
    <row r="108" spans="41:41" x14ac:dyDescent="0.2">
      <c r="AO108" s="16" t="s">
        <v>531</v>
      </c>
    </row>
    <row r="109" spans="41:41" x14ac:dyDescent="0.2">
      <c r="AO109" s="16" t="s">
        <v>532</v>
      </c>
    </row>
    <row r="110" spans="41:41" x14ac:dyDescent="0.2">
      <c r="AO110" s="16" t="s">
        <v>533</v>
      </c>
    </row>
    <row r="111" spans="41:41" x14ac:dyDescent="0.2">
      <c r="AO111" s="16" t="s">
        <v>534</v>
      </c>
    </row>
    <row r="112" spans="41:41" x14ac:dyDescent="0.2">
      <c r="AO112" s="16" t="s">
        <v>535</v>
      </c>
    </row>
    <row r="113" spans="41:41" x14ac:dyDescent="0.2">
      <c r="AO113" s="16" t="s">
        <v>536</v>
      </c>
    </row>
    <row r="114" spans="41:41" x14ac:dyDescent="0.2">
      <c r="AO114" s="16" t="s">
        <v>537</v>
      </c>
    </row>
    <row r="115" spans="41:41" x14ac:dyDescent="0.2">
      <c r="AO115" s="16" t="s">
        <v>538</v>
      </c>
    </row>
    <row r="116" spans="41:41" x14ac:dyDescent="0.2">
      <c r="AO116" s="16" t="s">
        <v>539</v>
      </c>
    </row>
    <row r="117" spans="41:41" x14ac:dyDescent="0.2">
      <c r="AO117" s="16" t="s">
        <v>540</v>
      </c>
    </row>
    <row r="118" spans="41:41" x14ac:dyDescent="0.2">
      <c r="AO118" s="16" t="s">
        <v>541</v>
      </c>
    </row>
    <row r="119" spans="41:41" x14ac:dyDescent="0.2">
      <c r="AO119" s="16" t="s">
        <v>542</v>
      </c>
    </row>
    <row r="120" spans="41:41" x14ac:dyDescent="0.2">
      <c r="AO120" s="16" t="s">
        <v>543</v>
      </c>
    </row>
    <row r="121" spans="41:41" x14ac:dyDescent="0.2">
      <c r="AO121" s="16" t="s">
        <v>544</v>
      </c>
    </row>
    <row r="122" spans="41:41" x14ac:dyDescent="0.2">
      <c r="AO122" s="16" t="s">
        <v>545</v>
      </c>
    </row>
    <row r="123" spans="41:41" x14ac:dyDescent="0.2">
      <c r="AO123" s="16" t="s">
        <v>546</v>
      </c>
    </row>
    <row r="124" spans="41:41" x14ac:dyDescent="0.2">
      <c r="AO124" s="16" t="s">
        <v>547</v>
      </c>
    </row>
    <row r="125" spans="41:41" x14ac:dyDescent="0.2">
      <c r="AO125" s="16" t="s">
        <v>548</v>
      </c>
    </row>
    <row r="126" spans="41:41" x14ac:dyDescent="0.2">
      <c r="AO126" s="16" t="s">
        <v>549</v>
      </c>
    </row>
    <row r="127" spans="41:41" x14ac:dyDescent="0.2">
      <c r="AO127" s="16" t="s">
        <v>550</v>
      </c>
    </row>
    <row r="128" spans="41:41" x14ac:dyDescent="0.2">
      <c r="AO128" s="16" t="s">
        <v>551</v>
      </c>
    </row>
    <row r="129" spans="41:41" x14ac:dyDescent="0.2">
      <c r="AO129" s="16" t="s">
        <v>552</v>
      </c>
    </row>
    <row r="130" spans="41:41" x14ac:dyDescent="0.2">
      <c r="AO130" s="16" t="s">
        <v>553</v>
      </c>
    </row>
    <row r="131" spans="41:41" x14ac:dyDescent="0.2">
      <c r="AO131" s="16" t="s">
        <v>554</v>
      </c>
    </row>
    <row r="132" spans="41:41" x14ac:dyDescent="0.2">
      <c r="AO132" s="16" t="s">
        <v>555</v>
      </c>
    </row>
    <row r="133" spans="41:41" x14ac:dyDescent="0.2">
      <c r="AO133" s="16" t="s">
        <v>556</v>
      </c>
    </row>
    <row r="134" spans="41:41" x14ac:dyDescent="0.2">
      <c r="AO134" s="16" t="s">
        <v>557</v>
      </c>
    </row>
    <row r="135" spans="41:41" x14ac:dyDescent="0.2">
      <c r="AO135" s="16" t="s">
        <v>558</v>
      </c>
    </row>
    <row r="136" spans="41:41" x14ac:dyDescent="0.2">
      <c r="AO136" s="16" t="s">
        <v>559</v>
      </c>
    </row>
    <row r="137" spans="41:41" x14ac:dyDescent="0.2">
      <c r="AO137" s="16" t="s">
        <v>560</v>
      </c>
    </row>
    <row r="138" spans="41:41" x14ac:dyDescent="0.2">
      <c r="AO138" s="16" t="s">
        <v>561</v>
      </c>
    </row>
    <row r="139" spans="41:41" x14ac:dyDescent="0.2">
      <c r="AO139" s="16" t="s">
        <v>562</v>
      </c>
    </row>
    <row r="140" spans="41:41" x14ac:dyDescent="0.2">
      <c r="AO140" s="16" t="s">
        <v>563</v>
      </c>
    </row>
    <row r="141" spans="41:41" x14ac:dyDescent="0.2">
      <c r="AO141" s="16" t="s">
        <v>564</v>
      </c>
    </row>
    <row r="142" spans="41:41" x14ac:dyDescent="0.2">
      <c r="AO142" s="16" t="s">
        <v>565</v>
      </c>
    </row>
    <row r="143" spans="41:41" x14ac:dyDescent="0.2">
      <c r="AO143" s="16" t="s">
        <v>566</v>
      </c>
    </row>
    <row r="144" spans="41:41" x14ac:dyDescent="0.2">
      <c r="AO144" s="16" t="s">
        <v>567</v>
      </c>
    </row>
    <row r="145" spans="41:41" x14ac:dyDescent="0.2">
      <c r="AO145" s="16" t="s">
        <v>568</v>
      </c>
    </row>
    <row r="146" spans="41:41" x14ac:dyDescent="0.2">
      <c r="AO146" s="16" t="s">
        <v>569</v>
      </c>
    </row>
    <row r="147" spans="41:41" x14ac:dyDescent="0.2">
      <c r="AO147" s="16" t="s">
        <v>570</v>
      </c>
    </row>
    <row r="148" spans="41:41" x14ac:dyDescent="0.2">
      <c r="AO148" s="16" t="s">
        <v>571</v>
      </c>
    </row>
    <row r="149" spans="41:41" x14ac:dyDescent="0.2">
      <c r="AO149" s="16" t="s">
        <v>572</v>
      </c>
    </row>
    <row r="150" spans="41:41" x14ac:dyDescent="0.2">
      <c r="AO150" s="16" t="s">
        <v>573</v>
      </c>
    </row>
    <row r="151" spans="41:41" x14ac:dyDescent="0.2">
      <c r="AO151" s="16" t="s">
        <v>574</v>
      </c>
    </row>
    <row r="152" spans="41:41" x14ac:dyDescent="0.2">
      <c r="AO152" s="16" t="s">
        <v>575</v>
      </c>
    </row>
    <row r="153" spans="41:41" x14ac:dyDescent="0.2">
      <c r="AO153" s="16" t="s">
        <v>576</v>
      </c>
    </row>
    <row r="154" spans="41:41" x14ac:dyDescent="0.2">
      <c r="AO154" s="16" t="s">
        <v>577</v>
      </c>
    </row>
    <row r="155" spans="41:41" x14ac:dyDescent="0.2">
      <c r="AO155" s="16" t="s">
        <v>578</v>
      </c>
    </row>
    <row r="156" spans="41:41" x14ac:dyDescent="0.2">
      <c r="AO156" s="16" t="s">
        <v>579</v>
      </c>
    </row>
    <row r="157" spans="41:41" x14ac:dyDescent="0.2">
      <c r="AO157" s="16" t="s">
        <v>195</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580</v>
      </c>
      <c r="B1" s="1" t="s">
        <v>220</v>
      </c>
      <c r="C1" s="1" t="s">
        <v>581</v>
      </c>
      <c r="D1" s="1" t="s">
        <v>55</v>
      </c>
      <c r="E1" s="1" t="s">
        <v>582</v>
      </c>
      <c r="F1" s="1" t="s">
        <v>583</v>
      </c>
    </row>
    <row r="2" spans="1:12" x14ac:dyDescent="0.2">
      <c r="A2" t="s">
        <v>41</v>
      </c>
      <c r="B2" t="s">
        <v>584</v>
      </c>
      <c r="C2" t="s">
        <v>585</v>
      </c>
      <c r="D2" t="s">
        <v>586</v>
      </c>
      <c r="E2">
        <v>2.68</v>
      </c>
      <c r="F2" t="s">
        <v>587</v>
      </c>
    </row>
    <row r="3" spans="1:12" x14ac:dyDescent="0.2">
      <c r="A3" t="s">
        <v>392</v>
      </c>
      <c r="B3" t="s">
        <v>584</v>
      </c>
      <c r="C3" t="s">
        <v>588</v>
      </c>
      <c r="D3" t="s">
        <v>586</v>
      </c>
      <c r="E3">
        <v>2.3199999999999998</v>
      </c>
      <c r="F3" t="s">
        <v>587</v>
      </c>
    </row>
    <row r="4" spans="1:12" x14ac:dyDescent="0.2">
      <c r="A4" t="s">
        <v>397</v>
      </c>
      <c r="B4" t="s">
        <v>584</v>
      </c>
      <c r="C4" t="s">
        <v>589</v>
      </c>
      <c r="D4" t="s">
        <v>590</v>
      </c>
      <c r="E4">
        <v>1.51</v>
      </c>
      <c r="F4" t="s">
        <v>587</v>
      </c>
    </row>
    <row r="5" spans="1:12" x14ac:dyDescent="0.2">
      <c r="A5" t="s">
        <v>404</v>
      </c>
      <c r="B5" t="s">
        <v>584</v>
      </c>
      <c r="C5" t="s">
        <v>591</v>
      </c>
      <c r="D5" t="s">
        <v>592</v>
      </c>
      <c r="E5">
        <v>1.9</v>
      </c>
      <c r="F5" t="s">
        <v>587</v>
      </c>
    </row>
    <row r="6" spans="1:12" x14ac:dyDescent="0.2">
      <c r="A6" t="s">
        <v>66</v>
      </c>
      <c r="B6" t="s">
        <v>593</v>
      </c>
      <c r="C6" t="s">
        <v>585</v>
      </c>
      <c r="D6" t="s">
        <v>586</v>
      </c>
      <c r="E6">
        <v>2.68</v>
      </c>
      <c r="F6" t="s">
        <v>587</v>
      </c>
      <c r="L6" s="50"/>
    </row>
    <row r="7" spans="1:12" x14ac:dyDescent="0.2">
      <c r="A7" t="s">
        <v>427</v>
      </c>
      <c r="B7" t="s">
        <v>593</v>
      </c>
      <c r="C7" t="s">
        <v>588</v>
      </c>
      <c r="D7" t="s">
        <v>586</v>
      </c>
      <c r="E7">
        <v>2.3199999999999998</v>
      </c>
      <c r="F7" t="s">
        <v>587</v>
      </c>
      <c r="L7" s="50"/>
    </row>
    <row r="8" spans="1:12" x14ac:dyDescent="0.2">
      <c r="A8" t="s">
        <v>159</v>
      </c>
      <c r="B8" t="s">
        <v>159</v>
      </c>
      <c r="C8" t="s">
        <v>594</v>
      </c>
      <c r="D8" t="s">
        <v>595</v>
      </c>
      <c r="E8">
        <v>0.56000000000000005</v>
      </c>
      <c r="F8" t="s">
        <v>596</v>
      </c>
      <c r="L8" s="50"/>
    </row>
    <row r="9" spans="1:12" x14ac:dyDescent="0.2">
      <c r="B9" t="s">
        <v>597</v>
      </c>
      <c r="C9" t="s">
        <v>598</v>
      </c>
      <c r="D9" t="s">
        <v>590</v>
      </c>
      <c r="E9">
        <v>1430</v>
      </c>
      <c r="F9" t="s">
        <v>599</v>
      </c>
      <c r="L9" s="50"/>
    </row>
    <row r="10" spans="1:12" x14ac:dyDescent="0.2">
      <c r="B10" t="s">
        <v>597</v>
      </c>
      <c r="C10" t="s">
        <v>600</v>
      </c>
      <c r="D10" t="s">
        <v>590</v>
      </c>
      <c r="E10">
        <v>2088</v>
      </c>
      <c r="F10" t="s">
        <v>599</v>
      </c>
      <c r="L10" s="50"/>
    </row>
    <row r="11" spans="1:12" x14ac:dyDescent="0.2">
      <c r="A11" s="50" t="s">
        <v>337</v>
      </c>
      <c r="B11" t="s">
        <v>195</v>
      </c>
      <c r="C11" t="s">
        <v>585</v>
      </c>
      <c r="D11" t="s">
        <v>586</v>
      </c>
      <c r="E11">
        <v>2.68</v>
      </c>
      <c r="F11" t="s">
        <v>587</v>
      </c>
      <c r="L11" s="50"/>
    </row>
    <row r="12" spans="1:12" x14ac:dyDescent="0.2">
      <c r="A12" t="s">
        <v>601</v>
      </c>
      <c r="B12" t="s">
        <v>593</v>
      </c>
      <c r="L12" s="50"/>
    </row>
    <row r="13" spans="1:12" x14ac:dyDescent="0.2">
      <c r="L13" s="50"/>
    </row>
    <row r="15" spans="1:12" ht="16" thickBot="1" x14ac:dyDescent="0.25">
      <c r="A15" s="228" t="s">
        <v>602</v>
      </c>
      <c r="B15" s="229"/>
    </row>
    <row r="16" spans="1:12" ht="16" thickBot="1" x14ac:dyDescent="0.25">
      <c r="A16" s="230" t="s">
        <v>603</v>
      </c>
      <c r="B16" s="231" t="s">
        <v>604</v>
      </c>
    </row>
    <row r="17" spans="1:2" ht="16" thickBot="1" x14ac:dyDescent="0.25">
      <c r="A17" s="232" t="s">
        <v>605</v>
      </c>
      <c r="B17" s="233">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20"/>
  <sheetViews>
    <sheetView showGridLines="0" zoomScale="88" workbookViewId="0">
      <selection activeCell="B837" sqref="B837"/>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3" t="s">
        <v>606</v>
      </c>
      <c r="B1" s="273" t="s">
        <v>607</v>
      </c>
      <c r="C1" s="273" t="s">
        <v>608</v>
      </c>
      <c r="D1" s="273" t="s">
        <v>609</v>
      </c>
      <c r="E1" s="273" t="s">
        <v>610</v>
      </c>
    </row>
    <row r="2" spans="1:5" x14ac:dyDescent="0.2">
      <c r="A2" s="272">
        <v>45870.383900462963</v>
      </c>
      <c r="B2" t="s">
        <v>611</v>
      </c>
      <c r="C2" t="s">
        <v>612</v>
      </c>
      <c r="D2" t="s">
        <v>613</v>
      </c>
    </row>
    <row r="3" spans="1:5" x14ac:dyDescent="0.2">
      <c r="A3" s="272">
        <v>45870.383958333332</v>
      </c>
      <c r="B3" t="s">
        <v>611</v>
      </c>
      <c r="C3" t="s">
        <v>612</v>
      </c>
      <c r="D3" t="s">
        <v>613</v>
      </c>
    </row>
    <row r="4" spans="1:5" x14ac:dyDescent="0.2">
      <c r="A4" s="272">
        <v>45870.38422453704</v>
      </c>
      <c r="B4" t="s">
        <v>611</v>
      </c>
      <c r="C4" t="s">
        <v>612</v>
      </c>
      <c r="D4" t="s">
        <v>614</v>
      </c>
    </row>
    <row r="5" spans="1:5" x14ac:dyDescent="0.2">
      <c r="A5" s="272">
        <v>45870.384328703702</v>
      </c>
      <c r="B5" t="s">
        <v>611</v>
      </c>
      <c r="C5" t="s">
        <v>612</v>
      </c>
      <c r="D5" t="s">
        <v>615</v>
      </c>
      <c r="E5" t="s">
        <v>333</v>
      </c>
    </row>
    <row r="6" spans="1:5" x14ac:dyDescent="0.2">
      <c r="A6" s="272">
        <v>45870.384328703702</v>
      </c>
      <c r="B6" t="s">
        <v>611</v>
      </c>
      <c r="C6" t="s">
        <v>612</v>
      </c>
      <c r="D6" t="s">
        <v>616</v>
      </c>
      <c r="E6" t="s">
        <v>43</v>
      </c>
    </row>
    <row r="7" spans="1:5" x14ac:dyDescent="0.2">
      <c r="A7" s="272">
        <v>45870.385231481479</v>
      </c>
      <c r="B7" t="s">
        <v>611</v>
      </c>
      <c r="C7" t="s">
        <v>612</v>
      </c>
      <c r="D7" t="s">
        <v>617</v>
      </c>
      <c r="E7" t="s">
        <v>344</v>
      </c>
    </row>
    <row r="8" spans="1:5" x14ac:dyDescent="0.2">
      <c r="A8" s="272">
        <v>45870.386203703703</v>
      </c>
      <c r="B8" t="s">
        <v>611</v>
      </c>
      <c r="C8" t="s">
        <v>612</v>
      </c>
      <c r="D8" t="s">
        <v>618</v>
      </c>
      <c r="E8" t="s">
        <v>161</v>
      </c>
    </row>
    <row r="9" spans="1:5" x14ac:dyDescent="0.2">
      <c r="A9" s="272">
        <v>45870.386597222219</v>
      </c>
      <c r="B9" t="s">
        <v>611</v>
      </c>
      <c r="C9" t="s">
        <v>612</v>
      </c>
      <c r="D9" t="s">
        <v>619</v>
      </c>
      <c r="E9" t="s">
        <v>43</v>
      </c>
    </row>
    <row r="10" spans="1:5" x14ac:dyDescent="0.2">
      <c r="A10" s="272">
        <v>45870.387233796297</v>
      </c>
      <c r="B10" t="s">
        <v>611</v>
      </c>
      <c r="C10" t="s">
        <v>612</v>
      </c>
      <c r="D10" t="s">
        <v>620</v>
      </c>
      <c r="E10" t="s">
        <v>161</v>
      </c>
    </row>
    <row r="11" spans="1:5" x14ac:dyDescent="0.2">
      <c r="A11" s="272">
        <v>45870.387638888889</v>
      </c>
      <c r="B11" t="s">
        <v>611</v>
      </c>
      <c r="C11" t="s">
        <v>612</v>
      </c>
      <c r="D11" t="s">
        <v>621</v>
      </c>
      <c r="E11" t="s">
        <v>161</v>
      </c>
    </row>
    <row r="12" spans="1:5" x14ac:dyDescent="0.2">
      <c r="A12" s="272">
        <v>45870.387673611112</v>
      </c>
      <c r="B12" t="s">
        <v>611</v>
      </c>
      <c r="C12" t="s">
        <v>612</v>
      </c>
      <c r="D12" t="s">
        <v>622</v>
      </c>
      <c r="E12" t="s">
        <v>162</v>
      </c>
    </row>
    <row r="13" spans="1:5" x14ac:dyDescent="0.2">
      <c r="A13" s="272">
        <v>45870.388043981482</v>
      </c>
      <c r="B13" t="s">
        <v>611</v>
      </c>
      <c r="C13" t="s">
        <v>612</v>
      </c>
      <c r="D13" t="s">
        <v>623</v>
      </c>
      <c r="E13" t="s">
        <v>43</v>
      </c>
    </row>
    <row r="14" spans="1:5" x14ac:dyDescent="0.2">
      <c r="A14" s="272">
        <v>45870.388379629629</v>
      </c>
      <c r="B14" t="s">
        <v>611</v>
      </c>
      <c r="C14" t="s">
        <v>612</v>
      </c>
      <c r="D14" t="s">
        <v>624</v>
      </c>
    </row>
    <row r="15" spans="1:5" x14ac:dyDescent="0.2">
      <c r="A15" s="272">
        <v>45870.38858796296</v>
      </c>
      <c r="B15" t="s">
        <v>611</v>
      </c>
      <c r="C15" t="s">
        <v>612</v>
      </c>
      <c r="D15" t="s">
        <v>625</v>
      </c>
      <c r="E15" t="s">
        <v>43</v>
      </c>
    </row>
    <row r="16" spans="1:5" x14ac:dyDescent="0.2">
      <c r="A16" s="272">
        <v>45870.392395833333</v>
      </c>
      <c r="B16" t="s">
        <v>611</v>
      </c>
      <c r="C16" t="s">
        <v>626</v>
      </c>
      <c r="D16" t="s">
        <v>627</v>
      </c>
    </row>
    <row r="17" spans="1:5" x14ac:dyDescent="0.2">
      <c r="A17" s="272">
        <v>45870.392430555556</v>
      </c>
      <c r="B17" t="s">
        <v>611</v>
      </c>
      <c r="C17" t="s">
        <v>626</v>
      </c>
      <c r="D17" t="s">
        <v>627</v>
      </c>
    </row>
    <row r="18" spans="1:5" x14ac:dyDescent="0.2">
      <c r="A18" s="272">
        <v>45870.392500000002</v>
      </c>
      <c r="B18" t="s">
        <v>611</v>
      </c>
      <c r="C18" t="s">
        <v>626</v>
      </c>
      <c r="D18" t="s">
        <v>628</v>
      </c>
    </row>
    <row r="19" spans="1:5" x14ac:dyDescent="0.2">
      <c r="A19" s="272">
        <v>45870.392534722225</v>
      </c>
      <c r="B19" t="s">
        <v>611</v>
      </c>
      <c r="C19" t="s">
        <v>626</v>
      </c>
      <c r="D19" t="s">
        <v>627</v>
      </c>
    </row>
    <row r="20" spans="1:5" x14ac:dyDescent="0.2">
      <c r="A20" s="272">
        <v>45870.392604166664</v>
      </c>
      <c r="B20" t="s">
        <v>611</v>
      </c>
      <c r="C20" t="s">
        <v>626</v>
      </c>
      <c r="D20" t="s">
        <v>629</v>
      </c>
    </row>
    <row r="21" spans="1:5" x14ac:dyDescent="0.2">
      <c r="A21" s="272">
        <v>45870.392685185187</v>
      </c>
      <c r="B21" t="s">
        <v>611</v>
      </c>
      <c r="C21" t="s">
        <v>626</v>
      </c>
      <c r="D21" t="s">
        <v>630</v>
      </c>
    </row>
    <row r="22" spans="1:5" x14ac:dyDescent="0.2">
      <c r="A22" s="272">
        <v>45870.39298611111</v>
      </c>
      <c r="B22" t="s">
        <v>611</v>
      </c>
      <c r="C22" t="s">
        <v>626</v>
      </c>
      <c r="D22" t="s">
        <v>631</v>
      </c>
      <c r="E22" t="s">
        <v>8</v>
      </c>
    </row>
    <row r="23" spans="1:5" x14ac:dyDescent="0.2">
      <c r="A23" s="272">
        <v>45870.393136574072</v>
      </c>
      <c r="B23" t="s">
        <v>611</v>
      </c>
      <c r="C23" t="s">
        <v>626</v>
      </c>
      <c r="D23" t="s">
        <v>632</v>
      </c>
    </row>
    <row r="24" spans="1:5" x14ac:dyDescent="0.2">
      <c r="A24" s="272">
        <v>45870.393784722219</v>
      </c>
      <c r="B24" t="s">
        <v>611</v>
      </c>
      <c r="C24" t="s">
        <v>626</v>
      </c>
      <c r="D24" t="s">
        <v>633</v>
      </c>
    </row>
    <row r="25" spans="1:5" x14ac:dyDescent="0.2">
      <c r="A25" s="272">
        <v>45870.393865740742</v>
      </c>
      <c r="B25" t="s">
        <v>611</v>
      </c>
      <c r="C25" t="s">
        <v>626</v>
      </c>
      <c r="D25" t="s">
        <v>634</v>
      </c>
      <c r="E25">
        <v>7</v>
      </c>
    </row>
    <row r="26" spans="1:5" x14ac:dyDescent="0.2">
      <c r="A26" s="272">
        <v>45870.394247685188</v>
      </c>
      <c r="B26" t="s">
        <v>611</v>
      </c>
      <c r="C26" t="s">
        <v>626</v>
      </c>
      <c r="D26" t="s">
        <v>635</v>
      </c>
      <c r="E26" t="s">
        <v>636</v>
      </c>
    </row>
    <row r="27" spans="1:5" x14ac:dyDescent="0.2">
      <c r="A27" s="272">
        <v>45870.39435185185</v>
      </c>
      <c r="B27" t="s">
        <v>611</v>
      </c>
      <c r="C27" t="s">
        <v>626</v>
      </c>
      <c r="D27" t="s">
        <v>637</v>
      </c>
      <c r="E27" t="s">
        <v>638</v>
      </c>
    </row>
    <row r="28" spans="1:5" x14ac:dyDescent="0.2">
      <c r="A28" s="272">
        <v>45870.394814814812</v>
      </c>
      <c r="B28" t="s">
        <v>611</v>
      </c>
      <c r="C28" t="s">
        <v>626</v>
      </c>
      <c r="D28" t="s">
        <v>639</v>
      </c>
    </row>
    <row r="29" spans="1:5" x14ac:dyDescent="0.2">
      <c r="A29" s="272">
        <v>45870.394988425927</v>
      </c>
      <c r="B29" t="s">
        <v>611</v>
      </c>
      <c r="C29" t="s">
        <v>626</v>
      </c>
      <c r="D29" t="s">
        <v>640</v>
      </c>
      <c r="E29" t="s">
        <v>36</v>
      </c>
    </row>
    <row r="30" spans="1:5" x14ac:dyDescent="0.2">
      <c r="A30" s="272">
        <v>45870.39508101852</v>
      </c>
      <c r="B30" t="s">
        <v>611</v>
      </c>
      <c r="C30" t="s">
        <v>626</v>
      </c>
      <c r="D30" t="s">
        <v>641</v>
      </c>
      <c r="E30">
        <v>4</v>
      </c>
    </row>
    <row r="31" spans="1:5" ht="64" x14ac:dyDescent="0.2">
      <c r="A31" s="272">
        <v>45870.395613425928</v>
      </c>
      <c r="B31" t="s">
        <v>611</v>
      </c>
      <c r="C31" t="s">
        <v>626</v>
      </c>
      <c r="D31" t="s">
        <v>642</v>
      </c>
      <c r="E31" s="6" t="s">
        <v>643</v>
      </c>
    </row>
    <row r="32" spans="1:5" ht="64" x14ac:dyDescent="0.2">
      <c r="A32" s="272">
        <v>45870.39565972222</v>
      </c>
      <c r="B32" t="s">
        <v>611</v>
      </c>
      <c r="C32" t="s">
        <v>626</v>
      </c>
      <c r="D32" t="s">
        <v>642</v>
      </c>
      <c r="E32" s="6" t="s">
        <v>643</v>
      </c>
    </row>
    <row r="33" spans="1:5" ht="64" x14ac:dyDescent="0.2">
      <c r="A33" s="272">
        <v>45870.395729166667</v>
      </c>
      <c r="B33" t="s">
        <v>611</v>
      </c>
      <c r="C33" t="s">
        <v>626</v>
      </c>
      <c r="D33" t="s">
        <v>642</v>
      </c>
      <c r="E33" s="6" t="s">
        <v>643</v>
      </c>
    </row>
    <row r="34" spans="1:5" x14ac:dyDescent="0.2">
      <c r="A34" s="272">
        <v>45870.395810185182</v>
      </c>
      <c r="B34" t="s">
        <v>611</v>
      </c>
      <c r="C34" t="s">
        <v>626</v>
      </c>
      <c r="D34" t="s">
        <v>644</v>
      </c>
      <c r="E34" t="s">
        <v>11</v>
      </c>
    </row>
    <row r="35" spans="1:5" x14ac:dyDescent="0.2">
      <c r="A35" s="272">
        <v>45870.395844907405</v>
      </c>
      <c r="B35" t="s">
        <v>611</v>
      </c>
      <c r="C35" t="s">
        <v>626</v>
      </c>
      <c r="D35" t="s">
        <v>645</v>
      </c>
      <c r="E35" t="s">
        <v>41</v>
      </c>
    </row>
    <row r="36" spans="1:5" x14ac:dyDescent="0.2">
      <c r="A36" s="272">
        <v>45870.395914351851</v>
      </c>
      <c r="B36" t="s">
        <v>611</v>
      </c>
      <c r="C36" t="s">
        <v>626</v>
      </c>
      <c r="D36" t="s">
        <v>645</v>
      </c>
      <c r="E36" t="s">
        <v>646</v>
      </c>
    </row>
    <row r="37" spans="1:5" x14ac:dyDescent="0.2">
      <c r="A37" s="272">
        <v>45870.39638888889</v>
      </c>
      <c r="B37" t="s">
        <v>611</v>
      </c>
      <c r="C37" t="s">
        <v>8</v>
      </c>
      <c r="D37" t="s">
        <v>647</v>
      </c>
      <c r="E37" t="s">
        <v>39</v>
      </c>
    </row>
    <row r="38" spans="1:5" x14ac:dyDescent="0.2">
      <c r="A38" s="272">
        <v>45870.429965277777</v>
      </c>
      <c r="B38" t="s">
        <v>611</v>
      </c>
      <c r="C38" t="s">
        <v>648</v>
      </c>
      <c r="D38" t="s">
        <v>649</v>
      </c>
      <c r="E38" t="s">
        <v>214</v>
      </c>
    </row>
    <row r="39" spans="1:5" x14ac:dyDescent="0.2">
      <c r="A39" s="272">
        <v>45870.429988425924</v>
      </c>
      <c r="B39" t="s">
        <v>611</v>
      </c>
      <c r="C39" t="s">
        <v>648</v>
      </c>
      <c r="D39" t="s">
        <v>650</v>
      </c>
    </row>
    <row r="40" spans="1:5" x14ac:dyDescent="0.2">
      <c r="A40" s="272">
        <v>45870.430138888885</v>
      </c>
      <c r="B40" t="s">
        <v>611</v>
      </c>
      <c r="C40" t="s">
        <v>648</v>
      </c>
      <c r="D40" t="s">
        <v>650</v>
      </c>
    </row>
    <row r="41" spans="1:5" x14ac:dyDescent="0.2">
      <c r="A41" s="272">
        <v>45870.430208333331</v>
      </c>
      <c r="B41" t="s">
        <v>611</v>
      </c>
      <c r="C41" t="s">
        <v>648</v>
      </c>
      <c r="D41" t="s">
        <v>650</v>
      </c>
    </row>
    <row r="42" spans="1:5" x14ac:dyDescent="0.2">
      <c r="A42" s="272">
        <v>45870.431111111109</v>
      </c>
      <c r="B42" t="s">
        <v>611</v>
      </c>
      <c r="C42" t="s">
        <v>648</v>
      </c>
      <c r="D42" t="s">
        <v>651</v>
      </c>
    </row>
    <row r="43" spans="1:5" ht="48" x14ac:dyDescent="0.2">
      <c r="A43" s="272">
        <v>45870.431666666664</v>
      </c>
      <c r="B43" t="s">
        <v>611</v>
      </c>
      <c r="C43" t="s">
        <v>626</v>
      </c>
      <c r="D43" t="s">
        <v>642</v>
      </c>
      <c r="E43" s="6" t="s">
        <v>652</v>
      </c>
    </row>
    <row r="44" spans="1:5" x14ac:dyDescent="0.2">
      <c r="A44" s="272">
        <v>45870.432337962964</v>
      </c>
      <c r="B44" t="s">
        <v>611</v>
      </c>
      <c r="C44" t="s">
        <v>8</v>
      </c>
      <c r="D44" t="s">
        <v>653</v>
      </c>
      <c r="E44" t="s">
        <v>38</v>
      </c>
    </row>
    <row r="45" spans="1:5" x14ac:dyDescent="0.2">
      <c r="A45" s="272">
        <v>45870.43240740741</v>
      </c>
      <c r="B45" t="s">
        <v>611</v>
      </c>
      <c r="C45" t="s">
        <v>8</v>
      </c>
      <c r="D45" t="s">
        <v>654</v>
      </c>
      <c r="E45" t="s">
        <v>38</v>
      </c>
    </row>
    <row r="46" spans="1:5" x14ac:dyDescent="0.2">
      <c r="A46" s="272">
        <v>45870.432615740741</v>
      </c>
      <c r="B46" t="s">
        <v>611</v>
      </c>
      <c r="C46" t="s">
        <v>8</v>
      </c>
      <c r="D46" t="s">
        <v>654</v>
      </c>
      <c r="E46" t="s">
        <v>38</v>
      </c>
    </row>
    <row r="47" spans="1:5" x14ac:dyDescent="0.2">
      <c r="A47" s="272">
        <v>45870.432696759257</v>
      </c>
      <c r="B47" t="s">
        <v>611</v>
      </c>
      <c r="C47" t="s">
        <v>626</v>
      </c>
      <c r="D47" t="s">
        <v>642</v>
      </c>
      <c r="E47" t="s">
        <v>24</v>
      </c>
    </row>
    <row r="48" spans="1:5" x14ac:dyDescent="0.2">
      <c r="A48" s="272">
        <v>45870.43277777778</v>
      </c>
      <c r="B48" t="s">
        <v>611</v>
      </c>
      <c r="C48" t="s">
        <v>626</v>
      </c>
      <c r="D48" t="s">
        <v>644</v>
      </c>
      <c r="E48" t="s">
        <v>11</v>
      </c>
    </row>
    <row r="49" spans="1:5" x14ac:dyDescent="0.2">
      <c r="A49" s="272">
        <v>45870.432870370372</v>
      </c>
      <c r="B49" t="s">
        <v>611</v>
      </c>
      <c r="C49" t="s">
        <v>626</v>
      </c>
      <c r="D49" t="s">
        <v>644</v>
      </c>
      <c r="E49" t="s">
        <v>20</v>
      </c>
    </row>
    <row r="50" spans="1:5" x14ac:dyDescent="0.2">
      <c r="A50" s="272">
        <v>45870.432951388888</v>
      </c>
      <c r="B50" t="s">
        <v>611</v>
      </c>
      <c r="C50" t="s">
        <v>626</v>
      </c>
      <c r="D50" t="s">
        <v>645</v>
      </c>
      <c r="E50" t="s">
        <v>26</v>
      </c>
    </row>
    <row r="51" spans="1:5" x14ac:dyDescent="0.2">
      <c r="A51" s="272">
        <v>45870.432974537034</v>
      </c>
      <c r="B51" t="s">
        <v>611</v>
      </c>
      <c r="C51" t="s">
        <v>626</v>
      </c>
      <c r="D51" t="s">
        <v>645</v>
      </c>
      <c r="E51" t="s">
        <v>38</v>
      </c>
    </row>
    <row r="52" spans="1:5" x14ac:dyDescent="0.2">
      <c r="A52" s="272">
        <v>45870.433275462965</v>
      </c>
      <c r="B52" t="s">
        <v>611</v>
      </c>
      <c r="C52" t="s">
        <v>13</v>
      </c>
      <c r="D52" t="s">
        <v>655</v>
      </c>
      <c r="E52" t="s">
        <v>43</v>
      </c>
    </row>
    <row r="53" spans="1:5" x14ac:dyDescent="0.2">
      <c r="A53" s="272">
        <v>45870.433275462965</v>
      </c>
      <c r="B53" t="s">
        <v>611</v>
      </c>
      <c r="C53" t="s">
        <v>612</v>
      </c>
      <c r="D53" t="s">
        <v>656</v>
      </c>
      <c r="E53" t="s">
        <v>43</v>
      </c>
    </row>
    <row r="54" spans="1:5" x14ac:dyDescent="0.2">
      <c r="A54" s="272">
        <v>45870.433275462965</v>
      </c>
      <c r="B54" t="s">
        <v>611</v>
      </c>
      <c r="C54" t="s">
        <v>106</v>
      </c>
      <c r="D54" t="s">
        <v>657</v>
      </c>
      <c r="E54" t="s">
        <v>43</v>
      </c>
    </row>
    <row r="55" spans="1:5" x14ac:dyDescent="0.2">
      <c r="A55" s="272">
        <v>45870.433275462965</v>
      </c>
      <c r="B55" t="s">
        <v>611</v>
      </c>
      <c r="C55" t="s">
        <v>658</v>
      </c>
      <c r="D55" t="s">
        <v>659</v>
      </c>
      <c r="E55" t="s">
        <v>43</v>
      </c>
    </row>
    <row r="56" spans="1:5" x14ac:dyDescent="0.2">
      <c r="A56" s="272">
        <v>45870.433275462965</v>
      </c>
      <c r="B56" t="s">
        <v>611</v>
      </c>
      <c r="C56" t="s">
        <v>612</v>
      </c>
      <c r="D56" t="s">
        <v>660</v>
      </c>
      <c r="E56" t="s">
        <v>43</v>
      </c>
    </row>
    <row r="57" spans="1:5" x14ac:dyDescent="0.2">
      <c r="A57" s="272">
        <v>45870.433275462965</v>
      </c>
      <c r="B57" t="s">
        <v>611</v>
      </c>
      <c r="C57" t="s">
        <v>612</v>
      </c>
      <c r="D57" t="s">
        <v>661</v>
      </c>
      <c r="E57" t="s">
        <v>43</v>
      </c>
    </row>
    <row r="58" spans="1:5" x14ac:dyDescent="0.2">
      <c r="A58" s="272">
        <v>45870.433275462965</v>
      </c>
      <c r="B58" t="s">
        <v>611</v>
      </c>
      <c r="C58" t="s">
        <v>662</v>
      </c>
      <c r="D58" t="s">
        <v>663</v>
      </c>
      <c r="E58" t="s">
        <v>43</v>
      </c>
    </row>
    <row r="59" spans="1:5" x14ac:dyDescent="0.2">
      <c r="A59" s="272">
        <v>45870.433275462965</v>
      </c>
      <c r="B59" t="s">
        <v>611</v>
      </c>
      <c r="C59" t="s">
        <v>612</v>
      </c>
      <c r="D59" t="s">
        <v>664</v>
      </c>
      <c r="E59" t="s">
        <v>43</v>
      </c>
    </row>
    <row r="60" spans="1:5" x14ac:dyDescent="0.2">
      <c r="A60" s="272">
        <v>45870.433275462965</v>
      </c>
      <c r="B60" t="s">
        <v>611</v>
      </c>
      <c r="C60" t="s">
        <v>8</v>
      </c>
      <c r="D60" t="s">
        <v>665</v>
      </c>
      <c r="E60" t="s">
        <v>43</v>
      </c>
    </row>
    <row r="61" spans="1:5" x14ac:dyDescent="0.2">
      <c r="A61" s="272">
        <v>45870.433275462965</v>
      </c>
      <c r="B61" t="s">
        <v>611</v>
      </c>
      <c r="C61" t="s">
        <v>612</v>
      </c>
      <c r="D61" t="s">
        <v>666</v>
      </c>
      <c r="E61" t="s">
        <v>43</v>
      </c>
    </row>
    <row r="62" spans="1:5" x14ac:dyDescent="0.2">
      <c r="A62" s="272">
        <v>45870.433275462965</v>
      </c>
      <c r="B62" t="s">
        <v>611</v>
      </c>
      <c r="C62" t="s">
        <v>667</v>
      </c>
      <c r="D62" t="s">
        <v>668</v>
      </c>
      <c r="E62" t="s">
        <v>43</v>
      </c>
    </row>
    <row r="63" spans="1:5" x14ac:dyDescent="0.2">
      <c r="A63" s="272">
        <v>45870.433275462965</v>
      </c>
      <c r="B63" t="s">
        <v>611</v>
      </c>
      <c r="C63" t="s">
        <v>612</v>
      </c>
      <c r="D63" t="s">
        <v>669</v>
      </c>
      <c r="E63" t="s">
        <v>43</v>
      </c>
    </row>
    <row r="64" spans="1:5" x14ac:dyDescent="0.2">
      <c r="A64" s="272">
        <v>45870.433275462965</v>
      </c>
      <c r="B64" t="s">
        <v>611</v>
      </c>
      <c r="C64" t="s">
        <v>667</v>
      </c>
      <c r="D64" t="s">
        <v>670</v>
      </c>
      <c r="E64" t="s">
        <v>43</v>
      </c>
    </row>
    <row r="65" spans="1:5" x14ac:dyDescent="0.2">
      <c r="A65" s="272">
        <v>45870.433275462965</v>
      </c>
      <c r="B65" t="s">
        <v>611</v>
      </c>
      <c r="C65" t="s">
        <v>612</v>
      </c>
      <c r="D65" t="s">
        <v>671</v>
      </c>
      <c r="E65" t="s">
        <v>43</v>
      </c>
    </row>
    <row r="66" spans="1:5" x14ac:dyDescent="0.2">
      <c r="A66" s="272">
        <v>45870.442314814813</v>
      </c>
      <c r="B66" t="s">
        <v>611</v>
      </c>
      <c r="C66" t="s">
        <v>29</v>
      </c>
      <c r="D66" t="s">
        <v>672</v>
      </c>
    </row>
    <row r="67" spans="1:5" x14ac:dyDescent="0.2">
      <c r="A67" s="272">
        <v>45873.710810185185</v>
      </c>
      <c r="B67" t="s">
        <v>607</v>
      </c>
      <c r="C67" t="s">
        <v>8</v>
      </c>
      <c r="D67" t="s">
        <v>673</v>
      </c>
      <c r="E67" t="s">
        <v>57</v>
      </c>
    </row>
    <row r="68" spans="1:5" x14ac:dyDescent="0.2">
      <c r="A68" s="272">
        <v>45873.7109837963</v>
      </c>
      <c r="B68" t="s">
        <v>607</v>
      </c>
      <c r="C68" t="s">
        <v>8</v>
      </c>
      <c r="D68" t="s">
        <v>674</v>
      </c>
      <c r="E68">
        <v>9</v>
      </c>
    </row>
    <row r="69" spans="1:5" x14ac:dyDescent="0.2">
      <c r="A69" s="272">
        <v>45873.711331018516</v>
      </c>
      <c r="B69" t="s">
        <v>607</v>
      </c>
      <c r="C69" t="s">
        <v>8</v>
      </c>
      <c r="D69" t="s">
        <v>675</v>
      </c>
      <c r="E69">
        <v>1</v>
      </c>
    </row>
    <row r="70" spans="1:5" x14ac:dyDescent="0.2">
      <c r="A70" s="272">
        <v>45873.711342592593</v>
      </c>
      <c r="B70" t="s">
        <v>607</v>
      </c>
      <c r="C70" t="s">
        <v>8</v>
      </c>
      <c r="D70" t="s">
        <v>675</v>
      </c>
      <c r="E70">
        <v>3</v>
      </c>
    </row>
    <row r="71" spans="1:5" x14ac:dyDescent="0.2">
      <c r="A71" s="272">
        <v>45873.711412037039</v>
      </c>
      <c r="B71" t="s">
        <v>607</v>
      </c>
      <c r="C71" t="s">
        <v>8</v>
      </c>
      <c r="D71" t="s">
        <v>676</v>
      </c>
      <c r="E71">
        <v>1</v>
      </c>
    </row>
    <row r="72" spans="1:5" x14ac:dyDescent="0.2">
      <c r="A72" s="272">
        <v>45873.711527777778</v>
      </c>
      <c r="B72" t="s">
        <v>607</v>
      </c>
      <c r="C72" t="s">
        <v>8</v>
      </c>
      <c r="D72" t="s">
        <v>676</v>
      </c>
      <c r="E72">
        <v>2</v>
      </c>
    </row>
    <row r="73" spans="1:5" x14ac:dyDescent="0.2">
      <c r="A73" s="272">
        <v>45873.711608796293</v>
      </c>
      <c r="B73" t="s">
        <v>607</v>
      </c>
      <c r="C73" t="s">
        <v>8</v>
      </c>
      <c r="D73" t="s">
        <v>675</v>
      </c>
      <c r="E73">
        <v>3</v>
      </c>
    </row>
    <row r="74" spans="1:5" x14ac:dyDescent="0.2">
      <c r="A74" s="272">
        <v>45873.711851851855</v>
      </c>
      <c r="B74" t="s">
        <v>607</v>
      </c>
      <c r="C74" t="s">
        <v>8</v>
      </c>
      <c r="D74" t="s">
        <v>677</v>
      </c>
    </row>
    <row r="75" spans="1:5" x14ac:dyDescent="0.2">
      <c r="A75" s="272">
        <v>45873.711944444447</v>
      </c>
      <c r="B75" t="s">
        <v>607</v>
      </c>
      <c r="C75" t="s">
        <v>8</v>
      </c>
      <c r="D75" t="s">
        <v>678</v>
      </c>
      <c r="E75" t="s">
        <v>189</v>
      </c>
    </row>
    <row r="76" spans="1:5" x14ac:dyDescent="0.2">
      <c r="A76" s="272">
        <v>45873.712094907409</v>
      </c>
      <c r="B76" t="s">
        <v>607</v>
      </c>
      <c r="C76" t="s">
        <v>8</v>
      </c>
      <c r="D76" t="s">
        <v>679</v>
      </c>
    </row>
    <row r="77" spans="1:5" x14ac:dyDescent="0.2">
      <c r="A77" s="272">
        <v>45873.712164351855</v>
      </c>
      <c r="B77" t="s">
        <v>607</v>
      </c>
      <c r="C77" t="s">
        <v>8</v>
      </c>
      <c r="D77" t="s">
        <v>680</v>
      </c>
    </row>
    <row r="78" spans="1:5" x14ac:dyDescent="0.2">
      <c r="A78" s="272">
        <v>45873.712268518517</v>
      </c>
      <c r="B78" t="s">
        <v>607</v>
      </c>
      <c r="C78" t="s">
        <v>8</v>
      </c>
      <c r="D78" t="s">
        <v>681</v>
      </c>
      <c r="E78" t="s">
        <v>155</v>
      </c>
    </row>
    <row r="79" spans="1:5" x14ac:dyDescent="0.2">
      <c r="A79" s="272">
        <v>45873.712465277778</v>
      </c>
      <c r="B79" t="s">
        <v>607</v>
      </c>
      <c r="C79" t="s">
        <v>8</v>
      </c>
      <c r="D79" t="s">
        <v>682</v>
      </c>
      <c r="E79" t="s">
        <v>55</v>
      </c>
    </row>
    <row r="80" spans="1:5" x14ac:dyDescent="0.2">
      <c r="A80" s="272">
        <v>45873.712754629632</v>
      </c>
      <c r="B80" t="s">
        <v>607</v>
      </c>
      <c r="C80" t="s">
        <v>8</v>
      </c>
      <c r="D80" t="s">
        <v>683</v>
      </c>
    </row>
    <row r="81" spans="1:5" x14ac:dyDescent="0.2">
      <c r="A81" s="272">
        <v>45873.71366898148</v>
      </c>
      <c r="B81" t="s">
        <v>607</v>
      </c>
      <c r="C81" t="s">
        <v>8</v>
      </c>
      <c r="D81" t="s">
        <v>684</v>
      </c>
    </row>
    <row r="82" spans="1:5" x14ac:dyDescent="0.2">
      <c r="A82" s="272">
        <v>45873.71371527778</v>
      </c>
      <c r="B82" t="s">
        <v>607</v>
      </c>
      <c r="C82" t="s">
        <v>8</v>
      </c>
      <c r="D82" t="s">
        <v>685</v>
      </c>
    </row>
    <row r="83" spans="1:5" x14ac:dyDescent="0.2">
      <c r="A83" s="272">
        <v>45873.713784722226</v>
      </c>
      <c r="B83" t="s">
        <v>607</v>
      </c>
      <c r="C83" t="s">
        <v>8</v>
      </c>
      <c r="D83" t="s">
        <v>686</v>
      </c>
      <c r="E83" t="s">
        <v>687</v>
      </c>
    </row>
    <row r="84" spans="1:5" x14ac:dyDescent="0.2">
      <c r="A84" s="272">
        <v>45873.713784722226</v>
      </c>
      <c r="B84" t="s">
        <v>607</v>
      </c>
      <c r="C84" t="s">
        <v>8</v>
      </c>
      <c r="D84" t="s">
        <v>688</v>
      </c>
      <c r="E84" t="s">
        <v>687</v>
      </c>
    </row>
    <row r="85" spans="1:5" x14ac:dyDescent="0.2">
      <c r="A85" s="272">
        <v>45873.713796296295</v>
      </c>
      <c r="B85" t="s">
        <v>607</v>
      </c>
      <c r="C85" t="s">
        <v>8</v>
      </c>
      <c r="D85" t="s">
        <v>689</v>
      </c>
      <c r="E85" t="s">
        <v>687</v>
      </c>
    </row>
    <row r="86" spans="1:5" x14ac:dyDescent="0.2">
      <c r="A86" s="272">
        <v>45873.713796296295</v>
      </c>
      <c r="B86" t="s">
        <v>607</v>
      </c>
      <c r="C86" t="s">
        <v>8</v>
      </c>
      <c r="D86" t="s">
        <v>690</v>
      </c>
      <c r="E86" t="s">
        <v>687</v>
      </c>
    </row>
    <row r="87" spans="1:5" x14ac:dyDescent="0.2">
      <c r="A87" s="272">
        <v>45873.713796296295</v>
      </c>
      <c r="B87" t="s">
        <v>607</v>
      </c>
      <c r="C87" t="s">
        <v>8</v>
      </c>
      <c r="D87" t="s">
        <v>691</v>
      </c>
      <c r="E87" t="s">
        <v>687</v>
      </c>
    </row>
    <row r="88" spans="1:5" x14ac:dyDescent="0.2">
      <c r="A88" s="272">
        <v>45873.713796296295</v>
      </c>
      <c r="B88" t="s">
        <v>607</v>
      </c>
      <c r="C88" t="s">
        <v>8</v>
      </c>
      <c r="D88" t="s">
        <v>692</v>
      </c>
      <c r="E88" t="s">
        <v>687</v>
      </c>
    </row>
    <row r="89" spans="1:5" x14ac:dyDescent="0.2">
      <c r="A89" s="272">
        <v>45873.713831018518</v>
      </c>
      <c r="B89" t="s">
        <v>607</v>
      </c>
      <c r="C89" t="s">
        <v>8</v>
      </c>
      <c r="D89" t="s">
        <v>693</v>
      </c>
    </row>
    <row r="90" spans="1:5" x14ac:dyDescent="0.2">
      <c r="A90" s="272">
        <v>45873.713900462964</v>
      </c>
      <c r="B90" t="s">
        <v>607</v>
      </c>
      <c r="C90" t="s">
        <v>8</v>
      </c>
      <c r="D90" t="s">
        <v>694</v>
      </c>
    </row>
    <row r="91" spans="1:5" x14ac:dyDescent="0.2">
      <c r="A91" s="272">
        <v>45873.714780092596</v>
      </c>
      <c r="B91" t="s">
        <v>607</v>
      </c>
      <c r="C91" t="s">
        <v>8</v>
      </c>
      <c r="D91" t="s">
        <v>695</v>
      </c>
    </row>
    <row r="92" spans="1:5" x14ac:dyDescent="0.2">
      <c r="A92" s="272">
        <v>45873.714780092596</v>
      </c>
      <c r="B92" t="s">
        <v>607</v>
      </c>
      <c r="C92" t="s">
        <v>8</v>
      </c>
      <c r="D92" t="s">
        <v>696</v>
      </c>
      <c r="E92" t="s">
        <v>34</v>
      </c>
    </row>
    <row r="93" spans="1:5" x14ac:dyDescent="0.2">
      <c r="A93" s="272">
        <v>45873.714837962965</v>
      </c>
      <c r="B93" t="s">
        <v>607</v>
      </c>
      <c r="C93" t="s">
        <v>8</v>
      </c>
      <c r="D93" t="s">
        <v>695</v>
      </c>
      <c r="E93" t="s">
        <v>34</v>
      </c>
    </row>
    <row r="94" spans="1:5" x14ac:dyDescent="0.2">
      <c r="A94" s="272">
        <v>45873.714837962965</v>
      </c>
      <c r="B94" t="s">
        <v>607</v>
      </c>
      <c r="C94" t="s">
        <v>8</v>
      </c>
      <c r="D94" t="s">
        <v>696</v>
      </c>
    </row>
    <row r="95" spans="1:5" x14ac:dyDescent="0.2">
      <c r="A95" s="272">
        <v>45873.714837962965</v>
      </c>
      <c r="B95" t="s">
        <v>607</v>
      </c>
      <c r="C95" t="s">
        <v>8</v>
      </c>
      <c r="D95" t="s">
        <v>696</v>
      </c>
    </row>
    <row r="96" spans="1:5" x14ac:dyDescent="0.2">
      <c r="A96" s="272">
        <v>45873.714872685188</v>
      </c>
      <c r="B96" t="s">
        <v>607</v>
      </c>
      <c r="C96" t="s">
        <v>8</v>
      </c>
      <c r="D96" t="s">
        <v>695</v>
      </c>
    </row>
    <row r="97" spans="1:5" x14ac:dyDescent="0.2">
      <c r="A97" s="272">
        <v>45873.714872685188</v>
      </c>
      <c r="B97" t="s">
        <v>607</v>
      </c>
      <c r="C97" t="s">
        <v>8</v>
      </c>
      <c r="D97" t="s">
        <v>697</v>
      </c>
      <c r="E97" t="s">
        <v>34</v>
      </c>
    </row>
    <row r="98" spans="1:5" x14ac:dyDescent="0.2">
      <c r="A98" s="272">
        <v>45873.715173611112</v>
      </c>
      <c r="B98" t="s">
        <v>607</v>
      </c>
      <c r="C98" t="s">
        <v>8</v>
      </c>
      <c r="D98" t="s">
        <v>698</v>
      </c>
    </row>
    <row r="99" spans="1:5" x14ac:dyDescent="0.2">
      <c r="A99" s="272">
        <v>45873.715173611112</v>
      </c>
      <c r="B99" t="s">
        <v>607</v>
      </c>
      <c r="C99" t="s">
        <v>8</v>
      </c>
      <c r="D99" t="s">
        <v>699</v>
      </c>
      <c r="E99" t="s">
        <v>42</v>
      </c>
    </row>
    <row r="100" spans="1:5" x14ac:dyDescent="0.2">
      <c r="A100" s="272">
        <v>45873.716585648152</v>
      </c>
      <c r="B100" t="s">
        <v>607</v>
      </c>
      <c r="C100" t="s">
        <v>700</v>
      </c>
      <c r="D100" t="s">
        <v>701</v>
      </c>
    </row>
    <row r="101" spans="1:5" x14ac:dyDescent="0.2">
      <c r="A101" s="272">
        <v>45873.716585648152</v>
      </c>
      <c r="B101" t="s">
        <v>607</v>
      </c>
      <c r="C101" t="s">
        <v>700</v>
      </c>
      <c r="D101" t="s">
        <v>701</v>
      </c>
    </row>
    <row r="102" spans="1:5" x14ac:dyDescent="0.2">
      <c r="A102" s="272">
        <v>45873.716736111113</v>
      </c>
      <c r="B102" t="s">
        <v>607</v>
      </c>
      <c r="C102" t="s">
        <v>700</v>
      </c>
      <c r="D102" t="s">
        <v>702</v>
      </c>
    </row>
    <row r="103" spans="1:5" x14ac:dyDescent="0.2">
      <c r="A103" s="272">
        <v>45873.716736111113</v>
      </c>
      <c r="B103" t="s">
        <v>607</v>
      </c>
      <c r="C103" t="s">
        <v>700</v>
      </c>
      <c r="D103" t="s">
        <v>703</v>
      </c>
      <c r="E103" t="s">
        <v>177</v>
      </c>
    </row>
    <row r="104" spans="1:5" x14ac:dyDescent="0.2">
      <c r="A104" s="272">
        <v>45873.716817129629</v>
      </c>
      <c r="B104" t="s">
        <v>607</v>
      </c>
      <c r="C104" t="s">
        <v>700</v>
      </c>
      <c r="D104" t="s">
        <v>703</v>
      </c>
    </row>
    <row r="105" spans="1:5" x14ac:dyDescent="0.2">
      <c r="A105" s="272">
        <v>45873.716817129629</v>
      </c>
      <c r="B105" t="s">
        <v>607</v>
      </c>
      <c r="C105" t="s">
        <v>700</v>
      </c>
      <c r="D105" t="s">
        <v>704</v>
      </c>
      <c r="E105" t="s">
        <v>177</v>
      </c>
    </row>
    <row r="106" spans="1:5" x14ac:dyDescent="0.2">
      <c r="A106" s="272">
        <v>45873.716886574075</v>
      </c>
      <c r="B106" t="s">
        <v>607</v>
      </c>
      <c r="C106" t="s">
        <v>700</v>
      </c>
      <c r="D106" t="s">
        <v>705</v>
      </c>
    </row>
    <row r="107" spans="1:5" x14ac:dyDescent="0.2">
      <c r="A107" s="272">
        <v>45873.717048611114</v>
      </c>
      <c r="B107" t="s">
        <v>607</v>
      </c>
      <c r="C107" t="s">
        <v>700</v>
      </c>
      <c r="D107" t="s">
        <v>706</v>
      </c>
    </row>
    <row r="108" spans="1:5" x14ac:dyDescent="0.2">
      <c r="A108" s="272">
        <v>45873.717048611114</v>
      </c>
      <c r="B108" t="s">
        <v>607</v>
      </c>
      <c r="C108" t="s">
        <v>700</v>
      </c>
      <c r="D108" t="s">
        <v>707</v>
      </c>
      <c r="E108" t="s">
        <v>30</v>
      </c>
    </row>
    <row r="109" spans="1:5" x14ac:dyDescent="0.2">
      <c r="A109" s="272">
        <v>45873.717164351852</v>
      </c>
      <c r="B109" t="s">
        <v>607</v>
      </c>
      <c r="C109" t="s">
        <v>700</v>
      </c>
      <c r="D109" t="s">
        <v>708</v>
      </c>
      <c r="E109" t="s">
        <v>263</v>
      </c>
    </row>
    <row r="110" spans="1:5" x14ac:dyDescent="0.2">
      <c r="A110" s="272">
        <v>45873.717175925929</v>
      </c>
      <c r="B110" t="s">
        <v>607</v>
      </c>
      <c r="C110" t="s">
        <v>700</v>
      </c>
      <c r="D110" t="s">
        <v>708</v>
      </c>
      <c r="E110" t="s">
        <v>263</v>
      </c>
    </row>
    <row r="111" spans="1:5" x14ac:dyDescent="0.2">
      <c r="A111" s="272">
        <v>45873.717210648145</v>
      </c>
      <c r="B111" t="s">
        <v>607</v>
      </c>
      <c r="C111" t="s">
        <v>700</v>
      </c>
      <c r="D111" t="s">
        <v>709</v>
      </c>
    </row>
    <row r="112" spans="1:5" x14ac:dyDescent="0.2">
      <c r="A112" s="272">
        <v>45873.717534722222</v>
      </c>
      <c r="B112" t="s">
        <v>607</v>
      </c>
      <c r="C112" t="s">
        <v>700</v>
      </c>
      <c r="D112" t="s">
        <v>709</v>
      </c>
    </row>
    <row r="113" spans="1:5" x14ac:dyDescent="0.2">
      <c r="A113" s="272">
        <v>45873.717557870368</v>
      </c>
      <c r="B113" t="s">
        <v>607</v>
      </c>
      <c r="C113" t="s">
        <v>700</v>
      </c>
      <c r="D113" t="s">
        <v>709</v>
      </c>
    </row>
    <row r="114" spans="1:5" x14ac:dyDescent="0.2">
      <c r="A114" s="272">
        <v>45873.71775462963</v>
      </c>
      <c r="B114" t="s">
        <v>607</v>
      </c>
      <c r="C114" t="s">
        <v>700</v>
      </c>
      <c r="D114" t="s">
        <v>709</v>
      </c>
      <c r="E114" t="s">
        <v>263</v>
      </c>
    </row>
    <row r="115" spans="1:5" x14ac:dyDescent="0.2">
      <c r="A115" s="272">
        <v>45873.717777777776</v>
      </c>
      <c r="B115" t="s">
        <v>607</v>
      </c>
      <c r="C115" t="s">
        <v>700</v>
      </c>
      <c r="D115" t="s">
        <v>710</v>
      </c>
      <c r="E115" t="s">
        <v>264</v>
      </c>
    </row>
    <row r="116" spans="1:5" x14ac:dyDescent="0.2">
      <c r="A116" s="272">
        <v>45873.717800925922</v>
      </c>
      <c r="B116" t="s">
        <v>607</v>
      </c>
      <c r="C116" t="s">
        <v>700</v>
      </c>
      <c r="D116" t="s">
        <v>711</v>
      </c>
      <c r="E116" t="s">
        <v>261</v>
      </c>
    </row>
    <row r="117" spans="1:5" x14ac:dyDescent="0.2">
      <c r="A117" s="272">
        <v>45873.717812499999</v>
      </c>
      <c r="B117" t="s">
        <v>607</v>
      </c>
      <c r="C117" t="s">
        <v>700</v>
      </c>
      <c r="D117" t="s">
        <v>712</v>
      </c>
      <c r="E117" t="s">
        <v>263</v>
      </c>
    </row>
    <row r="118" spans="1:5" x14ac:dyDescent="0.2">
      <c r="A118" s="272">
        <v>45873.717835648145</v>
      </c>
      <c r="B118" t="s">
        <v>607</v>
      </c>
      <c r="C118" t="s">
        <v>700</v>
      </c>
      <c r="D118" t="s">
        <v>713</v>
      </c>
      <c r="E118" t="s">
        <v>264</v>
      </c>
    </row>
    <row r="119" spans="1:5" x14ac:dyDescent="0.2">
      <c r="A119" s="272">
        <v>45873.718958333331</v>
      </c>
      <c r="B119" t="s">
        <v>607</v>
      </c>
      <c r="C119" t="s">
        <v>700</v>
      </c>
      <c r="D119" t="s">
        <v>714</v>
      </c>
    </row>
    <row r="120" spans="1:5" x14ac:dyDescent="0.2">
      <c r="A120" s="272">
        <v>45873.718958333331</v>
      </c>
      <c r="B120" t="s">
        <v>607</v>
      </c>
      <c r="C120" t="s">
        <v>700</v>
      </c>
      <c r="D120" t="s">
        <v>715</v>
      </c>
      <c r="E120" t="s">
        <v>34</v>
      </c>
    </row>
    <row r="121" spans="1:5" x14ac:dyDescent="0.2">
      <c r="A121" s="272">
        <v>45873.718993055554</v>
      </c>
      <c r="B121" t="s">
        <v>607</v>
      </c>
      <c r="C121" t="s">
        <v>700</v>
      </c>
      <c r="D121" t="s">
        <v>715</v>
      </c>
    </row>
    <row r="122" spans="1:5" x14ac:dyDescent="0.2">
      <c r="A122" s="272">
        <v>45873.718993055554</v>
      </c>
      <c r="B122" t="s">
        <v>607</v>
      </c>
      <c r="C122" t="s">
        <v>700</v>
      </c>
      <c r="D122" t="s">
        <v>697</v>
      </c>
      <c r="E122" t="s">
        <v>34</v>
      </c>
    </row>
    <row r="123" spans="1:5" x14ac:dyDescent="0.2">
      <c r="A123" s="272">
        <v>45873.719942129632</v>
      </c>
      <c r="B123" t="s">
        <v>607</v>
      </c>
      <c r="C123" t="s">
        <v>700</v>
      </c>
      <c r="D123" t="s">
        <v>716</v>
      </c>
    </row>
    <row r="124" spans="1:5" x14ac:dyDescent="0.2">
      <c r="A124" s="272">
        <v>45873.719942129632</v>
      </c>
      <c r="B124" t="s">
        <v>607</v>
      </c>
      <c r="C124" t="s">
        <v>700</v>
      </c>
      <c r="D124" t="s">
        <v>717</v>
      </c>
      <c r="E124" t="s">
        <v>173</v>
      </c>
    </row>
    <row r="125" spans="1:5" x14ac:dyDescent="0.2">
      <c r="A125" s="272">
        <v>45873.720520833333</v>
      </c>
      <c r="B125" t="s">
        <v>607</v>
      </c>
      <c r="C125" t="s">
        <v>700</v>
      </c>
      <c r="D125" t="s">
        <v>718</v>
      </c>
    </row>
    <row r="126" spans="1:5" x14ac:dyDescent="0.2">
      <c r="A126" s="272">
        <v>45873.720520833333</v>
      </c>
      <c r="B126" t="s">
        <v>607</v>
      </c>
      <c r="C126" t="s">
        <v>700</v>
      </c>
      <c r="D126" t="s">
        <v>719</v>
      </c>
      <c r="E126" t="s">
        <v>720</v>
      </c>
    </row>
    <row r="127" spans="1:5" x14ac:dyDescent="0.2">
      <c r="A127" s="272">
        <v>45873.722569444442</v>
      </c>
      <c r="B127" t="s">
        <v>607</v>
      </c>
      <c r="C127" t="s">
        <v>8</v>
      </c>
      <c r="D127" t="s">
        <v>721</v>
      </c>
    </row>
    <row r="128" spans="1:5" x14ac:dyDescent="0.2">
      <c r="A128" s="272">
        <v>45873.722569444442</v>
      </c>
      <c r="B128" t="s">
        <v>607</v>
      </c>
      <c r="C128" t="s">
        <v>8</v>
      </c>
      <c r="D128" t="s">
        <v>722</v>
      </c>
      <c r="E128" t="s">
        <v>260</v>
      </c>
    </row>
    <row r="129" spans="1:5" x14ac:dyDescent="0.2">
      <c r="A129" s="272">
        <v>45873.722650462965</v>
      </c>
      <c r="B129" t="s">
        <v>607</v>
      </c>
      <c r="C129" t="s">
        <v>8</v>
      </c>
      <c r="D129" t="s">
        <v>697</v>
      </c>
    </row>
    <row r="130" spans="1:5" x14ac:dyDescent="0.2">
      <c r="A130" s="272">
        <v>45873.722650462965</v>
      </c>
      <c r="B130" t="s">
        <v>607</v>
      </c>
      <c r="C130" t="s">
        <v>8</v>
      </c>
      <c r="D130" t="s">
        <v>723</v>
      </c>
      <c r="E130" t="s">
        <v>34</v>
      </c>
    </row>
    <row r="131" spans="1:5" x14ac:dyDescent="0.2">
      <c r="A131" s="272">
        <v>45873.722893518519</v>
      </c>
      <c r="B131" t="s">
        <v>607</v>
      </c>
      <c r="C131" t="s">
        <v>8</v>
      </c>
      <c r="D131" t="s">
        <v>699</v>
      </c>
    </row>
    <row r="132" spans="1:5" x14ac:dyDescent="0.2">
      <c r="A132" s="272">
        <v>45873.722893518519</v>
      </c>
      <c r="B132" t="s">
        <v>607</v>
      </c>
      <c r="C132" t="s">
        <v>8</v>
      </c>
      <c r="D132" t="s">
        <v>698</v>
      </c>
      <c r="E132" t="s">
        <v>42</v>
      </c>
    </row>
    <row r="133" spans="1:5" x14ac:dyDescent="0.2">
      <c r="A133" s="272">
        <v>45873.722939814812</v>
      </c>
      <c r="B133" t="s">
        <v>607</v>
      </c>
      <c r="C133" t="s">
        <v>8</v>
      </c>
      <c r="D133" t="s">
        <v>724</v>
      </c>
      <c r="E133" t="s">
        <v>264</v>
      </c>
    </row>
    <row r="134" spans="1:5" x14ac:dyDescent="0.2">
      <c r="A134" s="272">
        <v>45873.722939814812</v>
      </c>
      <c r="B134" t="s">
        <v>607</v>
      </c>
      <c r="C134" t="s">
        <v>8</v>
      </c>
      <c r="D134" t="s">
        <v>725</v>
      </c>
      <c r="E134" t="s">
        <v>260</v>
      </c>
    </row>
    <row r="135" spans="1:5" x14ac:dyDescent="0.2">
      <c r="A135" s="272">
        <v>45873.723113425927</v>
      </c>
      <c r="B135" t="s">
        <v>607</v>
      </c>
      <c r="C135" t="s">
        <v>8</v>
      </c>
      <c r="D135" t="s">
        <v>726</v>
      </c>
    </row>
    <row r="136" spans="1:5" x14ac:dyDescent="0.2">
      <c r="A136" s="272">
        <v>45873.723333333335</v>
      </c>
      <c r="B136" t="s">
        <v>607</v>
      </c>
      <c r="C136" t="s">
        <v>8</v>
      </c>
      <c r="D136" t="s">
        <v>702</v>
      </c>
    </row>
    <row r="137" spans="1:5" x14ac:dyDescent="0.2">
      <c r="A137" s="272">
        <v>45873.723333333335</v>
      </c>
      <c r="B137" t="s">
        <v>607</v>
      </c>
      <c r="C137" t="s">
        <v>8</v>
      </c>
      <c r="D137" t="s">
        <v>727</v>
      </c>
      <c r="E137" t="s">
        <v>177</v>
      </c>
    </row>
    <row r="138" spans="1:5" x14ac:dyDescent="0.2">
      <c r="A138" s="272">
        <v>45873.723483796297</v>
      </c>
      <c r="B138" t="s">
        <v>607</v>
      </c>
      <c r="C138" t="s">
        <v>8</v>
      </c>
      <c r="D138" t="s">
        <v>728</v>
      </c>
    </row>
    <row r="139" spans="1:5" x14ac:dyDescent="0.2">
      <c r="A139" s="272">
        <v>45873.723506944443</v>
      </c>
      <c r="B139" t="s">
        <v>607</v>
      </c>
      <c r="C139" t="s">
        <v>8</v>
      </c>
      <c r="D139" t="s">
        <v>729</v>
      </c>
    </row>
    <row r="140" spans="1:5" x14ac:dyDescent="0.2">
      <c r="A140" s="272">
        <v>45873.723530092589</v>
      </c>
      <c r="B140" t="s">
        <v>607</v>
      </c>
      <c r="C140" t="s">
        <v>8</v>
      </c>
      <c r="D140" t="s">
        <v>730</v>
      </c>
    </row>
    <row r="141" spans="1:5" x14ac:dyDescent="0.2">
      <c r="A141" s="272">
        <v>45873.723541666666</v>
      </c>
      <c r="B141" t="s">
        <v>607</v>
      </c>
      <c r="C141" t="s">
        <v>8</v>
      </c>
      <c r="D141" t="s">
        <v>731</v>
      </c>
    </row>
    <row r="142" spans="1:5" x14ac:dyDescent="0.2">
      <c r="A142" s="272">
        <v>45873.723564814813</v>
      </c>
      <c r="B142" t="s">
        <v>607</v>
      </c>
      <c r="C142" t="s">
        <v>8</v>
      </c>
      <c r="D142" t="s">
        <v>732</v>
      </c>
    </row>
    <row r="143" spans="1:5" x14ac:dyDescent="0.2">
      <c r="A143" s="272">
        <v>45873.727430555555</v>
      </c>
      <c r="B143" t="s">
        <v>607</v>
      </c>
      <c r="C143" t="s">
        <v>8</v>
      </c>
      <c r="D143" t="s">
        <v>723</v>
      </c>
    </row>
    <row r="144" spans="1:5" x14ac:dyDescent="0.2">
      <c r="A144" s="272">
        <v>45873.727430555555</v>
      </c>
      <c r="B144" t="s">
        <v>607</v>
      </c>
      <c r="C144" t="s">
        <v>8</v>
      </c>
      <c r="D144" t="s">
        <v>733</v>
      </c>
      <c r="E144" t="s">
        <v>34</v>
      </c>
    </row>
    <row r="145" spans="1:5" x14ac:dyDescent="0.2">
      <c r="A145" s="272">
        <v>45873.727465277778</v>
      </c>
      <c r="B145" t="s">
        <v>607</v>
      </c>
      <c r="C145" t="s">
        <v>8</v>
      </c>
      <c r="D145" t="s">
        <v>734</v>
      </c>
    </row>
    <row r="146" spans="1:5" x14ac:dyDescent="0.2">
      <c r="A146" s="272">
        <v>45873.727465277778</v>
      </c>
      <c r="B146" t="s">
        <v>607</v>
      </c>
      <c r="C146" t="s">
        <v>8</v>
      </c>
      <c r="D146" t="s">
        <v>735</v>
      </c>
      <c r="E146" t="s">
        <v>42</v>
      </c>
    </row>
    <row r="147" spans="1:5" x14ac:dyDescent="0.2">
      <c r="A147" s="272">
        <v>45873.727546296293</v>
      </c>
      <c r="B147" t="s">
        <v>607</v>
      </c>
      <c r="C147" t="s">
        <v>8</v>
      </c>
      <c r="D147" t="s">
        <v>736</v>
      </c>
    </row>
    <row r="148" spans="1:5" x14ac:dyDescent="0.2">
      <c r="A148" s="272">
        <v>45873.727546296293</v>
      </c>
      <c r="B148" t="s">
        <v>607</v>
      </c>
      <c r="C148" t="s">
        <v>8</v>
      </c>
      <c r="D148" t="s">
        <v>737</v>
      </c>
      <c r="E148" t="s">
        <v>260</v>
      </c>
    </row>
    <row r="149" spans="1:5" x14ac:dyDescent="0.2">
      <c r="A149" s="272">
        <v>45873.72761574074</v>
      </c>
      <c r="B149" t="s">
        <v>607</v>
      </c>
      <c r="C149" t="s">
        <v>8</v>
      </c>
      <c r="D149" t="s">
        <v>738</v>
      </c>
    </row>
    <row r="150" spans="1:5" x14ac:dyDescent="0.2">
      <c r="A150" s="272">
        <v>45873.72761574074</v>
      </c>
      <c r="B150" t="s">
        <v>607</v>
      </c>
      <c r="C150" t="s">
        <v>8</v>
      </c>
      <c r="D150" t="s">
        <v>739</v>
      </c>
      <c r="E150" t="s">
        <v>34</v>
      </c>
    </row>
    <row r="151" spans="1:5" x14ac:dyDescent="0.2">
      <c r="A151" s="272">
        <v>45873.732777777775</v>
      </c>
      <c r="B151" t="s">
        <v>607</v>
      </c>
      <c r="C151" t="s">
        <v>8</v>
      </c>
      <c r="D151" t="s">
        <v>740</v>
      </c>
    </row>
    <row r="152" spans="1:5" x14ac:dyDescent="0.2">
      <c r="A152" s="272">
        <v>45873.733171296299</v>
      </c>
      <c r="B152" t="s">
        <v>607</v>
      </c>
      <c r="C152" t="s">
        <v>8</v>
      </c>
      <c r="D152" t="s">
        <v>741</v>
      </c>
      <c r="E152" t="s">
        <v>742</v>
      </c>
    </row>
    <row r="153" spans="1:5" x14ac:dyDescent="0.2">
      <c r="A153" s="272">
        <v>45873.733518518522</v>
      </c>
      <c r="B153" t="s">
        <v>607</v>
      </c>
      <c r="C153" t="s">
        <v>626</v>
      </c>
      <c r="D153" t="s">
        <v>639</v>
      </c>
    </row>
    <row r="154" spans="1:5" x14ac:dyDescent="0.2">
      <c r="A154" s="272">
        <v>45873.733587962961</v>
      </c>
      <c r="B154" t="s">
        <v>607</v>
      </c>
      <c r="C154" t="s">
        <v>626</v>
      </c>
      <c r="D154" t="s">
        <v>743</v>
      </c>
      <c r="E154">
        <v>5</v>
      </c>
    </row>
    <row r="155" spans="1:5" x14ac:dyDescent="0.2">
      <c r="A155" s="272">
        <v>45873.733634259261</v>
      </c>
      <c r="B155" t="s">
        <v>607</v>
      </c>
      <c r="C155" t="s">
        <v>626</v>
      </c>
      <c r="D155" t="s">
        <v>635</v>
      </c>
      <c r="E155" t="s">
        <v>742</v>
      </c>
    </row>
    <row r="156" spans="1:5" x14ac:dyDescent="0.2">
      <c r="A156" s="272">
        <v>45873.733668981484</v>
      </c>
      <c r="B156" t="s">
        <v>607</v>
      </c>
      <c r="C156" t="s">
        <v>626</v>
      </c>
      <c r="D156" t="s">
        <v>637</v>
      </c>
      <c r="E156" t="s">
        <v>744</v>
      </c>
    </row>
    <row r="157" spans="1:5" x14ac:dyDescent="0.2">
      <c r="A157" s="272">
        <v>45873.735729166663</v>
      </c>
      <c r="B157" t="s">
        <v>607</v>
      </c>
      <c r="C157" t="s">
        <v>13</v>
      </c>
      <c r="D157" t="s">
        <v>745</v>
      </c>
    </row>
    <row r="158" spans="1:5" x14ac:dyDescent="0.2">
      <c r="A158" s="272">
        <v>45873.735775462963</v>
      </c>
      <c r="B158" t="s">
        <v>607</v>
      </c>
      <c r="C158" t="s">
        <v>13</v>
      </c>
      <c r="D158" t="s">
        <v>746</v>
      </c>
    </row>
    <row r="159" spans="1:5" x14ac:dyDescent="0.2">
      <c r="A159" s="272">
        <v>45873.736261574071</v>
      </c>
      <c r="B159" t="s">
        <v>607</v>
      </c>
      <c r="C159" t="s">
        <v>13</v>
      </c>
      <c r="D159" t="s">
        <v>747</v>
      </c>
    </row>
    <row r="160" spans="1:5" x14ac:dyDescent="0.2">
      <c r="A160" s="272">
        <v>45873.736284722225</v>
      </c>
      <c r="B160" t="s">
        <v>607</v>
      </c>
      <c r="C160" t="s">
        <v>13</v>
      </c>
      <c r="D160" t="s">
        <v>748</v>
      </c>
    </row>
    <row r="161" spans="1:5" x14ac:dyDescent="0.2">
      <c r="A161" s="272">
        <v>45873.736307870371</v>
      </c>
      <c r="B161" t="s">
        <v>607</v>
      </c>
      <c r="C161" t="s">
        <v>13</v>
      </c>
      <c r="D161" t="s">
        <v>749</v>
      </c>
    </row>
    <row r="162" spans="1:5" x14ac:dyDescent="0.2">
      <c r="A162" s="272">
        <v>45873.736331018517</v>
      </c>
      <c r="B162" t="s">
        <v>607</v>
      </c>
      <c r="C162" t="s">
        <v>13</v>
      </c>
      <c r="D162" t="s">
        <v>750</v>
      </c>
    </row>
    <row r="163" spans="1:5" x14ac:dyDescent="0.2">
      <c r="A163" s="272">
        <v>45873.736354166664</v>
      </c>
      <c r="B163" t="s">
        <v>607</v>
      </c>
      <c r="C163" t="s">
        <v>13</v>
      </c>
      <c r="D163" t="s">
        <v>751</v>
      </c>
    </row>
    <row r="164" spans="1:5" x14ac:dyDescent="0.2">
      <c r="A164" s="272">
        <v>45873.736493055556</v>
      </c>
      <c r="B164" t="s">
        <v>607</v>
      </c>
      <c r="C164" t="s">
        <v>13</v>
      </c>
      <c r="D164" t="s">
        <v>752</v>
      </c>
    </row>
    <row r="165" spans="1:5" x14ac:dyDescent="0.2">
      <c r="A165" s="272">
        <v>45873.736493055556</v>
      </c>
      <c r="B165" t="s">
        <v>607</v>
      </c>
      <c r="C165" t="s">
        <v>13</v>
      </c>
      <c r="D165" t="s">
        <v>753</v>
      </c>
      <c r="E165" t="s">
        <v>177</v>
      </c>
    </row>
    <row r="166" spans="1:5" x14ac:dyDescent="0.2">
      <c r="A166" s="272">
        <v>45873.736550925925</v>
      </c>
      <c r="B166" t="s">
        <v>607</v>
      </c>
      <c r="C166" t="s">
        <v>13</v>
      </c>
      <c r="D166" t="s">
        <v>754</v>
      </c>
      <c r="E166" t="s">
        <v>39</v>
      </c>
    </row>
    <row r="167" spans="1:5" x14ac:dyDescent="0.2">
      <c r="A167" s="272">
        <v>45873.736550925925</v>
      </c>
      <c r="B167" t="s">
        <v>607</v>
      </c>
      <c r="C167" t="s">
        <v>13</v>
      </c>
      <c r="D167" t="s">
        <v>755</v>
      </c>
      <c r="E167" t="s">
        <v>34</v>
      </c>
    </row>
    <row r="168" spans="1:5" x14ac:dyDescent="0.2">
      <c r="A168" s="272">
        <v>45873.736643518518</v>
      </c>
      <c r="B168" t="s">
        <v>607</v>
      </c>
      <c r="C168" t="s">
        <v>13</v>
      </c>
      <c r="D168" t="s">
        <v>756</v>
      </c>
      <c r="E168" t="s">
        <v>177</v>
      </c>
    </row>
    <row r="169" spans="1:5" x14ac:dyDescent="0.2">
      <c r="A169" s="272">
        <v>45873.736770833333</v>
      </c>
      <c r="B169" t="s">
        <v>607</v>
      </c>
      <c r="C169" t="s">
        <v>13</v>
      </c>
      <c r="D169" t="s">
        <v>757</v>
      </c>
    </row>
    <row r="170" spans="1:5" x14ac:dyDescent="0.2">
      <c r="A170" s="272">
        <v>45873.736793981479</v>
      </c>
      <c r="B170" t="s">
        <v>607</v>
      </c>
      <c r="C170" t="s">
        <v>13</v>
      </c>
      <c r="D170" t="s">
        <v>758</v>
      </c>
    </row>
    <row r="171" spans="1:5" x14ac:dyDescent="0.2">
      <c r="A171" s="272">
        <v>45873.736851851849</v>
      </c>
      <c r="B171" t="s">
        <v>607</v>
      </c>
      <c r="C171" t="s">
        <v>13</v>
      </c>
      <c r="D171" t="s">
        <v>759</v>
      </c>
    </row>
    <row r="172" spans="1:5" x14ac:dyDescent="0.2">
      <c r="A172" s="272">
        <v>45873.736886574072</v>
      </c>
      <c r="B172" t="s">
        <v>607</v>
      </c>
      <c r="C172" t="s">
        <v>13</v>
      </c>
      <c r="D172" t="s">
        <v>760</v>
      </c>
    </row>
    <row r="173" spans="1:5" x14ac:dyDescent="0.2">
      <c r="A173" s="272">
        <v>45873.736967592595</v>
      </c>
      <c r="B173" t="s">
        <v>607</v>
      </c>
      <c r="C173" t="s">
        <v>13</v>
      </c>
      <c r="D173" t="s">
        <v>761</v>
      </c>
    </row>
    <row r="174" spans="1:5" x14ac:dyDescent="0.2">
      <c r="A174" s="272">
        <v>45873.736967592595</v>
      </c>
      <c r="B174" t="s">
        <v>607</v>
      </c>
      <c r="C174" t="s">
        <v>13</v>
      </c>
      <c r="D174" t="s">
        <v>761</v>
      </c>
    </row>
    <row r="175" spans="1:5" x14ac:dyDescent="0.2">
      <c r="A175" s="272">
        <v>45873.737025462964</v>
      </c>
      <c r="B175" t="s">
        <v>607</v>
      </c>
      <c r="C175" t="s">
        <v>13</v>
      </c>
      <c r="D175" t="s">
        <v>762</v>
      </c>
      <c r="E175" t="s">
        <v>378</v>
      </c>
    </row>
    <row r="176" spans="1:5" x14ac:dyDescent="0.2">
      <c r="A176" s="272">
        <v>45873.737071759257</v>
      </c>
      <c r="B176" t="s">
        <v>607</v>
      </c>
      <c r="C176" t="s">
        <v>13</v>
      </c>
      <c r="D176" t="s">
        <v>763</v>
      </c>
      <c r="E176">
        <v>5</v>
      </c>
    </row>
    <row r="177" spans="1:5" x14ac:dyDescent="0.2">
      <c r="A177" s="272">
        <v>45873.737129629626</v>
      </c>
      <c r="B177" t="s">
        <v>607</v>
      </c>
      <c r="C177" t="s">
        <v>13</v>
      </c>
      <c r="D177" t="s">
        <v>764</v>
      </c>
    </row>
    <row r="178" spans="1:5" x14ac:dyDescent="0.2">
      <c r="A178" s="272">
        <v>45873.737164351849</v>
      </c>
      <c r="B178" t="s">
        <v>607</v>
      </c>
      <c r="C178" t="s">
        <v>13</v>
      </c>
      <c r="D178" t="s">
        <v>765</v>
      </c>
    </row>
    <row r="179" spans="1:5" x14ac:dyDescent="0.2">
      <c r="A179" s="272">
        <v>45873.737303240741</v>
      </c>
      <c r="B179" t="s">
        <v>607</v>
      </c>
      <c r="C179" t="s">
        <v>13</v>
      </c>
      <c r="D179" t="s">
        <v>766</v>
      </c>
      <c r="E179" t="s">
        <v>378</v>
      </c>
    </row>
    <row r="180" spans="1:5" x14ac:dyDescent="0.2">
      <c r="A180" s="272">
        <v>45873.737349537034</v>
      </c>
      <c r="B180" t="s">
        <v>607</v>
      </c>
      <c r="C180" t="s">
        <v>13</v>
      </c>
      <c r="D180" t="s">
        <v>767</v>
      </c>
    </row>
    <row r="181" spans="1:5" x14ac:dyDescent="0.2">
      <c r="A181" s="272">
        <v>45873.73741898148</v>
      </c>
      <c r="B181" t="s">
        <v>607</v>
      </c>
      <c r="C181" t="s">
        <v>13</v>
      </c>
      <c r="D181" t="s">
        <v>768</v>
      </c>
      <c r="E181" t="s">
        <v>189</v>
      </c>
    </row>
    <row r="182" spans="1:5" x14ac:dyDescent="0.2">
      <c r="A182" s="272">
        <v>45873.737476851849</v>
      </c>
      <c r="B182" t="s">
        <v>607</v>
      </c>
      <c r="C182" t="s">
        <v>13</v>
      </c>
      <c r="D182" t="s">
        <v>769</v>
      </c>
    </row>
    <row r="183" spans="1:5" x14ac:dyDescent="0.2">
      <c r="A183" s="272">
        <v>45873.737581018519</v>
      </c>
      <c r="B183" t="s">
        <v>607</v>
      </c>
      <c r="C183" t="s">
        <v>13</v>
      </c>
      <c r="D183" t="s">
        <v>770</v>
      </c>
      <c r="E183" t="s">
        <v>49</v>
      </c>
    </row>
    <row r="184" spans="1:5" x14ac:dyDescent="0.2">
      <c r="A184" s="272">
        <v>45874.37263888889</v>
      </c>
      <c r="B184" t="s">
        <v>771</v>
      </c>
      <c r="C184" t="s">
        <v>612</v>
      </c>
      <c r="D184" t="s">
        <v>772</v>
      </c>
      <c r="E184" t="s">
        <v>43</v>
      </c>
    </row>
    <row r="185" spans="1:5" x14ac:dyDescent="0.2">
      <c r="A185" s="272">
        <v>45874.37263888889</v>
      </c>
      <c r="B185" t="s">
        <v>771</v>
      </c>
      <c r="C185" t="s">
        <v>612</v>
      </c>
      <c r="D185" t="s">
        <v>671</v>
      </c>
      <c r="E185" t="s">
        <v>43</v>
      </c>
    </row>
    <row r="186" spans="1:5" x14ac:dyDescent="0.2">
      <c r="A186" s="272">
        <v>45874.37263888889</v>
      </c>
      <c r="B186" t="s">
        <v>771</v>
      </c>
      <c r="C186" t="s">
        <v>612</v>
      </c>
      <c r="D186" t="s">
        <v>669</v>
      </c>
      <c r="E186" t="s">
        <v>43</v>
      </c>
    </row>
    <row r="187" spans="1:5" x14ac:dyDescent="0.2">
      <c r="A187" s="272">
        <v>45874.37263888889</v>
      </c>
      <c r="B187" t="s">
        <v>771</v>
      </c>
      <c r="C187" t="s">
        <v>612</v>
      </c>
      <c r="D187" t="s">
        <v>773</v>
      </c>
      <c r="E187" t="s">
        <v>43</v>
      </c>
    </row>
    <row r="188" spans="1:5" x14ac:dyDescent="0.2">
      <c r="A188" s="272">
        <v>45874.37263888889</v>
      </c>
      <c r="B188" t="s">
        <v>771</v>
      </c>
      <c r="C188" t="s">
        <v>612</v>
      </c>
      <c r="D188" t="s">
        <v>664</v>
      </c>
      <c r="E188" t="s">
        <v>43</v>
      </c>
    </row>
    <row r="189" spans="1:5" x14ac:dyDescent="0.2">
      <c r="A189" s="272">
        <v>45874.372650462959</v>
      </c>
      <c r="B189" t="s">
        <v>771</v>
      </c>
      <c r="C189" t="s">
        <v>612</v>
      </c>
      <c r="D189" t="s">
        <v>661</v>
      </c>
      <c r="E189" t="s">
        <v>43</v>
      </c>
    </row>
    <row r="190" spans="1:5" x14ac:dyDescent="0.2">
      <c r="A190" s="272">
        <v>45874.372650462959</v>
      </c>
      <c r="B190" t="s">
        <v>771</v>
      </c>
      <c r="C190" t="s">
        <v>612</v>
      </c>
      <c r="D190" t="s">
        <v>660</v>
      </c>
      <c r="E190" t="s">
        <v>43</v>
      </c>
    </row>
    <row r="191" spans="1:5" x14ac:dyDescent="0.2">
      <c r="A191" s="272">
        <v>45874.385277777779</v>
      </c>
      <c r="B191" t="s">
        <v>771</v>
      </c>
      <c r="C191" t="s">
        <v>626</v>
      </c>
      <c r="D191" t="s">
        <v>774</v>
      </c>
      <c r="E191" t="s">
        <v>775</v>
      </c>
    </row>
    <row r="192" spans="1:5" x14ac:dyDescent="0.2">
      <c r="A192" s="272">
        <v>45874.432812500003</v>
      </c>
      <c r="B192" t="s">
        <v>771</v>
      </c>
      <c r="C192" t="s">
        <v>626</v>
      </c>
      <c r="D192" t="s">
        <v>776</v>
      </c>
    </row>
    <row r="193" spans="1:5" x14ac:dyDescent="0.2">
      <c r="A193" s="272">
        <v>45874.432812500003</v>
      </c>
      <c r="B193" t="s">
        <v>771</v>
      </c>
      <c r="C193" t="s">
        <v>626</v>
      </c>
      <c r="D193" t="s">
        <v>777</v>
      </c>
      <c r="E193" t="s">
        <v>42</v>
      </c>
    </row>
    <row r="194" spans="1:5" x14ac:dyDescent="0.2">
      <c r="A194" s="272">
        <v>45874.460486111115</v>
      </c>
      <c r="B194" t="s">
        <v>771</v>
      </c>
      <c r="C194" t="s">
        <v>626</v>
      </c>
      <c r="D194" t="s">
        <v>774</v>
      </c>
      <c r="E194" t="s">
        <v>778</v>
      </c>
    </row>
    <row r="195" spans="1:5" x14ac:dyDescent="0.2">
      <c r="A195" s="272">
        <v>45874.461006944446</v>
      </c>
      <c r="B195" t="s">
        <v>771</v>
      </c>
      <c r="C195" t="s">
        <v>626</v>
      </c>
      <c r="D195" t="s">
        <v>779</v>
      </c>
      <c r="E195" t="s">
        <v>780</v>
      </c>
    </row>
    <row r="196" spans="1:5" x14ac:dyDescent="0.2">
      <c r="A196" s="272">
        <v>45874.463275462964</v>
      </c>
      <c r="B196" t="s">
        <v>771</v>
      </c>
      <c r="C196" t="s">
        <v>626</v>
      </c>
      <c r="D196" t="s">
        <v>779</v>
      </c>
      <c r="E196" t="s">
        <v>781</v>
      </c>
    </row>
    <row r="197" spans="1:5" x14ac:dyDescent="0.2">
      <c r="A197" s="272">
        <v>45874.463483796295</v>
      </c>
      <c r="B197" t="s">
        <v>771</v>
      </c>
      <c r="C197" t="s">
        <v>626</v>
      </c>
      <c r="D197" t="s">
        <v>782</v>
      </c>
      <c r="E197" t="s">
        <v>783</v>
      </c>
    </row>
    <row r="198" spans="1:5" x14ac:dyDescent="0.2">
      <c r="A198" s="272">
        <v>45874.463854166665</v>
      </c>
      <c r="B198" t="s">
        <v>771</v>
      </c>
      <c r="C198" t="s">
        <v>626</v>
      </c>
      <c r="D198" t="s">
        <v>782</v>
      </c>
      <c r="E198" t="s">
        <v>61</v>
      </c>
    </row>
    <row r="199" spans="1:5" x14ac:dyDescent="0.2">
      <c r="A199" s="272">
        <v>45874.464513888888</v>
      </c>
      <c r="B199" t="s">
        <v>771</v>
      </c>
      <c r="C199" t="s">
        <v>626</v>
      </c>
      <c r="D199" t="s">
        <v>637</v>
      </c>
      <c r="E199" t="s">
        <v>784</v>
      </c>
    </row>
    <row r="200" spans="1:5" x14ac:dyDescent="0.2">
      <c r="A200" s="272">
        <v>45874.46502314815</v>
      </c>
      <c r="B200" t="s">
        <v>771</v>
      </c>
      <c r="C200" t="s">
        <v>626</v>
      </c>
      <c r="D200" t="s">
        <v>779</v>
      </c>
      <c r="E200" t="s">
        <v>785</v>
      </c>
    </row>
    <row r="201" spans="1:5" x14ac:dyDescent="0.2">
      <c r="A201" s="272">
        <v>45874.465856481482</v>
      </c>
      <c r="B201" t="s">
        <v>771</v>
      </c>
      <c r="C201" t="s">
        <v>626</v>
      </c>
      <c r="D201" t="s">
        <v>779</v>
      </c>
      <c r="E201" t="s">
        <v>59</v>
      </c>
    </row>
    <row r="202" spans="1:5" x14ac:dyDescent="0.2">
      <c r="A202" s="272">
        <v>45874.473310185182</v>
      </c>
      <c r="B202" t="s">
        <v>771</v>
      </c>
      <c r="C202" t="s">
        <v>17</v>
      </c>
      <c r="D202" t="s">
        <v>747</v>
      </c>
    </row>
    <row r="203" spans="1:5" x14ac:dyDescent="0.2">
      <c r="A203" s="272">
        <v>45874.473333333335</v>
      </c>
      <c r="B203" t="s">
        <v>771</v>
      </c>
      <c r="C203" t="s">
        <v>17</v>
      </c>
      <c r="D203" t="s">
        <v>748</v>
      </c>
    </row>
    <row r="204" spans="1:5" x14ac:dyDescent="0.2">
      <c r="A204" s="272">
        <v>45874.473356481481</v>
      </c>
      <c r="B204" t="s">
        <v>771</v>
      </c>
      <c r="C204" t="s">
        <v>17</v>
      </c>
      <c r="D204" t="s">
        <v>749</v>
      </c>
    </row>
    <row r="205" spans="1:5" x14ac:dyDescent="0.2">
      <c r="A205" s="272">
        <v>45874.473379629628</v>
      </c>
      <c r="B205" t="s">
        <v>771</v>
      </c>
      <c r="C205" t="s">
        <v>17</v>
      </c>
      <c r="D205" t="s">
        <v>750</v>
      </c>
    </row>
    <row r="206" spans="1:5" x14ac:dyDescent="0.2">
      <c r="A206" s="272">
        <v>45874.473391203705</v>
      </c>
      <c r="B206" t="s">
        <v>771</v>
      </c>
      <c r="C206" t="s">
        <v>17</v>
      </c>
      <c r="D206" t="s">
        <v>751</v>
      </c>
    </row>
    <row r="207" spans="1:5" x14ac:dyDescent="0.2">
      <c r="A207" s="272">
        <v>45874.473530092589</v>
      </c>
      <c r="B207" t="s">
        <v>771</v>
      </c>
      <c r="C207" t="s">
        <v>17</v>
      </c>
      <c r="D207" t="s">
        <v>786</v>
      </c>
      <c r="E207" t="s">
        <v>186</v>
      </c>
    </row>
    <row r="208" spans="1:5" x14ac:dyDescent="0.2">
      <c r="A208" s="272">
        <v>45874.473530092589</v>
      </c>
      <c r="B208" t="s">
        <v>771</v>
      </c>
      <c r="C208" t="s">
        <v>17</v>
      </c>
      <c r="D208" t="s">
        <v>787</v>
      </c>
      <c r="E208" t="s">
        <v>42</v>
      </c>
    </row>
    <row r="209" spans="1:5" x14ac:dyDescent="0.2">
      <c r="A209" s="272">
        <v>45874.473749999997</v>
      </c>
      <c r="B209" t="s">
        <v>771</v>
      </c>
      <c r="C209" t="s">
        <v>17</v>
      </c>
      <c r="D209" t="s">
        <v>788</v>
      </c>
    </row>
    <row r="210" spans="1:5" x14ac:dyDescent="0.2">
      <c r="A210" s="272">
        <v>45874.473749999997</v>
      </c>
      <c r="B210" t="s">
        <v>771</v>
      </c>
      <c r="C210" t="s">
        <v>17</v>
      </c>
      <c r="D210" t="s">
        <v>789</v>
      </c>
      <c r="E210" t="s">
        <v>177</v>
      </c>
    </row>
    <row r="211" spans="1:5" x14ac:dyDescent="0.2">
      <c r="A211" s="272">
        <v>45874.474108796298</v>
      </c>
      <c r="B211" t="s">
        <v>771</v>
      </c>
      <c r="C211" t="s">
        <v>2</v>
      </c>
      <c r="D211" t="s">
        <v>790</v>
      </c>
      <c r="E211">
        <v>2024</v>
      </c>
    </row>
    <row r="212" spans="1:5" x14ac:dyDescent="0.2">
      <c r="A212" s="272">
        <v>45874.474259259259</v>
      </c>
      <c r="B212" t="s">
        <v>771</v>
      </c>
      <c r="C212" t="s">
        <v>2</v>
      </c>
      <c r="D212" t="s">
        <v>790</v>
      </c>
    </row>
    <row r="213" spans="1:5" x14ac:dyDescent="0.2">
      <c r="A213" s="272">
        <v>45874.474386574075</v>
      </c>
      <c r="B213" t="s">
        <v>771</v>
      </c>
      <c r="C213" t="s">
        <v>17</v>
      </c>
      <c r="D213" t="s">
        <v>791</v>
      </c>
      <c r="E213" t="s">
        <v>792</v>
      </c>
    </row>
    <row r="214" spans="1:5" x14ac:dyDescent="0.2">
      <c r="A214" s="272">
        <v>45874.474814814814</v>
      </c>
      <c r="B214" t="s">
        <v>771</v>
      </c>
      <c r="C214" t="s">
        <v>17</v>
      </c>
      <c r="D214" t="s">
        <v>791</v>
      </c>
      <c r="E214" t="s">
        <v>793</v>
      </c>
    </row>
    <row r="215" spans="1:5" x14ac:dyDescent="0.2">
      <c r="A215" s="272">
        <v>45874.476215277777</v>
      </c>
      <c r="B215" t="s">
        <v>771</v>
      </c>
      <c r="C215" t="s">
        <v>17</v>
      </c>
      <c r="D215" t="s">
        <v>794</v>
      </c>
    </row>
    <row r="216" spans="1:5" x14ac:dyDescent="0.2">
      <c r="A216" s="272">
        <v>45874.476284722223</v>
      </c>
      <c r="B216" t="s">
        <v>771</v>
      </c>
      <c r="C216" t="s">
        <v>17</v>
      </c>
      <c r="D216" t="s">
        <v>794</v>
      </c>
      <c r="E216" t="s">
        <v>26</v>
      </c>
    </row>
    <row r="217" spans="1:5" x14ac:dyDescent="0.2">
      <c r="A217" s="272">
        <v>45874.476377314815</v>
      </c>
      <c r="B217" t="s">
        <v>771</v>
      </c>
      <c r="C217" t="s">
        <v>13</v>
      </c>
      <c r="D217" t="s">
        <v>794</v>
      </c>
      <c r="E217" t="s">
        <v>26</v>
      </c>
    </row>
    <row r="218" spans="1:5" x14ac:dyDescent="0.2">
      <c r="A218" s="272">
        <v>45874.476412037038</v>
      </c>
      <c r="B218" t="s">
        <v>771</v>
      </c>
      <c r="C218" t="s">
        <v>8</v>
      </c>
      <c r="D218" t="s">
        <v>794</v>
      </c>
      <c r="E218" t="s">
        <v>26</v>
      </c>
    </row>
    <row r="219" spans="1:5" x14ac:dyDescent="0.2">
      <c r="A219" s="272">
        <v>45874.476435185185</v>
      </c>
      <c r="B219" t="s">
        <v>771</v>
      </c>
      <c r="C219" t="s">
        <v>106</v>
      </c>
      <c r="D219" t="s">
        <v>794</v>
      </c>
      <c r="E219" t="s">
        <v>26</v>
      </c>
    </row>
    <row r="220" spans="1:5" x14ac:dyDescent="0.2">
      <c r="A220" s="272">
        <v>45874.476469907408</v>
      </c>
      <c r="B220" t="s">
        <v>771</v>
      </c>
      <c r="C220" t="s">
        <v>658</v>
      </c>
      <c r="D220" t="s">
        <v>794</v>
      </c>
      <c r="E220" t="s">
        <v>26</v>
      </c>
    </row>
    <row r="221" spans="1:5" x14ac:dyDescent="0.2">
      <c r="A221" s="272">
        <v>45874.476504629631</v>
      </c>
      <c r="B221" t="s">
        <v>771</v>
      </c>
      <c r="C221" t="s">
        <v>28</v>
      </c>
      <c r="D221" t="s">
        <v>794</v>
      </c>
      <c r="E221" t="s">
        <v>26</v>
      </c>
    </row>
    <row r="222" spans="1:5" x14ac:dyDescent="0.2">
      <c r="A222" s="272">
        <v>45874.476539351854</v>
      </c>
      <c r="B222" t="s">
        <v>771</v>
      </c>
      <c r="C222" t="s">
        <v>29</v>
      </c>
      <c r="D222" t="s">
        <v>794</v>
      </c>
      <c r="E222" t="s">
        <v>26</v>
      </c>
    </row>
    <row r="223" spans="1:5" x14ac:dyDescent="0.2">
      <c r="A223" s="272">
        <v>45874.477106481485</v>
      </c>
      <c r="B223" t="s">
        <v>771</v>
      </c>
      <c r="C223" t="s">
        <v>17</v>
      </c>
      <c r="D223" t="s">
        <v>795</v>
      </c>
    </row>
    <row r="224" spans="1:5" x14ac:dyDescent="0.2">
      <c r="A224" s="272">
        <v>45874.477106481485</v>
      </c>
      <c r="B224" t="s">
        <v>771</v>
      </c>
      <c r="C224" t="s">
        <v>17</v>
      </c>
      <c r="D224" t="s">
        <v>796</v>
      </c>
      <c r="E224" t="s">
        <v>219</v>
      </c>
    </row>
    <row r="225" spans="1:5" x14ac:dyDescent="0.2">
      <c r="A225" s="272">
        <v>45874.477303240739</v>
      </c>
      <c r="B225" t="s">
        <v>771</v>
      </c>
      <c r="C225" t="s">
        <v>17</v>
      </c>
      <c r="D225" t="s">
        <v>797</v>
      </c>
    </row>
    <row r="226" spans="1:5" x14ac:dyDescent="0.2">
      <c r="A226" s="272">
        <v>45874.477303240739</v>
      </c>
      <c r="B226" t="s">
        <v>771</v>
      </c>
      <c r="C226" t="s">
        <v>17</v>
      </c>
      <c r="D226" t="s">
        <v>798</v>
      </c>
      <c r="E226" t="s">
        <v>221</v>
      </c>
    </row>
    <row r="227" spans="1:5" x14ac:dyDescent="0.2">
      <c r="A227" s="272">
        <v>45874.47761574074</v>
      </c>
      <c r="B227" t="s">
        <v>771</v>
      </c>
      <c r="C227" t="s">
        <v>17</v>
      </c>
      <c r="D227" t="s">
        <v>799</v>
      </c>
    </row>
    <row r="228" spans="1:5" x14ac:dyDescent="0.2">
      <c r="A228" s="272">
        <v>45874.478136574071</v>
      </c>
      <c r="B228" t="s">
        <v>771</v>
      </c>
      <c r="C228" t="s">
        <v>17</v>
      </c>
      <c r="D228" t="s">
        <v>800</v>
      </c>
    </row>
    <row r="229" spans="1:5" x14ac:dyDescent="0.2">
      <c r="A229" s="272">
        <v>45874.478136574071</v>
      </c>
      <c r="B229" t="s">
        <v>771</v>
      </c>
      <c r="C229" t="s">
        <v>17</v>
      </c>
      <c r="D229" t="s">
        <v>801</v>
      </c>
      <c r="E229" t="s">
        <v>208</v>
      </c>
    </row>
    <row r="230" spans="1:5" x14ac:dyDescent="0.2">
      <c r="A230" s="272">
        <v>45874.478148148148</v>
      </c>
      <c r="B230" t="s">
        <v>771</v>
      </c>
      <c r="C230" t="s">
        <v>17</v>
      </c>
      <c r="D230" t="s">
        <v>802</v>
      </c>
      <c r="E230" t="s">
        <v>687</v>
      </c>
    </row>
    <row r="231" spans="1:5" x14ac:dyDescent="0.2">
      <c r="A231" s="272">
        <v>45874.478171296294</v>
      </c>
      <c r="B231" t="s">
        <v>771</v>
      </c>
      <c r="C231" t="s">
        <v>17</v>
      </c>
      <c r="D231" t="s">
        <v>802</v>
      </c>
      <c r="E231" t="s">
        <v>208</v>
      </c>
    </row>
    <row r="232" spans="1:5" x14ac:dyDescent="0.2">
      <c r="A232" s="272">
        <v>45874.478217592594</v>
      </c>
      <c r="B232" t="s">
        <v>771</v>
      </c>
      <c r="C232" t="s">
        <v>17</v>
      </c>
      <c r="D232" t="s">
        <v>803</v>
      </c>
    </row>
    <row r="233" spans="1:5" x14ac:dyDescent="0.2">
      <c r="A233" s="272">
        <v>45874.478217592594</v>
      </c>
      <c r="B233" t="s">
        <v>771</v>
      </c>
      <c r="C233" t="s">
        <v>17</v>
      </c>
      <c r="D233" t="s">
        <v>804</v>
      </c>
      <c r="E233" t="s">
        <v>215</v>
      </c>
    </row>
    <row r="234" spans="1:5" x14ac:dyDescent="0.2">
      <c r="A234" s="272">
        <v>45874.478252314817</v>
      </c>
      <c r="B234" t="s">
        <v>771</v>
      </c>
      <c r="C234" t="s">
        <v>17</v>
      </c>
      <c r="D234" t="s">
        <v>805</v>
      </c>
    </row>
    <row r="235" spans="1:5" x14ac:dyDescent="0.2">
      <c r="A235" s="272">
        <v>45874.478252314817</v>
      </c>
      <c r="B235" t="s">
        <v>771</v>
      </c>
      <c r="C235" t="s">
        <v>17</v>
      </c>
      <c r="D235" t="s">
        <v>806</v>
      </c>
      <c r="E235" t="s">
        <v>229</v>
      </c>
    </row>
    <row r="236" spans="1:5" x14ac:dyDescent="0.2">
      <c r="A236" s="272">
        <v>45874.479872685188</v>
      </c>
      <c r="B236" t="s">
        <v>771</v>
      </c>
      <c r="C236" t="s">
        <v>17</v>
      </c>
      <c r="D236" t="s">
        <v>807</v>
      </c>
    </row>
    <row r="237" spans="1:5" x14ac:dyDescent="0.2">
      <c r="A237" s="272">
        <v>45874.479942129627</v>
      </c>
      <c r="B237" t="s">
        <v>771</v>
      </c>
      <c r="C237" t="s">
        <v>17</v>
      </c>
      <c r="D237" t="s">
        <v>808</v>
      </c>
      <c r="E237">
        <v>1</v>
      </c>
    </row>
    <row r="238" spans="1:5" x14ac:dyDescent="0.2">
      <c r="A238" s="272">
        <v>45874.47996527778</v>
      </c>
      <c r="B238" t="s">
        <v>771</v>
      </c>
      <c r="C238" t="s">
        <v>17</v>
      </c>
      <c r="D238" t="s">
        <v>808</v>
      </c>
    </row>
    <row r="239" spans="1:5" x14ac:dyDescent="0.2">
      <c r="A239" s="272">
        <v>45874.479988425926</v>
      </c>
      <c r="B239" t="s">
        <v>771</v>
      </c>
      <c r="C239" t="s">
        <v>17</v>
      </c>
      <c r="D239" t="s">
        <v>809</v>
      </c>
    </row>
    <row r="240" spans="1:5" x14ac:dyDescent="0.2">
      <c r="A240" s="272">
        <v>45874.48</v>
      </c>
      <c r="B240" t="s">
        <v>771</v>
      </c>
      <c r="C240" t="s">
        <v>17</v>
      </c>
      <c r="D240" t="s">
        <v>809</v>
      </c>
    </row>
    <row r="241" spans="1:5" x14ac:dyDescent="0.2">
      <c r="A241" s="272">
        <v>45874.480023148149</v>
      </c>
      <c r="B241" t="s">
        <v>771</v>
      </c>
      <c r="C241" t="s">
        <v>17</v>
      </c>
      <c r="D241" t="s">
        <v>809</v>
      </c>
      <c r="E241" t="s">
        <v>208</v>
      </c>
    </row>
    <row r="242" spans="1:5" x14ac:dyDescent="0.2">
      <c r="A242" s="272">
        <v>45874.480081018519</v>
      </c>
      <c r="B242" t="s">
        <v>771</v>
      </c>
      <c r="C242" t="s">
        <v>17</v>
      </c>
      <c r="D242" t="s">
        <v>810</v>
      </c>
      <c r="E242" t="s">
        <v>208</v>
      </c>
    </row>
    <row r="243" spans="1:5" x14ac:dyDescent="0.2">
      <c r="A243" s="272">
        <v>45874.480162037034</v>
      </c>
      <c r="B243" t="s">
        <v>771</v>
      </c>
      <c r="C243" t="s">
        <v>17</v>
      </c>
      <c r="D243" t="s">
        <v>811</v>
      </c>
    </row>
    <row r="244" spans="1:5" x14ac:dyDescent="0.2">
      <c r="A244" s="272">
        <v>45874.480208333334</v>
      </c>
      <c r="B244" t="s">
        <v>771</v>
      </c>
      <c r="C244" t="s">
        <v>17</v>
      </c>
      <c r="D244" t="s">
        <v>812</v>
      </c>
    </row>
    <row r="245" spans="1:5" x14ac:dyDescent="0.2">
      <c r="A245" s="272">
        <v>45874.480312500003</v>
      </c>
      <c r="B245" t="s">
        <v>771</v>
      </c>
      <c r="C245" t="s">
        <v>17</v>
      </c>
      <c r="D245" t="s">
        <v>813</v>
      </c>
      <c r="E245" t="s">
        <v>189</v>
      </c>
    </row>
    <row r="246" spans="1:5" x14ac:dyDescent="0.2">
      <c r="A246" s="272">
        <v>45874.613298611112</v>
      </c>
      <c r="B246" t="s">
        <v>771</v>
      </c>
      <c r="C246" t="s">
        <v>106</v>
      </c>
      <c r="D246" t="s">
        <v>747</v>
      </c>
    </row>
    <row r="247" spans="1:5" x14ac:dyDescent="0.2">
      <c r="A247" s="272">
        <v>45874.613321759258</v>
      </c>
      <c r="B247" t="s">
        <v>771</v>
      </c>
      <c r="C247" t="s">
        <v>106</v>
      </c>
      <c r="D247" t="s">
        <v>748</v>
      </c>
    </row>
    <row r="248" spans="1:5" x14ac:dyDescent="0.2">
      <c r="A248" s="272">
        <v>45874.613344907404</v>
      </c>
      <c r="B248" t="s">
        <v>771</v>
      </c>
      <c r="C248" t="s">
        <v>106</v>
      </c>
      <c r="D248" t="s">
        <v>749</v>
      </c>
    </row>
    <row r="249" spans="1:5" x14ac:dyDescent="0.2">
      <c r="A249" s="272">
        <v>45874.613368055558</v>
      </c>
      <c r="B249" t="s">
        <v>771</v>
      </c>
      <c r="C249" t="s">
        <v>106</v>
      </c>
      <c r="D249" t="s">
        <v>750</v>
      </c>
    </row>
    <row r="250" spans="1:5" x14ac:dyDescent="0.2">
      <c r="A250" s="272">
        <v>45874.613391203704</v>
      </c>
      <c r="B250" t="s">
        <v>771</v>
      </c>
      <c r="C250" t="s">
        <v>106</v>
      </c>
      <c r="D250" t="s">
        <v>751</v>
      </c>
    </row>
    <row r="251" spans="1:5" x14ac:dyDescent="0.2">
      <c r="A251" s="272">
        <v>45874.613530092596</v>
      </c>
      <c r="B251" t="s">
        <v>771</v>
      </c>
      <c r="C251" t="s">
        <v>106</v>
      </c>
      <c r="D251" t="s">
        <v>814</v>
      </c>
      <c r="E251" t="s">
        <v>186</v>
      </c>
    </row>
    <row r="252" spans="1:5" x14ac:dyDescent="0.2">
      <c r="A252" s="272">
        <v>45874.613530092596</v>
      </c>
      <c r="B252" t="s">
        <v>771</v>
      </c>
      <c r="C252" t="s">
        <v>106</v>
      </c>
      <c r="D252" t="s">
        <v>815</v>
      </c>
      <c r="E252" t="s">
        <v>42</v>
      </c>
    </row>
    <row r="253" spans="1:5" x14ac:dyDescent="0.2">
      <c r="A253" s="272">
        <v>45874.614178240743</v>
      </c>
      <c r="B253" t="s">
        <v>771</v>
      </c>
      <c r="C253" t="s">
        <v>106</v>
      </c>
      <c r="D253" t="s">
        <v>816</v>
      </c>
    </row>
    <row r="254" spans="1:5" x14ac:dyDescent="0.2">
      <c r="A254" s="272">
        <v>45874.614247685182</v>
      </c>
      <c r="B254" t="s">
        <v>771</v>
      </c>
      <c r="C254" t="s">
        <v>106</v>
      </c>
      <c r="D254" t="s">
        <v>817</v>
      </c>
      <c r="E254" t="s">
        <v>341</v>
      </c>
    </row>
    <row r="255" spans="1:5" x14ac:dyDescent="0.2">
      <c r="A255" s="272">
        <v>45874.614317129628</v>
      </c>
      <c r="B255" t="s">
        <v>771</v>
      </c>
      <c r="C255" t="s">
        <v>106</v>
      </c>
      <c r="D255" t="s">
        <v>818</v>
      </c>
    </row>
    <row r="256" spans="1:5" x14ac:dyDescent="0.2">
      <c r="A256" s="272">
        <v>45874.614374999997</v>
      </c>
      <c r="B256" t="s">
        <v>771</v>
      </c>
      <c r="C256" t="s">
        <v>106</v>
      </c>
      <c r="D256" t="s">
        <v>819</v>
      </c>
    </row>
    <row r="257" spans="1:5" x14ac:dyDescent="0.2">
      <c r="A257" s="272">
        <v>45874.6169212963</v>
      </c>
      <c r="B257" t="s">
        <v>771</v>
      </c>
      <c r="C257" t="s">
        <v>106</v>
      </c>
      <c r="D257" t="s">
        <v>820</v>
      </c>
      <c r="E257" t="s">
        <v>189</v>
      </c>
    </row>
    <row r="258" spans="1:5" x14ac:dyDescent="0.2">
      <c r="A258" s="272">
        <v>45874.62327546296</v>
      </c>
      <c r="B258" t="s">
        <v>771</v>
      </c>
      <c r="C258" t="s">
        <v>658</v>
      </c>
      <c r="D258" t="s">
        <v>821</v>
      </c>
    </row>
    <row r="259" spans="1:5" x14ac:dyDescent="0.2">
      <c r="A259" s="272">
        <v>45874.623425925929</v>
      </c>
      <c r="B259" t="s">
        <v>771</v>
      </c>
      <c r="C259" t="s">
        <v>658</v>
      </c>
      <c r="D259" t="s">
        <v>747</v>
      </c>
    </row>
    <row r="260" spans="1:5" x14ac:dyDescent="0.2">
      <c r="A260" s="272">
        <v>45874.623449074075</v>
      </c>
      <c r="B260" t="s">
        <v>771</v>
      </c>
      <c r="C260" t="s">
        <v>658</v>
      </c>
      <c r="D260" t="s">
        <v>748</v>
      </c>
    </row>
    <row r="261" spans="1:5" x14ac:dyDescent="0.2">
      <c r="A261" s="272">
        <v>45874.623472222222</v>
      </c>
      <c r="B261" t="s">
        <v>771</v>
      </c>
      <c r="C261" t="s">
        <v>658</v>
      </c>
      <c r="D261" t="s">
        <v>749</v>
      </c>
    </row>
    <row r="262" spans="1:5" x14ac:dyDescent="0.2">
      <c r="A262" s="272">
        <v>45874.623495370368</v>
      </c>
      <c r="B262" t="s">
        <v>771</v>
      </c>
      <c r="C262" t="s">
        <v>658</v>
      </c>
      <c r="D262" t="s">
        <v>750</v>
      </c>
    </row>
    <row r="263" spans="1:5" x14ac:dyDescent="0.2">
      <c r="A263" s="272">
        <v>45874.623518518521</v>
      </c>
      <c r="B263" t="s">
        <v>771</v>
      </c>
      <c r="C263" t="s">
        <v>658</v>
      </c>
      <c r="D263" t="s">
        <v>751</v>
      </c>
    </row>
    <row r="264" spans="1:5" x14ac:dyDescent="0.2">
      <c r="A264" s="272">
        <v>45874.623668981483</v>
      </c>
      <c r="B264" t="s">
        <v>771</v>
      </c>
      <c r="C264" t="s">
        <v>658</v>
      </c>
      <c r="D264" t="s">
        <v>822</v>
      </c>
    </row>
    <row r="265" spans="1:5" x14ac:dyDescent="0.2">
      <c r="A265" s="272">
        <v>45874.623668981483</v>
      </c>
      <c r="B265" t="s">
        <v>771</v>
      </c>
      <c r="C265" t="s">
        <v>658</v>
      </c>
      <c r="D265" t="s">
        <v>823</v>
      </c>
      <c r="E265" t="s">
        <v>177</v>
      </c>
    </row>
    <row r="266" spans="1:5" x14ac:dyDescent="0.2">
      <c r="A266" s="272">
        <v>45874.62641203704</v>
      </c>
      <c r="B266" t="s">
        <v>771</v>
      </c>
      <c r="C266" t="s">
        <v>13</v>
      </c>
      <c r="D266" t="s">
        <v>726</v>
      </c>
    </row>
    <row r="267" spans="1:5" x14ac:dyDescent="0.2">
      <c r="A267" s="272">
        <v>45874.636817129627</v>
      </c>
      <c r="B267" t="s">
        <v>771</v>
      </c>
      <c r="C267" t="s">
        <v>8</v>
      </c>
      <c r="D267" t="s">
        <v>824</v>
      </c>
      <c r="E267" t="s">
        <v>171</v>
      </c>
    </row>
    <row r="268" spans="1:5" x14ac:dyDescent="0.2">
      <c r="A268" s="272">
        <v>45874.636863425927</v>
      </c>
      <c r="B268" t="s">
        <v>771</v>
      </c>
      <c r="C268" t="s">
        <v>8</v>
      </c>
      <c r="D268" t="s">
        <v>824</v>
      </c>
      <c r="E268" t="s">
        <v>171</v>
      </c>
    </row>
    <row r="269" spans="1:5" x14ac:dyDescent="0.2">
      <c r="A269" s="272">
        <v>45874.636956018519</v>
      </c>
      <c r="B269" t="s">
        <v>771</v>
      </c>
      <c r="C269" t="s">
        <v>13</v>
      </c>
      <c r="D269" t="s">
        <v>824</v>
      </c>
      <c r="E269" t="s">
        <v>190</v>
      </c>
    </row>
    <row r="270" spans="1:5" x14ac:dyDescent="0.2">
      <c r="A270" s="272">
        <v>45874.637013888889</v>
      </c>
      <c r="B270" t="s">
        <v>771</v>
      </c>
      <c r="C270" t="s">
        <v>17</v>
      </c>
      <c r="D270" t="s">
        <v>824</v>
      </c>
      <c r="E270" t="s">
        <v>201</v>
      </c>
    </row>
    <row r="271" spans="1:5" x14ac:dyDescent="0.2">
      <c r="A271" s="272">
        <v>45874.637071759258</v>
      </c>
      <c r="B271" t="s">
        <v>771</v>
      </c>
      <c r="C271" t="s">
        <v>106</v>
      </c>
      <c r="D271" t="s">
        <v>824</v>
      </c>
      <c r="E271" t="s">
        <v>825</v>
      </c>
    </row>
    <row r="272" spans="1:5" x14ac:dyDescent="0.2">
      <c r="A272" s="272">
        <v>45874.637141203704</v>
      </c>
      <c r="B272" t="s">
        <v>771</v>
      </c>
      <c r="C272" t="s">
        <v>106</v>
      </c>
      <c r="D272" t="s">
        <v>824</v>
      </c>
      <c r="E272" t="s">
        <v>232</v>
      </c>
    </row>
    <row r="273" spans="1:5" x14ac:dyDescent="0.2">
      <c r="A273" s="272">
        <v>45874.63721064815</v>
      </c>
      <c r="B273" t="s">
        <v>771</v>
      </c>
      <c r="C273" t="s">
        <v>658</v>
      </c>
      <c r="D273" t="s">
        <v>824</v>
      </c>
      <c r="E273" t="s">
        <v>232</v>
      </c>
    </row>
    <row r="274" spans="1:5" x14ac:dyDescent="0.2">
      <c r="A274" s="272">
        <v>45874.637280092589</v>
      </c>
      <c r="B274" t="s">
        <v>771</v>
      </c>
      <c r="C274" t="s">
        <v>28</v>
      </c>
      <c r="D274" t="s">
        <v>824</v>
      </c>
      <c r="E274" t="s">
        <v>246</v>
      </c>
    </row>
    <row r="275" spans="1:5" x14ac:dyDescent="0.2">
      <c r="A275" s="272">
        <v>45874.637349537035</v>
      </c>
      <c r="B275" t="s">
        <v>771</v>
      </c>
      <c r="C275" t="s">
        <v>29</v>
      </c>
      <c r="D275" t="s">
        <v>824</v>
      </c>
      <c r="E275" t="s">
        <v>826</v>
      </c>
    </row>
    <row r="276" spans="1:5" x14ac:dyDescent="0.2">
      <c r="A276" s="272">
        <v>45874.637557870374</v>
      </c>
      <c r="B276" t="s">
        <v>771</v>
      </c>
      <c r="C276" t="s">
        <v>29</v>
      </c>
      <c r="D276" t="s">
        <v>827</v>
      </c>
    </row>
    <row r="277" spans="1:5" x14ac:dyDescent="0.2">
      <c r="A277" s="272">
        <v>45874.637557870374</v>
      </c>
      <c r="B277" t="s">
        <v>771</v>
      </c>
      <c r="C277" t="s">
        <v>29</v>
      </c>
      <c r="D277" t="s">
        <v>828</v>
      </c>
      <c r="E277" t="s">
        <v>177</v>
      </c>
    </row>
    <row r="278" spans="1:5" x14ac:dyDescent="0.2">
      <c r="A278" s="272">
        <v>45874.637627314813</v>
      </c>
      <c r="B278" t="s">
        <v>771</v>
      </c>
      <c r="C278" t="s">
        <v>29</v>
      </c>
      <c r="D278" t="s">
        <v>827</v>
      </c>
      <c r="E278" t="s">
        <v>177</v>
      </c>
    </row>
    <row r="279" spans="1:5" x14ac:dyDescent="0.2">
      <c r="A279" s="272">
        <v>45874.637627314813</v>
      </c>
      <c r="B279" t="s">
        <v>771</v>
      </c>
      <c r="C279" t="s">
        <v>29</v>
      </c>
      <c r="D279" t="s">
        <v>828</v>
      </c>
    </row>
    <row r="280" spans="1:5" x14ac:dyDescent="0.2">
      <c r="A280" s="272">
        <v>45874.637638888889</v>
      </c>
      <c r="B280" t="s">
        <v>771</v>
      </c>
      <c r="C280" t="s">
        <v>29</v>
      </c>
      <c r="D280" t="s">
        <v>828</v>
      </c>
    </row>
    <row r="281" spans="1:5" x14ac:dyDescent="0.2">
      <c r="A281" s="272">
        <v>45874.637673611112</v>
      </c>
      <c r="B281" t="s">
        <v>771</v>
      </c>
      <c r="C281" t="s">
        <v>29</v>
      </c>
      <c r="D281" t="s">
        <v>829</v>
      </c>
    </row>
    <row r="282" spans="1:5" x14ac:dyDescent="0.2">
      <c r="A282" s="272">
        <v>45874.638148148151</v>
      </c>
      <c r="B282" t="s">
        <v>771</v>
      </c>
      <c r="C282" t="s">
        <v>29</v>
      </c>
      <c r="D282" t="s">
        <v>830</v>
      </c>
      <c r="E282">
        <v>8</v>
      </c>
    </row>
    <row r="283" spans="1:5" x14ac:dyDescent="0.2">
      <c r="A283" s="272">
        <v>45874.638148148151</v>
      </c>
      <c r="B283" t="s">
        <v>771</v>
      </c>
      <c r="C283" t="s">
        <v>29</v>
      </c>
      <c r="D283" t="s">
        <v>828</v>
      </c>
      <c r="E283" t="s">
        <v>177</v>
      </c>
    </row>
    <row r="284" spans="1:5" x14ac:dyDescent="0.2">
      <c r="A284" s="272">
        <v>45874.638402777775</v>
      </c>
      <c r="B284" t="s">
        <v>771</v>
      </c>
      <c r="C284" t="s">
        <v>29</v>
      </c>
      <c r="D284" t="s">
        <v>747</v>
      </c>
    </row>
    <row r="285" spans="1:5" x14ac:dyDescent="0.2">
      <c r="A285" s="272">
        <v>45874.638437499998</v>
      </c>
      <c r="B285" t="s">
        <v>771</v>
      </c>
      <c r="C285" t="s">
        <v>29</v>
      </c>
      <c r="D285" t="s">
        <v>748</v>
      </c>
    </row>
    <row r="286" spans="1:5" x14ac:dyDescent="0.2">
      <c r="A286" s="272">
        <v>45874.638483796298</v>
      </c>
      <c r="B286" t="s">
        <v>771</v>
      </c>
      <c r="C286" t="s">
        <v>29</v>
      </c>
      <c r="D286" t="s">
        <v>749</v>
      </c>
    </row>
    <row r="287" spans="1:5" x14ac:dyDescent="0.2">
      <c r="A287" s="272">
        <v>45874.638518518521</v>
      </c>
      <c r="B287" t="s">
        <v>771</v>
      </c>
      <c r="C287" t="s">
        <v>29</v>
      </c>
      <c r="D287" t="s">
        <v>750</v>
      </c>
    </row>
    <row r="288" spans="1:5" x14ac:dyDescent="0.2">
      <c r="A288" s="272">
        <v>45874.638564814813</v>
      </c>
      <c r="B288" t="s">
        <v>771</v>
      </c>
      <c r="C288" t="s">
        <v>29</v>
      </c>
      <c r="D288" t="s">
        <v>751</v>
      </c>
    </row>
    <row r="289" spans="1:5" x14ac:dyDescent="0.2">
      <c r="A289" s="272">
        <v>45874.638692129629</v>
      </c>
      <c r="B289" t="s">
        <v>771</v>
      </c>
      <c r="C289" t="s">
        <v>29</v>
      </c>
      <c r="D289" t="s">
        <v>831</v>
      </c>
      <c r="E289" t="s">
        <v>140</v>
      </c>
    </row>
    <row r="290" spans="1:5" x14ac:dyDescent="0.2">
      <c r="A290" s="272">
        <v>45874.638692129629</v>
      </c>
      <c r="B290" t="s">
        <v>771</v>
      </c>
      <c r="C290" t="s">
        <v>29</v>
      </c>
      <c r="D290" t="s">
        <v>832</v>
      </c>
      <c r="E290" t="s">
        <v>833</v>
      </c>
    </row>
    <row r="291" spans="1:5" x14ac:dyDescent="0.2">
      <c r="A291" s="272">
        <v>45874.647719907407</v>
      </c>
      <c r="B291" t="s">
        <v>771</v>
      </c>
      <c r="C291" t="s">
        <v>28</v>
      </c>
      <c r="D291" t="s">
        <v>747</v>
      </c>
    </row>
    <row r="292" spans="1:5" x14ac:dyDescent="0.2">
      <c r="A292" s="272">
        <v>45874.647766203707</v>
      </c>
      <c r="B292" t="s">
        <v>771</v>
      </c>
      <c r="C292" t="s">
        <v>28</v>
      </c>
      <c r="D292" t="s">
        <v>748</v>
      </c>
    </row>
    <row r="293" spans="1:5" x14ac:dyDescent="0.2">
      <c r="A293" s="272">
        <v>45874.647800925923</v>
      </c>
      <c r="B293" t="s">
        <v>771</v>
      </c>
      <c r="C293" t="s">
        <v>28</v>
      </c>
      <c r="D293" t="s">
        <v>749</v>
      </c>
    </row>
    <row r="294" spans="1:5" x14ac:dyDescent="0.2">
      <c r="A294" s="272">
        <v>45874.647847222222</v>
      </c>
      <c r="B294" t="s">
        <v>771</v>
      </c>
      <c r="C294" t="s">
        <v>28</v>
      </c>
      <c r="D294" t="s">
        <v>749</v>
      </c>
    </row>
    <row r="295" spans="1:5" x14ac:dyDescent="0.2">
      <c r="A295" s="272">
        <v>45874.647893518515</v>
      </c>
      <c r="B295" t="s">
        <v>771</v>
      </c>
      <c r="C295" t="s">
        <v>28</v>
      </c>
      <c r="D295" t="s">
        <v>750</v>
      </c>
    </row>
    <row r="296" spans="1:5" x14ac:dyDescent="0.2">
      <c r="A296" s="272">
        <v>45874.647939814815</v>
      </c>
      <c r="B296" t="s">
        <v>771</v>
      </c>
      <c r="C296" t="s">
        <v>28</v>
      </c>
      <c r="D296" t="s">
        <v>751</v>
      </c>
    </row>
    <row r="297" spans="1:5" x14ac:dyDescent="0.2">
      <c r="A297" s="272">
        <v>45874.64806712963</v>
      </c>
      <c r="B297" t="s">
        <v>771</v>
      </c>
      <c r="C297" t="s">
        <v>28</v>
      </c>
      <c r="D297" t="s">
        <v>834</v>
      </c>
    </row>
    <row r="298" spans="1:5" x14ac:dyDescent="0.2">
      <c r="A298" s="272">
        <v>45874.64806712963</v>
      </c>
      <c r="B298" t="s">
        <v>771</v>
      </c>
      <c r="C298" t="s">
        <v>28</v>
      </c>
      <c r="D298" t="s">
        <v>835</v>
      </c>
      <c r="E298" t="s">
        <v>123</v>
      </c>
    </row>
    <row r="299" spans="1:5" x14ac:dyDescent="0.2">
      <c r="A299" s="272">
        <v>45874.648125</v>
      </c>
      <c r="B299" t="s">
        <v>771</v>
      </c>
      <c r="C299" t="s">
        <v>28</v>
      </c>
      <c r="D299" t="s">
        <v>836</v>
      </c>
    </row>
    <row r="300" spans="1:5" x14ac:dyDescent="0.2">
      <c r="A300" s="272">
        <v>45874.658784722225</v>
      </c>
      <c r="B300" t="s">
        <v>771</v>
      </c>
      <c r="C300" t="s">
        <v>626</v>
      </c>
      <c r="D300" t="s">
        <v>837</v>
      </c>
      <c r="E300" t="s">
        <v>838</v>
      </c>
    </row>
    <row r="301" spans="1:5" x14ac:dyDescent="0.2">
      <c r="A301" s="272">
        <v>45874.658819444441</v>
      </c>
      <c r="B301" t="s">
        <v>771</v>
      </c>
      <c r="C301" t="s">
        <v>626</v>
      </c>
      <c r="D301" t="s">
        <v>837</v>
      </c>
      <c r="E301" t="s">
        <v>838</v>
      </c>
    </row>
    <row r="302" spans="1:5" x14ac:dyDescent="0.2">
      <c r="A302" s="272">
        <v>45874.708935185183</v>
      </c>
      <c r="B302" t="s">
        <v>771</v>
      </c>
      <c r="C302" t="s">
        <v>658</v>
      </c>
      <c r="D302" t="s">
        <v>839</v>
      </c>
    </row>
    <row r="303" spans="1:5" x14ac:dyDescent="0.2">
      <c r="A303" s="272">
        <v>45874.710127314815</v>
      </c>
      <c r="B303" t="s">
        <v>771</v>
      </c>
      <c r="C303" t="s">
        <v>658</v>
      </c>
      <c r="D303" t="s">
        <v>840</v>
      </c>
    </row>
    <row r="304" spans="1:5" x14ac:dyDescent="0.2">
      <c r="A304" s="272">
        <v>45874.710393518515</v>
      </c>
      <c r="B304" t="s">
        <v>771</v>
      </c>
      <c r="C304" t="s">
        <v>658</v>
      </c>
      <c r="D304" t="s">
        <v>754</v>
      </c>
    </row>
    <row r="305" spans="1:5" x14ac:dyDescent="0.2">
      <c r="A305" s="272">
        <v>45874.710393518515</v>
      </c>
      <c r="B305" t="s">
        <v>771</v>
      </c>
      <c r="C305" t="s">
        <v>658</v>
      </c>
      <c r="D305" t="s">
        <v>841</v>
      </c>
      <c r="E305" t="s">
        <v>265</v>
      </c>
    </row>
    <row r="306" spans="1:5" x14ac:dyDescent="0.2">
      <c r="A306" s="272">
        <v>45874.710428240738</v>
      </c>
      <c r="B306" t="s">
        <v>771</v>
      </c>
      <c r="C306" t="s">
        <v>658</v>
      </c>
      <c r="D306" t="s">
        <v>842</v>
      </c>
    </row>
    <row r="307" spans="1:5" x14ac:dyDescent="0.2">
      <c r="A307" s="272">
        <v>45874.710555555554</v>
      </c>
      <c r="B307" t="s">
        <v>771</v>
      </c>
      <c r="C307" t="s">
        <v>658</v>
      </c>
      <c r="D307" t="s">
        <v>737</v>
      </c>
    </row>
    <row r="308" spans="1:5" x14ac:dyDescent="0.2">
      <c r="A308" s="272">
        <v>45874.710555555554</v>
      </c>
      <c r="B308" t="s">
        <v>771</v>
      </c>
      <c r="C308" t="s">
        <v>658</v>
      </c>
      <c r="D308" t="s">
        <v>843</v>
      </c>
      <c r="E308" t="s">
        <v>260</v>
      </c>
    </row>
    <row r="309" spans="1:5" x14ac:dyDescent="0.2">
      <c r="A309" s="272">
        <v>45874.710729166669</v>
      </c>
      <c r="B309" t="s">
        <v>771</v>
      </c>
      <c r="C309" t="s">
        <v>658</v>
      </c>
      <c r="D309" t="s">
        <v>843</v>
      </c>
      <c r="E309" t="s">
        <v>263</v>
      </c>
    </row>
    <row r="310" spans="1:5" x14ac:dyDescent="0.2">
      <c r="A310" s="272">
        <v>45874.710729166669</v>
      </c>
      <c r="B310" t="s">
        <v>771</v>
      </c>
      <c r="C310" t="s">
        <v>658</v>
      </c>
      <c r="D310" t="s">
        <v>737</v>
      </c>
      <c r="E310" t="s">
        <v>260</v>
      </c>
    </row>
    <row r="311" spans="1:5" x14ac:dyDescent="0.2">
      <c r="A311" s="272">
        <v>45874.710821759261</v>
      </c>
      <c r="B311" t="s">
        <v>771</v>
      </c>
      <c r="C311" t="s">
        <v>658</v>
      </c>
      <c r="D311" t="s">
        <v>844</v>
      </c>
      <c r="E311">
        <v>1</v>
      </c>
    </row>
    <row r="312" spans="1:5" x14ac:dyDescent="0.2">
      <c r="A312" s="272">
        <v>45874.710821759261</v>
      </c>
      <c r="B312" t="s">
        <v>771</v>
      </c>
      <c r="C312" t="s">
        <v>658</v>
      </c>
      <c r="D312" t="s">
        <v>845</v>
      </c>
      <c r="E312" t="s">
        <v>177</v>
      </c>
    </row>
    <row r="313" spans="1:5" x14ac:dyDescent="0.2">
      <c r="A313" s="272">
        <v>45874.711481481485</v>
      </c>
      <c r="B313" t="s">
        <v>771</v>
      </c>
      <c r="C313" t="s">
        <v>658</v>
      </c>
      <c r="D313" t="s">
        <v>845</v>
      </c>
    </row>
    <row r="314" spans="1:5" x14ac:dyDescent="0.2">
      <c r="A314" s="272">
        <v>45874.711481481485</v>
      </c>
      <c r="B314" t="s">
        <v>771</v>
      </c>
      <c r="C314" t="s">
        <v>658</v>
      </c>
      <c r="D314" t="s">
        <v>844</v>
      </c>
      <c r="E314" t="s">
        <v>177</v>
      </c>
    </row>
    <row r="315" spans="1:5" x14ac:dyDescent="0.2">
      <c r="A315" s="272">
        <v>45874.712430555555</v>
      </c>
      <c r="B315" t="s">
        <v>771</v>
      </c>
      <c r="C315" t="s">
        <v>658</v>
      </c>
      <c r="D315" t="s">
        <v>846</v>
      </c>
      <c r="E315" t="s">
        <v>244</v>
      </c>
    </row>
    <row r="316" spans="1:5" x14ac:dyDescent="0.2">
      <c r="A316" s="272">
        <v>45874.712569444448</v>
      </c>
      <c r="B316" t="s">
        <v>771</v>
      </c>
      <c r="C316" t="s">
        <v>658</v>
      </c>
      <c r="D316" t="s">
        <v>847</v>
      </c>
      <c r="E316" t="s">
        <v>118</v>
      </c>
    </row>
    <row r="317" spans="1:5" x14ac:dyDescent="0.2">
      <c r="A317" s="272">
        <v>45874.71303240741</v>
      </c>
      <c r="B317" t="s">
        <v>771</v>
      </c>
      <c r="C317" t="s">
        <v>658</v>
      </c>
      <c r="D317" t="s">
        <v>848</v>
      </c>
    </row>
    <row r="318" spans="1:5" x14ac:dyDescent="0.2">
      <c r="A318" s="272">
        <v>45874.71303240741</v>
      </c>
      <c r="B318" t="s">
        <v>771</v>
      </c>
      <c r="C318" t="s">
        <v>658</v>
      </c>
      <c r="D318" t="s">
        <v>849</v>
      </c>
      <c r="E318" t="s">
        <v>107</v>
      </c>
    </row>
    <row r="319" spans="1:5" x14ac:dyDescent="0.2">
      <c r="A319" s="272">
        <v>45874.713101851848</v>
      </c>
      <c r="B319" t="s">
        <v>771</v>
      </c>
      <c r="C319" t="s">
        <v>658</v>
      </c>
      <c r="D319" t="s">
        <v>776</v>
      </c>
      <c r="E319" t="s">
        <v>186</v>
      </c>
    </row>
    <row r="320" spans="1:5" x14ac:dyDescent="0.2">
      <c r="A320" s="272">
        <v>45874.713101851848</v>
      </c>
      <c r="B320" t="s">
        <v>771</v>
      </c>
      <c r="C320" t="s">
        <v>658</v>
      </c>
      <c r="D320" t="s">
        <v>850</v>
      </c>
      <c r="E320" t="s">
        <v>42</v>
      </c>
    </row>
    <row r="321" spans="1:5" x14ac:dyDescent="0.2">
      <c r="A321" s="272">
        <v>45874.713356481479</v>
      </c>
      <c r="B321" t="s">
        <v>771</v>
      </c>
      <c r="C321" t="s">
        <v>658</v>
      </c>
      <c r="D321" t="s">
        <v>851</v>
      </c>
      <c r="E321" t="s">
        <v>177</v>
      </c>
    </row>
    <row r="322" spans="1:5" x14ac:dyDescent="0.2">
      <c r="A322" s="272">
        <v>45874.713460648149</v>
      </c>
      <c r="B322" t="s">
        <v>771</v>
      </c>
      <c r="C322" t="s">
        <v>658</v>
      </c>
      <c r="D322" t="s">
        <v>852</v>
      </c>
      <c r="E322" t="s">
        <v>343</v>
      </c>
    </row>
    <row r="323" spans="1:5" x14ac:dyDescent="0.2">
      <c r="A323" s="272">
        <v>45874.713541666664</v>
      </c>
      <c r="B323" t="s">
        <v>771</v>
      </c>
      <c r="C323" t="s">
        <v>658</v>
      </c>
      <c r="D323" t="s">
        <v>853</v>
      </c>
      <c r="E323">
        <v>15</v>
      </c>
    </row>
    <row r="324" spans="1:5" x14ac:dyDescent="0.2">
      <c r="A324" s="272">
        <v>45874.713587962964</v>
      </c>
      <c r="B324" t="s">
        <v>771</v>
      </c>
      <c r="C324" t="s">
        <v>658</v>
      </c>
      <c r="D324" t="s">
        <v>854</v>
      </c>
    </row>
    <row r="325" spans="1:5" x14ac:dyDescent="0.2">
      <c r="A325" s="272">
        <v>45874.71365740741</v>
      </c>
      <c r="B325" t="s">
        <v>771</v>
      </c>
      <c r="C325" t="s">
        <v>658</v>
      </c>
      <c r="D325" t="s">
        <v>855</v>
      </c>
    </row>
    <row r="326" spans="1:5" x14ac:dyDescent="0.2">
      <c r="A326" s="272">
        <v>45874.713900462964</v>
      </c>
      <c r="B326" t="s">
        <v>771</v>
      </c>
      <c r="C326" t="s">
        <v>658</v>
      </c>
      <c r="D326" t="s">
        <v>768</v>
      </c>
      <c r="E326" t="s">
        <v>189</v>
      </c>
    </row>
    <row r="327" spans="1:5" x14ac:dyDescent="0.2">
      <c r="A327" s="272">
        <v>45874.714988425927</v>
      </c>
      <c r="B327" t="s">
        <v>771</v>
      </c>
      <c r="C327" t="s">
        <v>28</v>
      </c>
      <c r="D327" t="s">
        <v>856</v>
      </c>
    </row>
    <row r="328" spans="1:5" x14ac:dyDescent="0.2">
      <c r="A328" s="272">
        <v>45874.715069444443</v>
      </c>
      <c r="B328" t="s">
        <v>771</v>
      </c>
      <c r="C328" t="s">
        <v>28</v>
      </c>
      <c r="D328" t="s">
        <v>857</v>
      </c>
      <c r="E328" t="s">
        <v>123</v>
      </c>
    </row>
    <row r="329" spans="1:5" x14ac:dyDescent="0.2">
      <c r="A329" s="272">
        <v>45874.715069444443</v>
      </c>
      <c r="B329" t="s">
        <v>771</v>
      </c>
      <c r="C329" t="s">
        <v>28</v>
      </c>
      <c r="D329" t="s">
        <v>755</v>
      </c>
      <c r="E329" t="s">
        <v>250</v>
      </c>
    </row>
    <row r="330" spans="1:5" x14ac:dyDescent="0.2">
      <c r="A330" s="272">
        <v>45874.715162037035</v>
      </c>
      <c r="B330" t="s">
        <v>771</v>
      </c>
      <c r="C330" t="s">
        <v>28</v>
      </c>
      <c r="D330" t="s">
        <v>815</v>
      </c>
      <c r="E330" t="s">
        <v>186</v>
      </c>
    </row>
    <row r="331" spans="1:5" x14ac:dyDescent="0.2">
      <c r="A331" s="272">
        <v>45874.715162037035</v>
      </c>
      <c r="B331" t="s">
        <v>771</v>
      </c>
      <c r="C331" t="s">
        <v>28</v>
      </c>
      <c r="D331" t="s">
        <v>776</v>
      </c>
      <c r="E331" t="s">
        <v>42</v>
      </c>
    </row>
    <row r="332" spans="1:5" x14ac:dyDescent="0.2">
      <c r="A332" s="272">
        <v>45874.716643518521</v>
      </c>
      <c r="B332" t="s">
        <v>771</v>
      </c>
      <c r="C332" t="s">
        <v>28</v>
      </c>
      <c r="D332" t="s">
        <v>858</v>
      </c>
      <c r="E332" t="s">
        <v>177</v>
      </c>
    </row>
    <row r="333" spans="1:5" x14ac:dyDescent="0.2">
      <c r="A333" s="272">
        <v>45874.71671296296</v>
      </c>
      <c r="B333" t="s">
        <v>771</v>
      </c>
      <c r="C333" t="s">
        <v>28</v>
      </c>
      <c r="D333" t="s">
        <v>859</v>
      </c>
      <c r="E333" t="s">
        <v>177</v>
      </c>
    </row>
    <row r="334" spans="1:5" x14ac:dyDescent="0.2">
      <c r="A334" s="272">
        <v>45874.718321759261</v>
      </c>
      <c r="B334" t="s">
        <v>771</v>
      </c>
      <c r="C334" t="s">
        <v>28</v>
      </c>
      <c r="D334" t="s">
        <v>860</v>
      </c>
      <c r="E334" t="s">
        <v>347</v>
      </c>
    </row>
    <row r="335" spans="1:5" x14ac:dyDescent="0.2">
      <c r="A335" s="272">
        <v>45874.718356481484</v>
      </c>
      <c r="B335" t="s">
        <v>771</v>
      </c>
      <c r="C335" t="s">
        <v>28</v>
      </c>
      <c r="D335" t="s">
        <v>860</v>
      </c>
    </row>
    <row r="336" spans="1:5" x14ac:dyDescent="0.2">
      <c r="A336" s="272">
        <v>45874.718622685185</v>
      </c>
      <c r="B336" t="s">
        <v>771</v>
      </c>
      <c r="C336" t="s">
        <v>28</v>
      </c>
      <c r="D336" t="s">
        <v>820</v>
      </c>
      <c r="E336" t="s">
        <v>189</v>
      </c>
    </row>
    <row r="337" spans="1:5" x14ac:dyDescent="0.2">
      <c r="A337" s="272">
        <v>45874.718888888892</v>
      </c>
      <c r="B337" t="s">
        <v>771</v>
      </c>
      <c r="C337" t="s">
        <v>29</v>
      </c>
      <c r="D337" t="s">
        <v>861</v>
      </c>
      <c r="E337" t="s">
        <v>177</v>
      </c>
    </row>
    <row r="338" spans="1:5" x14ac:dyDescent="0.2">
      <c r="A338" s="272">
        <v>45874.718981481485</v>
      </c>
      <c r="B338" t="s">
        <v>771</v>
      </c>
      <c r="C338" t="s">
        <v>29</v>
      </c>
      <c r="D338" t="s">
        <v>820</v>
      </c>
      <c r="E338" t="s">
        <v>189</v>
      </c>
    </row>
    <row r="339" spans="1:5" x14ac:dyDescent="0.2">
      <c r="A339" s="272">
        <v>45874.733564814815</v>
      </c>
      <c r="B339" t="s">
        <v>771</v>
      </c>
      <c r="C339" t="s">
        <v>29</v>
      </c>
      <c r="D339" t="s">
        <v>862</v>
      </c>
    </row>
    <row r="340" spans="1:5" x14ac:dyDescent="0.2">
      <c r="A340" s="272">
        <v>45874.7344212963</v>
      </c>
      <c r="B340" t="s">
        <v>771</v>
      </c>
      <c r="C340" t="s">
        <v>29</v>
      </c>
      <c r="D340" t="s">
        <v>863</v>
      </c>
    </row>
    <row r="341" spans="1:5" x14ac:dyDescent="0.2">
      <c r="A341" s="272">
        <v>45874.734594907408</v>
      </c>
      <c r="B341" t="s">
        <v>771</v>
      </c>
      <c r="C341" t="s">
        <v>29</v>
      </c>
      <c r="D341" t="s">
        <v>863</v>
      </c>
    </row>
    <row r="342" spans="1:5" x14ac:dyDescent="0.2">
      <c r="A342" s="272">
        <v>45874.736273148148</v>
      </c>
      <c r="B342" t="s">
        <v>771</v>
      </c>
      <c r="C342" t="s">
        <v>29</v>
      </c>
      <c r="D342" t="s">
        <v>864</v>
      </c>
    </row>
    <row r="343" spans="1:5" x14ac:dyDescent="0.2">
      <c r="A343" s="272">
        <v>45874.737025462964</v>
      </c>
      <c r="B343" t="s">
        <v>771</v>
      </c>
      <c r="C343" t="s">
        <v>29</v>
      </c>
      <c r="D343" t="s">
        <v>865</v>
      </c>
    </row>
    <row r="344" spans="1:5" x14ac:dyDescent="0.2">
      <c r="A344" s="272">
        <v>45874.737199074072</v>
      </c>
      <c r="B344" t="s">
        <v>771</v>
      </c>
      <c r="C344" t="s">
        <v>29</v>
      </c>
      <c r="D344" t="s">
        <v>866</v>
      </c>
    </row>
    <row r="345" spans="1:5" x14ac:dyDescent="0.2">
      <c r="A345" s="272">
        <v>45874.75509259259</v>
      </c>
      <c r="B345" t="s">
        <v>771</v>
      </c>
      <c r="C345" t="s">
        <v>29</v>
      </c>
      <c r="D345" t="s">
        <v>867</v>
      </c>
      <c r="E345" t="s">
        <v>49</v>
      </c>
    </row>
    <row r="346" spans="1:5" x14ac:dyDescent="0.2">
      <c r="A346" s="272">
        <v>45874.755231481482</v>
      </c>
      <c r="B346" t="s">
        <v>771</v>
      </c>
      <c r="C346" t="s">
        <v>29</v>
      </c>
      <c r="D346" t="s">
        <v>868</v>
      </c>
    </row>
    <row r="347" spans="1:5" x14ac:dyDescent="0.2">
      <c r="A347" s="272">
        <v>45874.755243055559</v>
      </c>
      <c r="B347" t="s">
        <v>771</v>
      </c>
      <c r="C347" t="s">
        <v>29</v>
      </c>
      <c r="D347" t="s">
        <v>868</v>
      </c>
    </row>
    <row r="348" spans="1:5" x14ac:dyDescent="0.2">
      <c r="A348" s="272">
        <v>45874.755266203705</v>
      </c>
      <c r="B348" t="s">
        <v>771</v>
      </c>
      <c r="C348" t="s">
        <v>29</v>
      </c>
      <c r="D348" t="s">
        <v>839</v>
      </c>
    </row>
    <row r="349" spans="1:5" x14ac:dyDescent="0.2">
      <c r="A349" s="272">
        <v>45874.755300925928</v>
      </c>
      <c r="B349" t="s">
        <v>771</v>
      </c>
      <c r="C349" t="s">
        <v>29</v>
      </c>
      <c r="D349" t="s">
        <v>869</v>
      </c>
    </row>
    <row r="350" spans="1:5" x14ac:dyDescent="0.2">
      <c r="A350" s="272">
        <v>45874.757013888891</v>
      </c>
      <c r="B350" t="s">
        <v>771</v>
      </c>
      <c r="C350" t="s">
        <v>648</v>
      </c>
      <c r="D350" t="s">
        <v>870</v>
      </c>
      <c r="E350" t="s">
        <v>194</v>
      </c>
    </row>
    <row r="351" spans="1:5" x14ac:dyDescent="0.2">
      <c r="A351" s="272">
        <v>45874.757037037038</v>
      </c>
      <c r="B351" t="s">
        <v>771</v>
      </c>
      <c r="C351" t="s">
        <v>648</v>
      </c>
      <c r="D351" t="s">
        <v>871</v>
      </c>
      <c r="E351" t="s">
        <v>194</v>
      </c>
    </row>
    <row r="352" spans="1:5" x14ac:dyDescent="0.2">
      <c r="A352" s="272">
        <v>45874.757118055553</v>
      </c>
      <c r="B352" t="s">
        <v>771</v>
      </c>
      <c r="C352" t="s">
        <v>648</v>
      </c>
      <c r="D352" t="s">
        <v>872</v>
      </c>
      <c r="E352" t="s">
        <v>873</v>
      </c>
    </row>
    <row r="353" spans="1:5" x14ac:dyDescent="0.2">
      <c r="A353" s="272">
        <v>45874.757175925923</v>
      </c>
      <c r="B353" t="s">
        <v>771</v>
      </c>
      <c r="C353" t="s">
        <v>648</v>
      </c>
      <c r="D353" t="s">
        <v>874</v>
      </c>
      <c r="E353" t="s">
        <v>192</v>
      </c>
    </row>
    <row r="354" spans="1:5" ht="32" x14ac:dyDescent="0.2">
      <c r="A354" s="272">
        <v>45874.757233796299</v>
      </c>
      <c r="B354" t="s">
        <v>771</v>
      </c>
      <c r="C354" t="s">
        <v>648</v>
      </c>
      <c r="D354" t="s">
        <v>875</v>
      </c>
      <c r="E354" s="6" t="s">
        <v>876</v>
      </c>
    </row>
    <row r="355" spans="1:5" x14ac:dyDescent="0.2">
      <c r="A355" s="272">
        <v>45874.757303240738</v>
      </c>
      <c r="B355" t="s">
        <v>771</v>
      </c>
      <c r="C355" t="s">
        <v>648</v>
      </c>
      <c r="D355" t="s">
        <v>875</v>
      </c>
      <c r="E355" t="s">
        <v>877</v>
      </c>
    </row>
    <row r="356" spans="1:5" x14ac:dyDescent="0.2">
      <c r="A356" s="272">
        <v>45874.757349537038</v>
      </c>
      <c r="B356" t="s">
        <v>771</v>
      </c>
      <c r="C356" t="s">
        <v>648</v>
      </c>
      <c r="D356" t="s">
        <v>875</v>
      </c>
      <c r="E356" t="s">
        <v>878</v>
      </c>
    </row>
    <row r="357" spans="1:5" x14ac:dyDescent="0.2">
      <c r="A357" s="272">
        <v>45874.7575</v>
      </c>
      <c r="B357" t="s">
        <v>771</v>
      </c>
      <c r="C357" t="s">
        <v>648</v>
      </c>
      <c r="D357" t="s">
        <v>879</v>
      </c>
      <c r="E357" t="s">
        <v>878</v>
      </c>
    </row>
    <row r="358" spans="1:5" x14ac:dyDescent="0.2">
      <c r="A358" s="272">
        <v>45874.757511574076</v>
      </c>
      <c r="B358" t="s">
        <v>771</v>
      </c>
      <c r="C358" t="s">
        <v>648</v>
      </c>
      <c r="D358" t="s">
        <v>879</v>
      </c>
      <c r="E358" t="s">
        <v>195</v>
      </c>
    </row>
    <row r="359" spans="1:5" x14ac:dyDescent="0.2">
      <c r="A359" s="272">
        <v>45874.758831018517</v>
      </c>
      <c r="B359" t="s">
        <v>771</v>
      </c>
      <c r="C359" t="s">
        <v>8</v>
      </c>
      <c r="D359" t="s">
        <v>741</v>
      </c>
      <c r="E359" t="s">
        <v>75</v>
      </c>
    </row>
    <row r="360" spans="1:5" x14ac:dyDescent="0.2">
      <c r="A360" s="272">
        <v>45874.758923611109</v>
      </c>
      <c r="B360" t="s">
        <v>771</v>
      </c>
      <c r="C360" t="s">
        <v>626</v>
      </c>
      <c r="D360" t="s">
        <v>635</v>
      </c>
      <c r="E360" t="s">
        <v>75</v>
      </c>
    </row>
    <row r="361" spans="1:5" ht="224" x14ac:dyDescent="0.2">
      <c r="A361" s="272">
        <v>45874.767754629633</v>
      </c>
      <c r="B361" t="s">
        <v>771</v>
      </c>
      <c r="C361" t="s">
        <v>626</v>
      </c>
      <c r="D361" t="s">
        <v>880</v>
      </c>
      <c r="E361" s="6" t="s">
        <v>881</v>
      </c>
    </row>
    <row r="362" spans="1:5" ht="224" x14ac:dyDescent="0.2">
      <c r="A362" s="272">
        <v>45874.767789351848</v>
      </c>
      <c r="B362" t="s">
        <v>771</v>
      </c>
      <c r="C362" t="s">
        <v>626</v>
      </c>
      <c r="D362" t="s">
        <v>880</v>
      </c>
      <c r="E362" s="6" t="s">
        <v>881</v>
      </c>
    </row>
    <row r="363" spans="1:5" ht="224" x14ac:dyDescent="0.2">
      <c r="A363" s="272">
        <v>45874.768043981479</v>
      </c>
      <c r="B363" t="s">
        <v>771</v>
      </c>
      <c r="C363" t="s">
        <v>626</v>
      </c>
      <c r="D363" t="s">
        <v>880</v>
      </c>
      <c r="E363" s="6" t="s">
        <v>881</v>
      </c>
    </row>
    <row r="364" spans="1:5" x14ac:dyDescent="0.2">
      <c r="A364" s="272">
        <v>45874.768611111111</v>
      </c>
      <c r="B364" t="s">
        <v>771</v>
      </c>
      <c r="C364" t="s">
        <v>626</v>
      </c>
      <c r="D364" t="s">
        <v>880</v>
      </c>
      <c r="E364" t="s">
        <v>882</v>
      </c>
    </row>
    <row r="365" spans="1:5" ht="224" x14ac:dyDescent="0.2">
      <c r="A365" s="272">
        <v>45874.768680555557</v>
      </c>
      <c r="B365" t="s">
        <v>771</v>
      </c>
      <c r="C365" t="s">
        <v>626</v>
      </c>
      <c r="D365" t="s">
        <v>883</v>
      </c>
      <c r="E365" s="6" t="s">
        <v>882</v>
      </c>
    </row>
    <row r="366" spans="1:5" x14ac:dyDescent="0.2">
      <c r="A366" s="272">
        <v>45874.772719907407</v>
      </c>
      <c r="B366" t="s">
        <v>771</v>
      </c>
      <c r="C366" t="s">
        <v>648</v>
      </c>
      <c r="D366" t="s">
        <v>884</v>
      </c>
      <c r="E366" t="s">
        <v>142</v>
      </c>
    </row>
    <row r="367" spans="1:5" x14ac:dyDescent="0.2">
      <c r="A367" s="272">
        <v>45874.772743055553</v>
      </c>
      <c r="B367" t="s">
        <v>771</v>
      </c>
      <c r="C367" t="s">
        <v>648</v>
      </c>
      <c r="D367" t="s">
        <v>884</v>
      </c>
      <c r="E367" t="s">
        <v>355</v>
      </c>
    </row>
    <row r="368" spans="1:5" x14ac:dyDescent="0.2">
      <c r="A368" s="272">
        <v>45874.772847222222</v>
      </c>
      <c r="B368" t="s">
        <v>771</v>
      </c>
      <c r="C368" t="s">
        <v>648</v>
      </c>
      <c r="D368" t="s">
        <v>884</v>
      </c>
      <c r="E368" t="s">
        <v>142</v>
      </c>
    </row>
    <row r="369" spans="1:5" x14ac:dyDescent="0.2">
      <c r="A369" s="272">
        <v>45874.772881944446</v>
      </c>
      <c r="B369" t="s">
        <v>771</v>
      </c>
      <c r="C369" t="s">
        <v>648</v>
      </c>
      <c r="D369" t="s">
        <v>884</v>
      </c>
      <c r="E369" t="s">
        <v>355</v>
      </c>
    </row>
    <row r="370" spans="1:5" x14ac:dyDescent="0.2">
      <c r="A370" s="272">
        <v>45874.772951388892</v>
      </c>
      <c r="B370" t="s">
        <v>771</v>
      </c>
      <c r="C370" t="s">
        <v>648</v>
      </c>
      <c r="D370" t="s">
        <v>884</v>
      </c>
      <c r="E370" t="s">
        <v>142</v>
      </c>
    </row>
    <row r="371" spans="1:5" x14ac:dyDescent="0.2">
      <c r="A371" s="272">
        <v>45874.773287037038</v>
      </c>
      <c r="B371" t="s">
        <v>771</v>
      </c>
      <c r="C371" t="s">
        <v>648</v>
      </c>
      <c r="D371" t="s">
        <v>885</v>
      </c>
      <c r="E371" t="s">
        <v>142</v>
      </c>
    </row>
    <row r="372" spans="1:5" x14ac:dyDescent="0.2">
      <c r="A372" s="272">
        <v>45874.774699074071</v>
      </c>
      <c r="B372" t="s">
        <v>771</v>
      </c>
      <c r="C372" t="s">
        <v>648</v>
      </c>
      <c r="D372" t="s">
        <v>886</v>
      </c>
      <c r="E372" t="s">
        <v>195</v>
      </c>
    </row>
    <row r="373" spans="1:5" x14ac:dyDescent="0.2">
      <c r="A373" s="272">
        <v>45874.77480324074</v>
      </c>
      <c r="B373" t="s">
        <v>771</v>
      </c>
      <c r="C373" t="s">
        <v>648</v>
      </c>
      <c r="D373" t="s">
        <v>887</v>
      </c>
      <c r="E373" t="s">
        <v>195</v>
      </c>
    </row>
    <row r="374" spans="1:5" x14ac:dyDescent="0.2">
      <c r="A374" s="272">
        <v>45874.775972222225</v>
      </c>
      <c r="B374" t="s">
        <v>771</v>
      </c>
      <c r="C374" t="s">
        <v>29</v>
      </c>
      <c r="D374" t="s">
        <v>888</v>
      </c>
      <c r="E374" t="s">
        <v>195</v>
      </c>
    </row>
    <row r="375" spans="1:5" ht="96" x14ac:dyDescent="0.2">
      <c r="A375" s="272">
        <v>45874.778043981481</v>
      </c>
      <c r="B375" t="s">
        <v>771</v>
      </c>
      <c r="C375" t="s">
        <v>626</v>
      </c>
      <c r="D375" t="s">
        <v>889</v>
      </c>
      <c r="E375" s="6" t="s">
        <v>890</v>
      </c>
    </row>
    <row r="376" spans="1:5" ht="96" x14ac:dyDescent="0.2">
      <c r="A376" s="272">
        <v>45874.77847222222</v>
      </c>
      <c r="B376" t="s">
        <v>771</v>
      </c>
      <c r="C376" t="s">
        <v>626</v>
      </c>
      <c r="D376" t="s">
        <v>889</v>
      </c>
      <c r="E376" s="6" t="s">
        <v>891</v>
      </c>
    </row>
    <row r="377" spans="1:5" ht="80" x14ac:dyDescent="0.2">
      <c r="A377" s="272">
        <v>45874.778634259259</v>
      </c>
      <c r="B377" t="s">
        <v>771</v>
      </c>
      <c r="C377" t="s">
        <v>626</v>
      </c>
      <c r="D377" t="s">
        <v>889</v>
      </c>
      <c r="E377" s="6" t="s">
        <v>892</v>
      </c>
    </row>
    <row r="378" spans="1:5" x14ac:dyDescent="0.2">
      <c r="A378" s="272">
        <v>45874.778993055559</v>
      </c>
      <c r="B378" t="s">
        <v>771</v>
      </c>
      <c r="C378" t="s">
        <v>648</v>
      </c>
      <c r="D378" t="s">
        <v>893</v>
      </c>
      <c r="E378" t="s">
        <v>894</v>
      </c>
    </row>
    <row r="379" spans="1:5" x14ac:dyDescent="0.2">
      <c r="A379" s="272">
        <v>45874.779004629629</v>
      </c>
      <c r="B379" t="s">
        <v>771</v>
      </c>
      <c r="C379" t="s">
        <v>648</v>
      </c>
      <c r="D379" t="s">
        <v>895</v>
      </c>
    </row>
    <row r="380" spans="1:5" x14ac:dyDescent="0.2">
      <c r="A380" s="272">
        <v>45874.779328703706</v>
      </c>
      <c r="B380" t="s">
        <v>771</v>
      </c>
      <c r="C380" t="s">
        <v>648</v>
      </c>
      <c r="D380" t="s">
        <v>893</v>
      </c>
      <c r="E380" t="s">
        <v>195</v>
      </c>
    </row>
    <row r="381" spans="1:5" x14ac:dyDescent="0.2">
      <c r="A381" s="272">
        <v>45874.779340277775</v>
      </c>
      <c r="B381" t="s">
        <v>771</v>
      </c>
      <c r="C381" t="s">
        <v>648</v>
      </c>
      <c r="D381" t="s">
        <v>896</v>
      </c>
      <c r="E381" t="s">
        <v>195</v>
      </c>
    </row>
    <row r="382" spans="1:5" x14ac:dyDescent="0.2">
      <c r="A382" s="272">
        <v>45874.782418981478</v>
      </c>
      <c r="B382" t="s">
        <v>771</v>
      </c>
      <c r="C382" t="s">
        <v>29</v>
      </c>
      <c r="D382" t="s">
        <v>897</v>
      </c>
    </row>
    <row r="383" spans="1:5" x14ac:dyDescent="0.2">
      <c r="A383" s="272">
        <v>45874.782418981478</v>
      </c>
      <c r="B383" t="s">
        <v>771</v>
      </c>
      <c r="C383" t="s">
        <v>29</v>
      </c>
      <c r="D383" t="s">
        <v>898</v>
      </c>
      <c r="E383" t="s">
        <v>188</v>
      </c>
    </row>
    <row r="384" spans="1:5" x14ac:dyDescent="0.2">
      <c r="A384" s="272">
        <v>45874.782881944448</v>
      </c>
      <c r="B384" t="s">
        <v>771</v>
      </c>
      <c r="C384" t="s">
        <v>17</v>
      </c>
      <c r="D384" t="s">
        <v>899</v>
      </c>
    </row>
    <row r="385" spans="1:5" x14ac:dyDescent="0.2">
      <c r="A385" s="272">
        <v>45874.782939814817</v>
      </c>
      <c r="B385" t="s">
        <v>771</v>
      </c>
      <c r="C385" t="s">
        <v>17</v>
      </c>
      <c r="D385" t="s">
        <v>899</v>
      </c>
      <c r="E385" t="s">
        <v>900</v>
      </c>
    </row>
    <row r="386" spans="1:5" x14ac:dyDescent="0.2">
      <c r="A386" s="272">
        <v>45874.783101851855</v>
      </c>
      <c r="B386" t="s">
        <v>771</v>
      </c>
      <c r="C386" t="s">
        <v>17</v>
      </c>
      <c r="D386" t="s">
        <v>899</v>
      </c>
      <c r="E386" t="s">
        <v>218</v>
      </c>
    </row>
    <row r="387" spans="1:5" x14ac:dyDescent="0.2">
      <c r="A387" s="272">
        <v>45874.783576388887</v>
      </c>
      <c r="B387" t="s">
        <v>771</v>
      </c>
      <c r="C387" t="s">
        <v>658</v>
      </c>
      <c r="D387" t="s">
        <v>824</v>
      </c>
      <c r="E387" t="s">
        <v>241</v>
      </c>
    </row>
    <row r="388" spans="1:5" x14ac:dyDescent="0.2">
      <c r="A388" s="272">
        <v>45874.786458333336</v>
      </c>
      <c r="B388" t="s">
        <v>771</v>
      </c>
      <c r="C388" t="s">
        <v>626</v>
      </c>
      <c r="D388" t="s">
        <v>901</v>
      </c>
      <c r="E388" t="s">
        <v>902</v>
      </c>
    </row>
    <row r="389" spans="1:5" x14ac:dyDescent="0.2">
      <c r="A389" s="272">
        <v>45874.787662037037</v>
      </c>
      <c r="B389" t="s">
        <v>771</v>
      </c>
      <c r="C389" t="s">
        <v>626</v>
      </c>
      <c r="D389" t="s">
        <v>901</v>
      </c>
      <c r="E389" t="s">
        <v>903</v>
      </c>
    </row>
    <row r="390" spans="1:5" x14ac:dyDescent="0.2">
      <c r="A390" s="272">
        <v>45874.788854166669</v>
      </c>
      <c r="B390" t="s">
        <v>771</v>
      </c>
      <c r="C390" t="s">
        <v>626</v>
      </c>
      <c r="D390" t="s">
        <v>901</v>
      </c>
      <c r="E390" t="s">
        <v>904</v>
      </c>
    </row>
    <row r="391" spans="1:5" x14ac:dyDescent="0.2">
      <c r="A391" s="272">
        <v>45874.789224537039</v>
      </c>
      <c r="B391" t="s">
        <v>771</v>
      </c>
      <c r="C391" t="s">
        <v>626</v>
      </c>
      <c r="D391" t="s">
        <v>901</v>
      </c>
      <c r="E391" t="s">
        <v>905</v>
      </c>
    </row>
    <row r="392" spans="1:5" x14ac:dyDescent="0.2">
      <c r="A392" s="272">
        <v>45874.789571759262</v>
      </c>
      <c r="B392" t="s">
        <v>771</v>
      </c>
      <c r="C392" t="s">
        <v>626</v>
      </c>
      <c r="D392" t="s">
        <v>901</v>
      </c>
      <c r="E392" t="s">
        <v>906</v>
      </c>
    </row>
    <row r="393" spans="1:5" x14ac:dyDescent="0.2">
      <c r="A393" s="272">
        <v>45874.790034722224</v>
      </c>
      <c r="B393" t="s">
        <v>771</v>
      </c>
      <c r="C393" t="s">
        <v>626</v>
      </c>
      <c r="D393" t="s">
        <v>907</v>
      </c>
      <c r="E393" t="s">
        <v>27</v>
      </c>
    </row>
    <row r="394" spans="1:5" x14ac:dyDescent="0.2">
      <c r="A394" s="272">
        <v>45874.790532407409</v>
      </c>
      <c r="B394" t="s">
        <v>771</v>
      </c>
      <c r="C394" t="s">
        <v>2</v>
      </c>
      <c r="D394" t="s">
        <v>908</v>
      </c>
    </row>
    <row r="395" spans="1:5" x14ac:dyDescent="0.2">
      <c r="A395" s="272">
        <v>45874.790706018517</v>
      </c>
      <c r="B395" t="s">
        <v>771</v>
      </c>
      <c r="C395" t="s">
        <v>2</v>
      </c>
      <c r="D395" t="s">
        <v>790</v>
      </c>
    </row>
    <row r="396" spans="1:5" x14ac:dyDescent="0.2">
      <c r="A396" s="272">
        <v>45874.790775462963</v>
      </c>
      <c r="B396" t="s">
        <v>771</v>
      </c>
      <c r="C396" t="s">
        <v>2</v>
      </c>
      <c r="D396" t="s">
        <v>909</v>
      </c>
    </row>
    <row r="397" spans="1:5" x14ac:dyDescent="0.2">
      <c r="A397" s="272">
        <v>45874.790914351855</v>
      </c>
      <c r="B397" t="s">
        <v>771</v>
      </c>
      <c r="C397" t="s">
        <v>2</v>
      </c>
      <c r="D397" t="s">
        <v>910</v>
      </c>
    </row>
    <row r="398" spans="1:5" x14ac:dyDescent="0.2">
      <c r="A398" s="272">
        <v>45874.790914351855</v>
      </c>
      <c r="B398" t="s">
        <v>771</v>
      </c>
      <c r="C398" t="s">
        <v>2</v>
      </c>
      <c r="D398" t="s">
        <v>911</v>
      </c>
      <c r="E398" t="s">
        <v>18</v>
      </c>
    </row>
    <row r="399" spans="1:5" x14ac:dyDescent="0.2">
      <c r="A399" s="272">
        <v>45874.790937500002</v>
      </c>
      <c r="B399" t="s">
        <v>771</v>
      </c>
      <c r="C399" t="s">
        <v>2</v>
      </c>
      <c r="D399" t="s">
        <v>910</v>
      </c>
      <c r="E399" t="s">
        <v>18</v>
      </c>
    </row>
    <row r="400" spans="1:5" x14ac:dyDescent="0.2">
      <c r="A400" s="272">
        <v>45874.790937500002</v>
      </c>
      <c r="B400" t="s">
        <v>771</v>
      </c>
      <c r="C400" t="s">
        <v>2</v>
      </c>
      <c r="D400" t="s">
        <v>911</v>
      </c>
    </row>
    <row r="401" spans="1:5" x14ac:dyDescent="0.2">
      <c r="A401" s="272">
        <v>45874.790937500002</v>
      </c>
      <c r="B401" t="s">
        <v>771</v>
      </c>
      <c r="C401" t="s">
        <v>2</v>
      </c>
      <c r="D401" t="s">
        <v>911</v>
      </c>
    </row>
    <row r="402" spans="1:5" x14ac:dyDescent="0.2">
      <c r="A402" s="272">
        <v>45874.791087962964</v>
      </c>
      <c r="B402" t="s">
        <v>771</v>
      </c>
      <c r="C402" t="s">
        <v>2</v>
      </c>
      <c r="D402" t="s">
        <v>912</v>
      </c>
    </row>
    <row r="403" spans="1:5" x14ac:dyDescent="0.2">
      <c r="A403" s="272">
        <v>45874.791087962964</v>
      </c>
      <c r="B403" t="s">
        <v>771</v>
      </c>
      <c r="C403" t="s">
        <v>2</v>
      </c>
      <c r="D403" t="s">
        <v>913</v>
      </c>
      <c r="E403" t="s">
        <v>163</v>
      </c>
    </row>
    <row r="404" spans="1:5" x14ac:dyDescent="0.2">
      <c r="A404" s="272">
        <v>45874.791134259256</v>
      </c>
      <c r="B404" t="s">
        <v>771</v>
      </c>
      <c r="C404" t="s">
        <v>2</v>
      </c>
      <c r="D404" t="s">
        <v>910</v>
      </c>
    </row>
    <row r="405" spans="1:5" x14ac:dyDescent="0.2">
      <c r="A405" s="272">
        <v>45874.791134259256</v>
      </c>
      <c r="B405" t="s">
        <v>771</v>
      </c>
      <c r="C405" t="s">
        <v>2</v>
      </c>
      <c r="D405" t="s">
        <v>914</v>
      </c>
      <c r="E405" t="s">
        <v>18</v>
      </c>
    </row>
    <row r="406" spans="1:5" x14ac:dyDescent="0.2">
      <c r="A406" s="272">
        <v>45874.791226851848</v>
      </c>
      <c r="B406" t="s">
        <v>771</v>
      </c>
      <c r="C406" t="s">
        <v>2</v>
      </c>
      <c r="D406" t="s">
        <v>913</v>
      </c>
      <c r="E406" t="s">
        <v>39</v>
      </c>
    </row>
    <row r="407" spans="1:5" x14ac:dyDescent="0.2">
      <c r="A407" s="272">
        <v>45874.791226851848</v>
      </c>
      <c r="B407" t="s">
        <v>771</v>
      </c>
      <c r="C407" t="s">
        <v>2</v>
      </c>
      <c r="D407" t="s">
        <v>915</v>
      </c>
      <c r="E407" t="s">
        <v>163</v>
      </c>
    </row>
    <row r="408" spans="1:5" x14ac:dyDescent="0.2">
      <c r="A408" s="272">
        <v>45874.791273148148</v>
      </c>
      <c r="B408" t="s">
        <v>771</v>
      </c>
      <c r="C408" t="s">
        <v>2</v>
      </c>
      <c r="D408" t="s">
        <v>916</v>
      </c>
    </row>
    <row r="409" spans="1:5" x14ac:dyDescent="0.2">
      <c r="A409" s="272">
        <v>45874.791608796295</v>
      </c>
      <c r="B409" t="s">
        <v>771</v>
      </c>
      <c r="C409" t="s">
        <v>2</v>
      </c>
      <c r="D409" t="s">
        <v>917</v>
      </c>
    </row>
    <row r="410" spans="1:5" x14ac:dyDescent="0.2">
      <c r="A410" s="272">
        <v>45874.791608796295</v>
      </c>
      <c r="B410" t="s">
        <v>771</v>
      </c>
      <c r="C410" t="s">
        <v>2</v>
      </c>
      <c r="D410" t="s">
        <v>918</v>
      </c>
      <c r="E410" t="s">
        <v>169</v>
      </c>
    </row>
    <row r="411" spans="1:5" x14ac:dyDescent="0.2">
      <c r="A411" s="272">
        <v>45874.791759259257</v>
      </c>
      <c r="B411" t="s">
        <v>771</v>
      </c>
      <c r="C411" t="s">
        <v>2</v>
      </c>
      <c r="D411" t="s">
        <v>919</v>
      </c>
    </row>
    <row r="412" spans="1:5" x14ac:dyDescent="0.2">
      <c r="A412" s="272">
        <v>45874.791886574072</v>
      </c>
      <c r="B412" t="s">
        <v>771</v>
      </c>
      <c r="C412" t="s">
        <v>2</v>
      </c>
      <c r="D412" t="s">
        <v>920</v>
      </c>
    </row>
    <row r="413" spans="1:5" x14ac:dyDescent="0.2">
      <c r="A413" s="272">
        <v>45874.791886574072</v>
      </c>
      <c r="B413" t="s">
        <v>771</v>
      </c>
      <c r="C413" t="s">
        <v>2</v>
      </c>
      <c r="D413" t="s">
        <v>921</v>
      </c>
      <c r="E413" t="s">
        <v>9</v>
      </c>
    </row>
    <row r="414" spans="1:5" x14ac:dyDescent="0.2">
      <c r="A414" s="272">
        <v>45874.791909722226</v>
      </c>
      <c r="B414" t="s">
        <v>771</v>
      </c>
      <c r="C414" t="s">
        <v>2</v>
      </c>
      <c r="D414" t="s">
        <v>922</v>
      </c>
    </row>
    <row r="415" spans="1:5" x14ac:dyDescent="0.2">
      <c r="A415" s="272">
        <v>45874.79215277778</v>
      </c>
      <c r="B415" t="s">
        <v>771</v>
      </c>
      <c r="C415" t="s">
        <v>626</v>
      </c>
      <c r="D415" t="s">
        <v>923</v>
      </c>
    </row>
    <row r="416" spans="1:5" x14ac:dyDescent="0.2">
      <c r="A416" s="272">
        <v>45874.792210648149</v>
      </c>
      <c r="B416" t="s">
        <v>771</v>
      </c>
      <c r="C416" t="s">
        <v>626</v>
      </c>
      <c r="D416" t="s">
        <v>924</v>
      </c>
      <c r="E416">
        <v>3</v>
      </c>
    </row>
    <row r="417" spans="1:5" x14ac:dyDescent="0.2">
      <c r="A417" s="272">
        <v>45874.792280092595</v>
      </c>
      <c r="B417" t="s">
        <v>771</v>
      </c>
      <c r="C417" t="s">
        <v>626</v>
      </c>
      <c r="D417" t="s">
        <v>925</v>
      </c>
    </row>
    <row r="418" spans="1:5" x14ac:dyDescent="0.2">
      <c r="A418" s="272">
        <v>45874.792303240742</v>
      </c>
      <c r="B418" t="s">
        <v>771</v>
      </c>
      <c r="C418" t="s">
        <v>626</v>
      </c>
      <c r="D418" t="s">
        <v>926</v>
      </c>
    </row>
    <row r="419" spans="1:5" x14ac:dyDescent="0.2">
      <c r="A419" s="272">
        <v>45874.792581018519</v>
      </c>
      <c r="B419" t="s">
        <v>771</v>
      </c>
      <c r="C419" t="s">
        <v>626</v>
      </c>
      <c r="D419" t="s">
        <v>927</v>
      </c>
      <c r="E419">
        <v>4</v>
      </c>
    </row>
    <row r="420" spans="1:5" x14ac:dyDescent="0.2">
      <c r="A420" s="272">
        <v>45874.792581018519</v>
      </c>
      <c r="B420" t="s">
        <v>771</v>
      </c>
      <c r="C420" t="s">
        <v>626</v>
      </c>
      <c r="D420" t="s">
        <v>928</v>
      </c>
      <c r="E420" t="s">
        <v>8</v>
      </c>
    </row>
    <row r="421" spans="1:5" x14ac:dyDescent="0.2">
      <c r="A421" s="272">
        <v>45874.794085648151</v>
      </c>
      <c r="B421" t="s">
        <v>771</v>
      </c>
      <c r="C421" t="s">
        <v>2</v>
      </c>
      <c r="D421" t="s">
        <v>929</v>
      </c>
    </row>
    <row r="422" spans="1:5" x14ac:dyDescent="0.2">
      <c r="A422" s="272">
        <v>45874.794131944444</v>
      </c>
      <c r="B422" t="s">
        <v>771</v>
      </c>
      <c r="C422" t="s">
        <v>2</v>
      </c>
      <c r="D422" t="s">
        <v>930</v>
      </c>
    </row>
    <row r="423" spans="1:5" x14ac:dyDescent="0.2">
      <c r="A423" s="272">
        <v>45874.794340277775</v>
      </c>
      <c r="B423" t="s">
        <v>771</v>
      </c>
      <c r="C423" t="s">
        <v>2</v>
      </c>
      <c r="D423" t="s">
        <v>931</v>
      </c>
    </row>
    <row r="424" spans="1:5" x14ac:dyDescent="0.2">
      <c r="A424" s="272">
        <v>45874.7971875</v>
      </c>
      <c r="B424" t="s">
        <v>771</v>
      </c>
      <c r="C424" t="s">
        <v>17</v>
      </c>
      <c r="D424" t="s">
        <v>932</v>
      </c>
      <c r="E424" t="s">
        <v>210</v>
      </c>
    </row>
    <row r="425" spans="1:5" ht="48" x14ac:dyDescent="0.2">
      <c r="A425" s="272">
        <v>45874.797361111108</v>
      </c>
      <c r="B425" t="s">
        <v>771</v>
      </c>
      <c r="C425" t="s">
        <v>626</v>
      </c>
      <c r="D425" t="s">
        <v>933</v>
      </c>
      <c r="E425" s="6" t="s">
        <v>934</v>
      </c>
    </row>
    <row r="426" spans="1:5" ht="48" x14ac:dyDescent="0.2">
      <c r="A426" s="272">
        <v>45874.797488425924</v>
      </c>
      <c r="B426" t="s">
        <v>771</v>
      </c>
      <c r="C426" t="s">
        <v>626</v>
      </c>
      <c r="D426" t="s">
        <v>933</v>
      </c>
      <c r="E426" s="6" t="s">
        <v>935</v>
      </c>
    </row>
    <row r="427" spans="1:5" ht="48" x14ac:dyDescent="0.2">
      <c r="A427" s="272">
        <v>45874.79755787037</v>
      </c>
      <c r="B427" t="s">
        <v>771</v>
      </c>
      <c r="C427" t="s">
        <v>626</v>
      </c>
      <c r="D427" t="s">
        <v>933</v>
      </c>
      <c r="E427" s="6" t="s">
        <v>936</v>
      </c>
    </row>
    <row r="428" spans="1:5" ht="48" x14ac:dyDescent="0.2">
      <c r="A428" s="272">
        <v>45874.797997685186</v>
      </c>
      <c r="B428" t="s">
        <v>771</v>
      </c>
      <c r="C428" t="s">
        <v>626</v>
      </c>
      <c r="D428" t="s">
        <v>933</v>
      </c>
      <c r="E428" s="6" t="s">
        <v>94</v>
      </c>
    </row>
    <row r="429" spans="1:5" x14ac:dyDescent="0.2">
      <c r="A429" s="272">
        <v>45874.798611111109</v>
      </c>
      <c r="B429" t="s">
        <v>771</v>
      </c>
      <c r="C429" t="s">
        <v>17</v>
      </c>
      <c r="D429" t="s">
        <v>839</v>
      </c>
    </row>
    <row r="430" spans="1:5" x14ac:dyDescent="0.2">
      <c r="A430" s="272">
        <v>45874.798634259256</v>
      </c>
      <c r="B430" t="s">
        <v>771</v>
      </c>
      <c r="C430" t="s">
        <v>17</v>
      </c>
      <c r="D430" t="s">
        <v>839</v>
      </c>
    </row>
    <row r="431" spans="1:5" x14ac:dyDescent="0.2">
      <c r="A431" s="272">
        <v>45874.798888888887</v>
      </c>
      <c r="B431" t="s">
        <v>771</v>
      </c>
      <c r="C431" t="s">
        <v>17</v>
      </c>
      <c r="D431" t="s">
        <v>932</v>
      </c>
      <c r="E431" t="s">
        <v>210</v>
      </c>
    </row>
    <row r="432" spans="1:5" x14ac:dyDescent="0.2">
      <c r="A432" s="272">
        <v>45874.79896990741</v>
      </c>
      <c r="B432" t="s">
        <v>771</v>
      </c>
      <c r="C432" t="s">
        <v>17</v>
      </c>
      <c r="D432" t="s">
        <v>937</v>
      </c>
      <c r="E432" t="s">
        <v>211</v>
      </c>
    </row>
    <row r="433" spans="1:5" x14ac:dyDescent="0.2">
      <c r="A433" s="272">
        <v>45874.799004629633</v>
      </c>
      <c r="B433" t="s">
        <v>771</v>
      </c>
      <c r="C433" t="s">
        <v>17</v>
      </c>
      <c r="D433" t="s">
        <v>938</v>
      </c>
      <c r="E433" t="s">
        <v>89</v>
      </c>
    </row>
    <row r="434" spans="1:5" x14ac:dyDescent="0.2">
      <c r="A434" s="272">
        <v>45874.799293981479</v>
      </c>
      <c r="B434" t="s">
        <v>771</v>
      </c>
      <c r="C434" t="s">
        <v>17</v>
      </c>
      <c r="D434" t="s">
        <v>939</v>
      </c>
      <c r="E434">
        <v>2021</v>
      </c>
    </row>
    <row r="435" spans="1:5" x14ac:dyDescent="0.2">
      <c r="A435" s="272">
        <v>45874.800752314812</v>
      </c>
      <c r="B435" t="s">
        <v>771</v>
      </c>
      <c r="C435" t="s">
        <v>17</v>
      </c>
      <c r="D435" t="s">
        <v>940</v>
      </c>
      <c r="E435">
        <v>100</v>
      </c>
    </row>
    <row r="436" spans="1:5" x14ac:dyDescent="0.2">
      <c r="A436" s="272">
        <v>45874.803854166668</v>
      </c>
      <c r="B436" t="s">
        <v>771</v>
      </c>
      <c r="C436" t="s">
        <v>626</v>
      </c>
      <c r="D436" t="s">
        <v>941</v>
      </c>
      <c r="E436" t="s">
        <v>942</v>
      </c>
    </row>
    <row r="437" spans="1:5" x14ac:dyDescent="0.2">
      <c r="A437" s="272">
        <v>45874.803993055553</v>
      </c>
      <c r="B437" t="s">
        <v>771</v>
      </c>
      <c r="C437" t="s">
        <v>626</v>
      </c>
      <c r="D437" t="s">
        <v>941</v>
      </c>
      <c r="E437" t="s">
        <v>943</v>
      </c>
    </row>
    <row r="438" spans="1:5" x14ac:dyDescent="0.2">
      <c r="A438" s="272">
        <v>45874.807453703703</v>
      </c>
      <c r="B438" t="s">
        <v>771</v>
      </c>
      <c r="C438" t="s">
        <v>626</v>
      </c>
      <c r="D438" t="s">
        <v>944</v>
      </c>
      <c r="E438" t="s">
        <v>943</v>
      </c>
    </row>
    <row r="439" spans="1:5" x14ac:dyDescent="0.2">
      <c r="A439" s="272">
        <v>45874.807523148149</v>
      </c>
      <c r="B439" t="s">
        <v>771</v>
      </c>
      <c r="C439" t="s">
        <v>626</v>
      </c>
      <c r="D439" t="s">
        <v>945</v>
      </c>
      <c r="E439" t="s">
        <v>943</v>
      </c>
    </row>
    <row r="440" spans="1:5" x14ac:dyDescent="0.2">
      <c r="A440" s="272">
        <v>45874.807986111111</v>
      </c>
      <c r="B440" t="s">
        <v>771</v>
      </c>
      <c r="C440" t="s">
        <v>626</v>
      </c>
      <c r="D440" t="s">
        <v>946</v>
      </c>
      <c r="E440" t="s">
        <v>9</v>
      </c>
    </row>
    <row r="441" spans="1:5" x14ac:dyDescent="0.2">
      <c r="A441" s="272">
        <v>45874.808275462965</v>
      </c>
      <c r="B441" t="s">
        <v>771</v>
      </c>
      <c r="C441" t="s">
        <v>27</v>
      </c>
      <c r="D441" t="s">
        <v>947</v>
      </c>
    </row>
    <row r="442" spans="1:5" x14ac:dyDescent="0.2">
      <c r="A442" s="272">
        <v>45874.808761574073</v>
      </c>
      <c r="B442" t="s">
        <v>771</v>
      </c>
      <c r="C442" t="s">
        <v>27</v>
      </c>
      <c r="D442" t="s">
        <v>948</v>
      </c>
      <c r="E442">
        <v>1</v>
      </c>
    </row>
    <row r="443" spans="1:5" x14ac:dyDescent="0.2">
      <c r="A443" s="272">
        <v>45874.808831018519</v>
      </c>
      <c r="B443" t="s">
        <v>771</v>
      </c>
      <c r="C443" t="s">
        <v>27</v>
      </c>
      <c r="D443" t="s">
        <v>949</v>
      </c>
      <c r="E443">
        <v>1</v>
      </c>
    </row>
    <row r="444" spans="1:5" x14ac:dyDescent="0.2">
      <c r="A444" s="272">
        <v>45874.808958333335</v>
      </c>
      <c r="B444" t="s">
        <v>771</v>
      </c>
      <c r="C444" t="s">
        <v>27</v>
      </c>
      <c r="D444" t="s">
        <v>950</v>
      </c>
      <c r="E444" t="e">
        <v>#VALUE!</v>
      </c>
    </row>
    <row r="445" spans="1:5" x14ac:dyDescent="0.2">
      <c r="A445" s="272">
        <v>45874.80909722222</v>
      </c>
      <c r="B445" t="s">
        <v>771</v>
      </c>
      <c r="C445" t="s">
        <v>27</v>
      </c>
      <c r="D445" t="s">
        <v>948</v>
      </c>
      <c r="E445" t="s">
        <v>177</v>
      </c>
    </row>
    <row r="446" spans="1:5" x14ac:dyDescent="0.2">
      <c r="A446" s="272">
        <v>45874.80914351852</v>
      </c>
      <c r="B446" t="s">
        <v>771</v>
      </c>
      <c r="C446" t="s">
        <v>27</v>
      </c>
      <c r="D446" t="s">
        <v>948</v>
      </c>
      <c r="E446">
        <v>1</v>
      </c>
    </row>
    <row r="447" spans="1:5" x14ac:dyDescent="0.2">
      <c r="A447" s="272">
        <v>45874.809189814812</v>
      </c>
      <c r="B447" t="s">
        <v>771</v>
      </c>
      <c r="C447" t="s">
        <v>27</v>
      </c>
      <c r="D447" t="s">
        <v>950</v>
      </c>
      <c r="E447" t="e">
        <v>#VALUE!</v>
      </c>
    </row>
    <row r="448" spans="1:5" x14ac:dyDescent="0.2">
      <c r="A448" s="272">
        <v>45874.815891203703</v>
      </c>
      <c r="B448" t="s">
        <v>771</v>
      </c>
      <c r="C448" t="s">
        <v>17</v>
      </c>
      <c r="D448" t="s">
        <v>951</v>
      </c>
      <c r="E448" t="s">
        <v>95</v>
      </c>
    </row>
    <row r="449" spans="1:5" x14ac:dyDescent="0.2">
      <c r="A449" s="272">
        <v>45874.817499999997</v>
      </c>
      <c r="B449" t="s">
        <v>771</v>
      </c>
      <c r="C449" t="s">
        <v>626</v>
      </c>
      <c r="D449" t="s">
        <v>952</v>
      </c>
      <c r="E449" t="s">
        <v>953</v>
      </c>
    </row>
    <row r="450" spans="1:5" x14ac:dyDescent="0.2">
      <c r="A450" s="272">
        <v>45874.817546296297</v>
      </c>
      <c r="B450" t="s">
        <v>771</v>
      </c>
      <c r="C450" t="s">
        <v>626</v>
      </c>
      <c r="D450" t="s">
        <v>954</v>
      </c>
      <c r="E450" t="s">
        <v>953</v>
      </c>
    </row>
    <row r="451" spans="1:5" x14ac:dyDescent="0.2">
      <c r="A451" s="272">
        <v>45874.817627314813</v>
      </c>
      <c r="B451" t="s">
        <v>771</v>
      </c>
      <c r="C451" t="s">
        <v>626</v>
      </c>
      <c r="D451" t="s">
        <v>955</v>
      </c>
      <c r="E451" t="s">
        <v>953</v>
      </c>
    </row>
    <row r="452" spans="1:5" x14ac:dyDescent="0.2">
      <c r="A452" s="272">
        <v>45874.818206018521</v>
      </c>
      <c r="B452" t="s">
        <v>771</v>
      </c>
      <c r="C452" t="s">
        <v>27</v>
      </c>
      <c r="D452" t="s">
        <v>948</v>
      </c>
      <c r="E452">
        <v>1</v>
      </c>
    </row>
    <row r="453" spans="1:5" x14ac:dyDescent="0.2">
      <c r="A453" s="272">
        <v>45874.818252314813</v>
      </c>
      <c r="B453" t="s">
        <v>771</v>
      </c>
      <c r="C453" t="s">
        <v>27</v>
      </c>
      <c r="D453" t="s">
        <v>949</v>
      </c>
    </row>
    <row r="454" spans="1:5" x14ac:dyDescent="0.2">
      <c r="A454" s="272">
        <v>45874.818298611113</v>
      </c>
      <c r="B454" t="s">
        <v>771</v>
      </c>
      <c r="C454" t="s">
        <v>27</v>
      </c>
      <c r="D454" t="s">
        <v>950</v>
      </c>
      <c r="E454">
        <v>1</v>
      </c>
    </row>
    <row r="455" spans="1:5" x14ac:dyDescent="0.2">
      <c r="A455" s="272">
        <v>45874.818356481483</v>
      </c>
      <c r="B455" t="s">
        <v>771</v>
      </c>
      <c r="C455" t="s">
        <v>27</v>
      </c>
      <c r="D455" t="s">
        <v>950</v>
      </c>
      <c r="E455">
        <v>2</v>
      </c>
    </row>
    <row r="456" spans="1:5" x14ac:dyDescent="0.2">
      <c r="A456" s="272">
        <v>45874.818425925929</v>
      </c>
      <c r="B456" t="s">
        <v>771</v>
      </c>
      <c r="C456" t="s">
        <v>27</v>
      </c>
      <c r="D456" t="s">
        <v>956</v>
      </c>
      <c r="E456">
        <v>3</v>
      </c>
    </row>
    <row r="457" spans="1:5" x14ac:dyDescent="0.2">
      <c r="A457" s="272">
        <v>45874.818738425929</v>
      </c>
      <c r="B457" t="s">
        <v>771</v>
      </c>
      <c r="C457" t="s">
        <v>626</v>
      </c>
      <c r="D457" t="s">
        <v>957</v>
      </c>
    </row>
    <row r="458" spans="1:5" ht="128" x14ac:dyDescent="0.2">
      <c r="A458" s="272">
        <v>45874.8200462963</v>
      </c>
      <c r="B458" t="s">
        <v>771</v>
      </c>
      <c r="C458" t="s">
        <v>626</v>
      </c>
      <c r="D458" t="s">
        <v>958</v>
      </c>
      <c r="E458" s="6" t="s">
        <v>959</v>
      </c>
    </row>
    <row r="459" spans="1:5" ht="128" x14ac:dyDescent="0.2">
      <c r="A459" s="272">
        <v>45874.820081018515</v>
      </c>
      <c r="B459" t="s">
        <v>771</v>
      </c>
      <c r="C459" t="s">
        <v>626</v>
      </c>
      <c r="D459" t="s">
        <v>958</v>
      </c>
      <c r="E459" s="6" t="s">
        <v>959</v>
      </c>
    </row>
    <row r="460" spans="1:5" x14ac:dyDescent="0.2">
      <c r="A460" s="272">
        <v>45874.821504629632</v>
      </c>
      <c r="B460" t="s">
        <v>771</v>
      </c>
      <c r="C460" t="s">
        <v>106</v>
      </c>
      <c r="D460" t="s">
        <v>960</v>
      </c>
      <c r="E460" t="s">
        <v>953</v>
      </c>
    </row>
    <row r="461" spans="1:5" x14ac:dyDescent="0.2">
      <c r="A461" s="272">
        <v>45874.821608796294</v>
      </c>
      <c r="B461" t="s">
        <v>771</v>
      </c>
      <c r="C461" t="s">
        <v>28</v>
      </c>
      <c r="D461" t="s">
        <v>960</v>
      </c>
      <c r="E461" t="s">
        <v>953</v>
      </c>
    </row>
    <row r="462" spans="1:5" x14ac:dyDescent="0.2">
      <c r="A462" s="272">
        <v>45874.821851851855</v>
      </c>
      <c r="B462" t="s">
        <v>771</v>
      </c>
      <c r="C462" t="s">
        <v>29</v>
      </c>
      <c r="D462" t="s">
        <v>961</v>
      </c>
    </row>
    <row r="463" spans="1:5" x14ac:dyDescent="0.2">
      <c r="A463" s="272">
        <v>45874.821909722225</v>
      </c>
      <c r="B463" t="s">
        <v>771</v>
      </c>
      <c r="C463" t="s">
        <v>29</v>
      </c>
      <c r="D463" t="s">
        <v>962</v>
      </c>
    </row>
    <row r="464" spans="1:5" x14ac:dyDescent="0.2">
      <c r="A464" s="272">
        <v>45875.17046296296</v>
      </c>
      <c r="B464" t="s">
        <v>611</v>
      </c>
      <c r="C464" t="s">
        <v>612</v>
      </c>
      <c r="D464" t="s">
        <v>963</v>
      </c>
      <c r="E464" t="s">
        <v>43</v>
      </c>
    </row>
    <row r="465" spans="1:5" x14ac:dyDescent="0.2">
      <c r="A465" s="272">
        <v>45875.172152777777</v>
      </c>
      <c r="B465" t="s">
        <v>611</v>
      </c>
      <c r="C465" t="s">
        <v>17</v>
      </c>
      <c r="D465" t="s">
        <v>740</v>
      </c>
    </row>
    <row r="466" spans="1:5" x14ac:dyDescent="0.2">
      <c r="A466" s="272">
        <v>45875.172268518516</v>
      </c>
      <c r="B466" t="s">
        <v>611</v>
      </c>
      <c r="C466" t="s">
        <v>17</v>
      </c>
      <c r="D466" t="s">
        <v>964</v>
      </c>
      <c r="E466" t="s">
        <v>81</v>
      </c>
    </row>
    <row r="467" spans="1:5" x14ac:dyDescent="0.2">
      <c r="A467" s="272">
        <v>45875.172303240739</v>
      </c>
      <c r="B467" t="s">
        <v>611</v>
      </c>
      <c r="C467" t="s">
        <v>17</v>
      </c>
      <c r="D467" t="s">
        <v>965</v>
      </c>
      <c r="E467" t="s">
        <v>84</v>
      </c>
    </row>
    <row r="468" spans="1:5" x14ac:dyDescent="0.2">
      <c r="A468" s="272">
        <v>45875.172395833331</v>
      </c>
      <c r="B468" t="s">
        <v>611</v>
      </c>
      <c r="C468" t="s">
        <v>17</v>
      </c>
      <c r="D468" t="s">
        <v>862</v>
      </c>
    </row>
    <row r="469" spans="1:5" x14ac:dyDescent="0.2">
      <c r="A469" s="272">
        <v>45875.173125000001</v>
      </c>
      <c r="B469" t="s">
        <v>611</v>
      </c>
      <c r="C469" t="s">
        <v>17</v>
      </c>
      <c r="D469" t="s">
        <v>791</v>
      </c>
      <c r="E469" t="s">
        <v>966</v>
      </c>
    </row>
    <row r="470" spans="1:5" x14ac:dyDescent="0.2">
      <c r="A470" s="272">
        <v>45875.173993055556</v>
      </c>
      <c r="B470" t="s">
        <v>611</v>
      </c>
      <c r="C470" t="s">
        <v>17</v>
      </c>
      <c r="D470" t="s">
        <v>768</v>
      </c>
      <c r="E470">
        <v>0</v>
      </c>
    </row>
    <row r="471" spans="1:5" x14ac:dyDescent="0.2">
      <c r="A471" s="272">
        <v>45875.174317129633</v>
      </c>
      <c r="B471" t="s">
        <v>611</v>
      </c>
      <c r="C471" t="s">
        <v>17</v>
      </c>
      <c r="D471" t="s">
        <v>967</v>
      </c>
      <c r="E471">
        <v>1</v>
      </c>
    </row>
    <row r="472" spans="1:5" x14ac:dyDescent="0.2">
      <c r="A472" s="272">
        <v>45875.174317129633</v>
      </c>
      <c r="B472" t="s">
        <v>611</v>
      </c>
      <c r="C472" t="s">
        <v>17</v>
      </c>
      <c r="D472" t="s">
        <v>967</v>
      </c>
      <c r="E472">
        <v>1</v>
      </c>
    </row>
    <row r="473" spans="1:5" x14ac:dyDescent="0.2">
      <c r="A473" s="272">
        <v>45875.174317129633</v>
      </c>
      <c r="B473" t="s">
        <v>611</v>
      </c>
      <c r="C473" t="s">
        <v>17</v>
      </c>
      <c r="D473" t="s">
        <v>968</v>
      </c>
      <c r="E473">
        <v>1</v>
      </c>
    </row>
    <row r="474" spans="1:5" x14ac:dyDescent="0.2">
      <c r="A474" s="272">
        <v>45875.174317129633</v>
      </c>
      <c r="B474" t="s">
        <v>611</v>
      </c>
      <c r="C474" t="s">
        <v>17</v>
      </c>
      <c r="D474" t="s">
        <v>969</v>
      </c>
      <c r="E474">
        <v>2</v>
      </c>
    </row>
    <row r="475" spans="1:5" x14ac:dyDescent="0.2">
      <c r="A475" s="272">
        <v>45875.174317129633</v>
      </c>
      <c r="B475" t="s">
        <v>611</v>
      </c>
      <c r="C475" t="s">
        <v>17</v>
      </c>
      <c r="D475" t="s">
        <v>969</v>
      </c>
      <c r="E475">
        <v>2</v>
      </c>
    </row>
    <row r="476" spans="1:5" x14ac:dyDescent="0.2">
      <c r="A476" s="272">
        <v>45875.174675925926</v>
      </c>
      <c r="B476" t="s">
        <v>611</v>
      </c>
      <c r="C476" t="s">
        <v>17</v>
      </c>
      <c r="D476" t="s">
        <v>970</v>
      </c>
      <c r="E476" t="s">
        <v>971</v>
      </c>
    </row>
    <row r="477" spans="1:5" x14ac:dyDescent="0.2">
      <c r="A477" s="272">
        <v>45875.174687500003</v>
      </c>
      <c r="B477" t="s">
        <v>611</v>
      </c>
      <c r="C477" t="s">
        <v>17</v>
      </c>
      <c r="D477" t="s">
        <v>972</v>
      </c>
      <c r="E477" t="s">
        <v>973</v>
      </c>
    </row>
    <row r="478" spans="1:5" x14ac:dyDescent="0.2">
      <c r="A478" s="272">
        <v>45875.174687500003</v>
      </c>
      <c r="B478" t="s">
        <v>611</v>
      </c>
      <c r="C478" t="s">
        <v>17</v>
      </c>
      <c r="D478" t="s">
        <v>974</v>
      </c>
      <c r="E478" t="s">
        <v>975</v>
      </c>
    </row>
    <row r="479" spans="1:5" x14ac:dyDescent="0.2">
      <c r="A479" s="272">
        <v>45875.174687500003</v>
      </c>
      <c r="B479" t="s">
        <v>611</v>
      </c>
      <c r="C479" t="s">
        <v>17</v>
      </c>
      <c r="D479" t="s">
        <v>976</v>
      </c>
      <c r="E479" t="s">
        <v>977</v>
      </c>
    </row>
    <row r="480" spans="1:5" x14ac:dyDescent="0.2">
      <c r="A480" s="272">
        <v>45875.174687500003</v>
      </c>
      <c r="B480" t="s">
        <v>611</v>
      </c>
      <c r="C480" t="s">
        <v>17</v>
      </c>
      <c r="D480" t="s">
        <v>978</v>
      </c>
      <c r="E480" t="s">
        <v>979</v>
      </c>
    </row>
    <row r="481" spans="1:5" x14ac:dyDescent="0.2">
      <c r="A481" s="272">
        <v>45875.174745370372</v>
      </c>
      <c r="B481" t="s">
        <v>611</v>
      </c>
      <c r="C481" t="s">
        <v>17</v>
      </c>
      <c r="D481" t="s">
        <v>978</v>
      </c>
    </row>
    <row r="482" spans="1:5" x14ac:dyDescent="0.2">
      <c r="A482" s="272">
        <v>45875.174745370372</v>
      </c>
      <c r="B482" t="s">
        <v>611</v>
      </c>
      <c r="C482" t="s">
        <v>17</v>
      </c>
      <c r="D482" t="s">
        <v>976</v>
      </c>
    </row>
    <row r="483" spans="1:5" x14ac:dyDescent="0.2">
      <c r="A483" s="272">
        <v>45875.174745370372</v>
      </c>
      <c r="B483" t="s">
        <v>611</v>
      </c>
      <c r="C483" t="s">
        <v>17</v>
      </c>
      <c r="D483" t="s">
        <v>974</v>
      </c>
    </row>
    <row r="484" spans="1:5" x14ac:dyDescent="0.2">
      <c r="A484" s="272">
        <v>45875.174745370372</v>
      </c>
      <c r="B484" t="s">
        <v>611</v>
      </c>
      <c r="C484" t="s">
        <v>17</v>
      </c>
      <c r="D484" t="s">
        <v>972</v>
      </c>
    </row>
    <row r="485" spans="1:5" x14ac:dyDescent="0.2">
      <c r="A485" s="272">
        <v>45875.174745370372</v>
      </c>
      <c r="B485" t="s">
        <v>611</v>
      </c>
      <c r="C485" t="s">
        <v>17</v>
      </c>
      <c r="D485" t="s">
        <v>970</v>
      </c>
    </row>
    <row r="486" spans="1:5" x14ac:dyDescent="0.2">
      <c r="A486" s="272">
        <v>45875.174849537034</v>
      </c>
      <c r="B486" t="s">
        <v>611</v>
      </c>
      <c r="C486" t="s">
        <v>17</v>
      </c>
      <c r="D486" t="s">
        <v>970</v>
      </c>
      <c r="E486" t="s">
        <v>971</v>
      </c>
    </row>
    <row r="487" spans="1:5" x14ac:dyDescent="0.2">
      <c r="A487" s="272">
        <v>45875.174849537034</v>
      </c>
      <c r="B487" t="s">
        <v>611</v>
      </c>
      <c r="C487" t="s">
        <v>17</v>
      </c>
      <c r="D487" t="s">
        <v>972</v>
      </c>
      <c r="E487" t="s">
        <v>973</v>
      </c>
    </row>
    <row r="488" spans="1:5" x14ac:dyDescent="0.2">
      <c r="A488" s="272">
        <v>45875.174849537034</v>
      </c>
      <c r="B488" t="s">
        <v>611</v>
      </c>
      <c r="C488" t="s">
        <v>17</v>
      </c>
      <c r="D488" t="s">
        <v>974</v>
      </c>
      <c r="E488" t="s">
        <v>975</v>
      </c>
    </row>
    <row r="489" spans="1:5" x14ac:dyDescent="0.2">
      <c r="A489" s="272">
        <v>45875.174849537034</v>
      </c>
      <c r="B489" t="s">
        <v>611</v>
      </c>
      <c r="C489" t="s">
        <v>17</v>
      </c>
      <c r="D489" t="s">
        <v>976</v>
      </c>
      <c r="E489" t="s">
        <v>977</v>
      </c>
    </row>
    <row r="490" spans="1:5" x14ac:dyDescent="0.2">
      <c r="A490" s="272">
        <v>45875.174849537034</v>
      </c>
      <c r="B490" t="s">
        <v>611</v>
      </c>
      <c r="C490" t="s">
        <v>17</v>
      </c>
      <c r="D490" t="s">
        <v>978</v>
      </c>
      <c r="E490" t="s">
        <v>979</v>
      </c>
    </row>
    <row r="491" spans="1:5" x14ac:dyDescent="0.2">
      <c r="A491" s="272">
        <v>45875.175694444442</v>
      </c>
      <c r="B491" t="s">
        <v>611</v>
      </c>
      <c r="C491" t="s">
        <v>17</v>
      </c>
      <c r="D491" t="s">
        <v>978</v>
      </c>
    </row>
    <row r="492" spans="1:5" x14ac:dyDescent="0.2">
      <c r="A492" s="272">
        <v>45875.175694444442</v>
      </c>
      <c r="B492" t="s">
        <v>611</v>
      </c>
      <c r="C492" t="s">
        <v>17</v>
      </c>
      <c r="D492" t="s">
        <v>976</v>
      </c>
    </row>
    <row r="493" spans="1:5" x14ac:dyDescent="0.2">
      <c r="A493" s="272">
        <v>45875.175694444442</v>
      </c>
      <c r="B493" t="s">
        <v>611</v>
      </c>
      <c r="C493" t="s">
        <v>17</v>
      </c>
      <c r="D493" t="s">
        <v>974</v>
      </c>
    </row>
    <row r="494" spans="1:5" x14ac:dyDescent="0.2">
      <c r="A494" s="272">
        <v>45875.175694444442</v>
      </c>
      <c r="B494" t="s">
        <v>611</v>
      </c>
      <c r="C494" t="s">
        <v>17</v>
      </c>
      <c r="D494" t="s">
        <v>972</v>
      </c>
    </row>
    <row r="495" spans="1:5" x14ac:dyDescent="0.2">
      <c r="A495" s="272">
        <v>45875.175694444442</v>
      </c>
      <c r="B495" t="s">
        <v>611</v>
      </c>
      <c r="C495" t="s">
        <v>17</v>
      </c>
      <c r="D495" t="s">
        <v>970</v>
      </c>
    </row>
    <row r="496" spans="1:5" x14ac:dyDescent="0.2">
      <c r="A496" s="272">
        <v>45875.176111111112</v>
      </c>
      <c r="B496" t="s">
        <v>611</v>
      </c>
      <c r="C496" t="s">
        <v>17</v>
      </c>
      <c r="D496" t="s">
        <v>980</v>
      </c>
    </row>
    <row r="497" spans="1:5" x14ac:dyDescent="0.2">
      <c r="A497" s="272">
        <v>45875.176319444443</v>
      </c>
      <c r="B497" t="s">
        <v>611</v>
      </c>
      <c r="C497" t="s">
        <v>17</v>
      </c>
      <c r="D497" t="s">
        <v>980</v>
      </c>
    </row>
    <row r="498" spans="1:5" x14ac:dyDescent="0.2">
      <c r="A498" s="272">
        <v>45875.176550925928</v>
      </c>
      <c r="B498" t="s">
        <v>611</v>
      </c>
      <c r="C498" t="s">
        <v>17</v>
      </c>
      <c r="D498" t="s">
        <v>981</v>
      </c>
      <c r="E498">
        <v>0</v>
      </c>
    </row>
    <row r="499" spans="1:5" x14ac:dyDescent="0.2">
      <c r="A499" s="272">
        <v>45875.179756944446</v>
      </c>
      <c r="B499" t="s">
        <v>611</v>
      </c>
      <c r="C499" t="s">
        <v>17</v>
      </c>
      <c r="D499" t="s">
        <v>980</v>
      </c>
    </row>
    <row r="500" spans="1:5" x14ac:dyDescent="0.2">
      <c r="A500" s="272">
        <v>45875.184328703705</v>
      </c>
      <c r="B500" t="s">
        <v>611</v>
      </c>
      <c r="C500" t="s">
        <v>17</v>
      </c>
      <c r="D500" t="s">
        <v>982</v>
      </c>
    </row>
    <row r="501" spans="1:5" x14ac:dyDescent="0.2">
      <c r="A501" s="272">
        <v>45875.184374999997</v>
      </c>
      <c r="B501" t="s">
        <v>611</v>
      </c>
      <c r="C501" t="s">
        <v>17</v>
      </c>
      <c r="D501" t="s">
        <v>983</v>
      </c>
      <c r="E501" t="s">
        <v>47</v>
      </c>
    </row>
    <row r="502" spans="1:5" x14ac:dyDescent="0.2">
      <c r="A502" s="272">
        <v>45875.184942129628</v>
      </c>
      <c r="B502" t="s">
        <v>611</v>
      </c>
      <c r="C502" t="s">
        <v>17</v>
      </c>
      <c r="D502" t="s">
        <v>984</v>
      </c>
    </row>
    <row r="503" spans="1:5" x14ac:dyDescent="0.2">
      <c r="A503" s="272">
        <v>45875.185127314813</v>
      </c>
      <c r="B503" t="s">
        <v>611</v>
      </c>
      <c r="C503" t="s">
        <v>17</v>
      </c>
      <c r="D503" t="s">
        <v>985</v>
      </c>
    </row>
    <row r="504" spans="1:5" x14ac:dyDescent="0.2">
      <c r="A504" s="272">
        <v>45875.185185185182</v>
      </c>
      <c r="B504" t="s">
        <v>611</v>
      </c>
      <c r="C504" t="s">
        <v>17</v>
      </c>
      <c r="D504" t="s">
        <v>986</v>
      </c>
    </row>
    <row r="505" spans="1:5" x14ac:dyDescent="0.2">
      <c r="A505" s="272">
        <v>45875.190069444441</v>
      </c>
      <c r="B505" t="s">
        <v>611</v>
      </c>
      <c r="C505" t="s">
        <v>17</v>
      </c>
      <c r="D505" t="s">
        <v>974</v>
      </c>
      <c r="E505" t="s">
        <v>204</v>
      </c>
    </row>
    <row r="506" spans="1:5" x14ac:dyDescent="0.2">
      <c r="A506" s="272">
        <v>45875.190104166664</v>
      </c>
      <c r="B506" t="s">
        <v>611</v>
      </c>
      <c r="C506" t="s">
        <v>17</v>
      </c>
      <c r="D506" t="s">
        <v>976</v>
      </c>
      <c r="E506" t="s">
        <v>89</v>
      </c>
    </row>
    <row r="507" spans="1:5" x14ac:dyDescent="0.2">
      <c r="A507" s="272">
        <v>45875.190138888887</v>
      </c>
      <c r="B507" t="s">
        <v>611</v>
      </c>
      <c r="C507" t="s">
        <v>17</v>
      </c>
      <c r="D507" t="s">
        <v>970</v>
      </c>
      <c r="E507" t="s">
        <v>203</v>
      </c>
    </row>
    <row r="508" spans="1:5" x14ac:dyDescent="0.2">
      <c r="A508" s="272">
        <v>45875.190925925926</v>
      </c>
      <c r="B508" t="s">
        <v>611</v>
      </c>
      <c r="C508" t="s">
        <v>17</v>
      </c>
      <c r="D508" t="s">
        <v>987</v>
      </c>
      <c r="E508" t="s">
        <v>211</v>
      </c>
    </row>
    <row r="509" spans="1:5" x14ac:dyDescent="0.2">
      <c r="A509" s="272">
        <v>45875.191666666666</v>
      </c>
      <c r="B509" t="s">
        <v>611</v>
      </c>
      <c r="C509" t="s">
        <v>17</v>
      </c>
      <c r="D509" t="s">
        <v>987</v>
      </c>
      <c r="E509" t="s">
        <v>210</v>
      </c>
    </row>
    <row r="510" spans="1:5" x14ac:dyDescent="0.2">
      <c r="A510" s="272">
        <v>45875.191701388889</v>
      </c>
      <c r="B510" t="s">
        <v>611</v>
      </c>
      <c r="C510" t="s">
        <v>17</v>
      </c>
      <c r="D510" t="s">
        <v>987</v>
      </c>
      <c r="E510" t="s">
        <v>211</v>
      </c>
    </row>
    <row r="511" spans="1:5" x14ac:dyDescent="0.2">
      <c r="A511" s="272">
        <v>45875.192187499997</v>
      </c>
      <c r="B511" t="s">
        <v>611</v>
      </c>
      <c r="C511" t="s">
        <v>17</v>
      </c>
      <c r="D511" t="s">
        <v>987</v>
      </c>
      <c r="E511" t="s">
        <v>210</v>
      </c>
    </row>
    <row r="512" spans="1:5" x14ac:dyDescent="0.2">
      <c r="A512" s="272">
        <v>45875.196435185186</v>
      </c>
      <c r="B512" t="s">
        <v>611</v>
      </c>
      <c r="C512" t="s">
        <v>17</v>
      </c>
      <c r="D512" t="s">
        <v>988</v>
      </c>
    </row>
    <row r="513" spans="1:5" x14ac:dyDescent="0.2">
      <c r="A513" s="272">
        <v>45875.196585648147</v>
      </c>
      <c r="B513" t="s">
        <v>611</v>
      </c>
      <c r="C513" t="s">
        <v>17</v>
      </c>
      <c r="D513" t="s">
        <v>989</v>
      </c>
    </row>
    <row r="514" spans="1:5" x14ac:dyDescent="0.2">
      <c r="A514" s="272">
        <v>45875.197812500002</v>
      </c>
      <c r="B514" t="s">
        <v>611</v>
      </c>
      <c r="C514" t="s">
        <v>17</v>
      </c>
      <c r="D514" t="s">
        <v>987</v>
      </c>
      <c r="E514" t="s">
        <v>211</v>
      </c>
    </row>
    <row r="515" spans="1:5" x14ac:dyDescent="0.2">
      <c r="A515" s="272">
        <v>45875.19809027778</v>
      </c>
      <c r="B515" t="s">
        <v>611</v>
      </c>
      <c r="C515" t="s">
        <v>17</v>
      </c>
      <c r="D515" t="s">
        <v>987</v>
      </c>
      <c r="E515" t="s">
        <v>210</v>
      </c>
    </row>
    <row r="516" spans="1:5" x14ac:dyDescent="0.2">
      <c r="A516" s="272">
        <v>45875.198113425926</v>
      </c>
      <c r="B516" t="s">
        <v>611</v>
      </c>
      <c r="C516" t="s">
        <v>17</v>
      </c>
      <c r="D516" t="s">
        <v>987</v>
      </c>
      <c r="E516" t="s">
        <v>211</v>
      </c>
    </row>
    <row r="517" spans="1:5" x14ac:dyDescent="0.2">
      <c r="A517" s="272">
        <v>45875.199050925927</v>
      </c>
      <c r="B517" t="s">
        <v>611</v>
      </c>
      <c r="C517" t="s">
        <v>17</v>
      </c>
      <c r="D517" t="s">
        <v>987</v>
      </c>
      <c r="E517" t="s">
        <v>210</v>
      </c>
    </row>
    <row r="518" spans="1:5" x14ac:dyDescent="0.2">
      <c r="A518" s="272">
        <v>45875.199074074073</v>
      </c>
      <c r="B518" t="s">
        <v>611</v>
      </c>
      <c r="C518" t="s">
        <v>17</v>
      </c>
      <c r="D518" t="s">
        <v>987</v>
      </c>
      <c r="E518" t="s">
        <v>211</v>
      </c>
    </row>
    <row r="519" spans="1:5" x14ac:dyDescent="0.2">
      <c r="A519" s="272">
        <v>45875.199525462966</v>
      </c>
      <c r="B519" t="s">
        <v>611</v>
      </c>
      <c r="C519" t="s">
        <v>17</v>
      </c>
      <c r="D519" t="s">
        <v>990</v>
      </c>
      <c r="E519" t="s">
        <v>210</v>
      </c>
    </row>
    <row r="520" spans="1:5" x14ac:dyDescent="0.2">
      <c r="A520" s="272">
        <v>45875.199548611112</v>
      </c>
      <c r="B520" t="s">
        <v>611</v>
      </c>
      <c r="C520" t="s">
        <v>17</v>
      </c>
      <c r="D520" t="s">
        <v>990</v>
      </c>
      <c r="E520" t="s">
        <v>211</v>
      </c>
    </row>
    <row r="521" spans="1:5" x14ac:dyDescent="0.2">
      <c r="A521" s="272">
        <v>45875.199594907404</v>
      </c>
      <c r="B521" t="s">
        <v>611</v>
      </c>
      <c r="C521" t="s">
        <v>17</v>
      </c>
      <c r="D521" t="s">
        <v>987</v>
      </c>
    </row>
    <row r="522" spans="1:5" x14ac:dyDescent="0.2">
      <c r="A522" s="272">
        <v>45875.199618055558</v>
      </c>
      <c r="B522" t="s">
        <v>611</v>
      </c>
      <c r="C522" t="s">
        <v>17</v>
      </c>
      <c r="D522" t="s">
        <v>990</v>
      </c>
    </row>
    <row r="523" spans="1:5" x14ac:dyDescent="0.2">
      <c r="A523" s="272">
        <v>45875.201064814813</v>
      </c>
      <c r="B523" t="s">
        <v>611</v>
      </c>
      <c r="C523" t="s">
        <v>17</v>
      </c>
      <c r="D523" t="s">
        <v>987</v>
      </c>
      <c r="E523" t="s">
        <v>211</v>
      </c>
    </row>
    <row r="524" spans="1:5" x14ac:dyDescent="0.2">
      <c r="A524" s="272">
        <v>45875.201909722222</v>
      </c>
      <c r="B524" t="s">
        <v>611</v>
      </c>
      <c r="C524" t="s">
        <v>17</v>
      </c>
      <c r="D524" t="s">
        <v>987</v>
      </c>
      <c r="E524" t="s">
        <v>210</v>
      </c>
    </row>
    <row r="525" spans="1:5" x14ac:dyDescent="0.2">
      <c r="A525" s="272">
        <v>45875.202499999999</v>
      </c>
      <c r="B525" t="s">
        <v>611</v>
      </c>
      <c r="C525" t="s">
        <v>17</v>
      </c>
      <c r="D525" t="s">
        <v>991</v>
      </c>
      <c r="E525" t="s">
        <v>210</v>
      </c>
    </row>
    <row r="526" spans="1:5" x14ac:dyDescent="0.2">
      <c r="A526" s="272">
        <v>45875.202557870369</v>
      </c>
      <c r="B526" t="s">
        <v>611</v>
      </c>
      <c r="C526" t="s">
        <v>17</v>
      </c>
      <c r="D526" t="s">
        <v>991</v>
      </c>
    </row>
    <row r="527" spans="1:5" x14ac:dyDescent="0.2">
      <c r="A527" s="272">
        <v>45875.20275462963</v>
      </c>
      <c r="B527" t="s">
        <v>611</v>
      </c>
      <c r="C527" t="s">
        <v>17</v>
      </c>
      <c r="D527" t="s">
        <v>992</v>
      </c>
    </row>
    <row r="528" spans="1:5" x14ac:dyDescent="0.2">
      <c r="A528" s="272">
        <v>45875.202777777777</v>
      </c>
      <c r="B528" t="s">
        <v>611</v>
      </c>
      <c r="C528" t="s">
        <v>17</v>
      </c>
      <c r="D528" t="s">
        <v>993</v>
      </c>
    </row>
    <row r="529" spans="1:5" x14ac:dyDescent="0.2">
      <c r="A529" s="272">
        <v>45875.202777777777</v>
      </c>
      <c r="B529" t="s">
        <v>611</v>
      </c>
      <c r="C529" t="s">
        <v>17</v>
      </c>
      <c r="D529" t="s">
        <v>994</v>
      </c>
    </row>
    <row r="530" spans="1:5" x14ac:dyDescent="0.2">
      <c r="A530" s="272">
        <v>45875.203414351854</v>
      </c>
      <c r="B530" t="s">
        <v>611</v>
      </c>
      <c r="C530" t="s">
        <v>17</v>
      </c>
      <c r="D530" t="s">
        <v>987</v>
      </c>
      <c r="E530" t="s">
        <v>89</v>
      </c>
    </row>
    <row r="531" spans="1:5" x14ac:dyDescent="0.2">
      <c r="A531" s="272">
        <v>45875.203449074077</v>
      </c>
      <c r="B531" t="s">
        <v>611</v>
      </c>
      <c r="C531" t="s">
        <v>17</v>
      </c>
      <c r="D531" t="s">
        <v>995</v>
      </c>
      <c r="E531" t="s">
        <v>89</v>
      </c>
    </row>
    <row r="532" spans="1:5" x14ac:dyDescent="0.2">
      <c r="A532" s="272">
        <v>45875.20722222222</v>
      </c>
      <c r="B532" t="s">
        <v>611</v>
      </c>
      <c r="C532" t="s">
        <v>17</v>
      </c>
      <c r="D532" t="s">
        <v>996</v>
      </c>
    </row>
    <row r="533" spans="1:5" x14ac:dyDescent="0.2">
      <c r="A533" s="272">
        <v>45875.207731481481</v>
      </c>
      <c r="B533" t="s">
        <v>611</v>
      </c>
      <c r="C533" t="s">
        <v>106</v>
      </c>
      <c r="D533" t="s">
        <v>997</v>
      </c>
      <c r="E533" t="s">
        <v>49</v>
      </c>
    </row>
    <row r="534" spans="1:5" x14ac:dyDescent="0.2">
      <c r="A534" s="272">
        <v>45875.20826388889</v>
      </c>
      <c r="B534" t="s">
        <v>611</v>
      </c>
      <c r="C534" t="s">
        <v>17</v>
      </c>
      <c r="D534" t="s">
        <v>996</v>
      </c>
    </row>
    <row r="535" spans="1:5" x14ac:dyDescent="0.2">
      <c r="A535" s="272">
        <v>45875.208333333336</v>
      </c>
      <c r="B535" t="s">
        <v>611</v>
      </c>
      <c r="C535" t="s">
        <v>17</v>
      </c>
      <c r="D535" t="s">
        <v>992</v>
      </c>
      <c r="E535" t="s">
        <v>92</v>
      </c>
    </row>
    <row r="536" spans="1:5" x14ac:dyDescent="0.2">
      <c r="A536" s="272">
        <v>45875.208657407406</v>
      </c>
      <c r="B536" t="s">
        <v>611</v>
      </c>
      <c r="C536" t="s">
        <v>17</v>
      </c>
      <c r="D536" t="s">
        <v>998</v>
      </c>
      <c r="E536">
        <v>0</v>
      </c>
    </row>
    <row r="537" spans="1:5" x14ac:dyDescent="0.2">
      <c r="A537" s="272">
        <v>45875.208715277775</v>
      </c>
      <c r="B537" t="s">
        <v>611</v>
      </c>
      <c r="C537" t="s">
        <v>17</v>
      </c>
      <c r="D537" t="s">
        <v>999</v>
      </c>
      <c r="E537" t="s">
        <v>49</v>
      </c>
    </row>
    <row r="538" spans="1:5" x14ac:dyDescent="0.2">
      <c r="A538" s="272">
        <v>45875.208784722221</v>
      </c>
      <c r="B538" t="s">
        <v>611</v>
      </c>
      <c r="C538" t="s">
        <v>17</v>
      </c>
      <c r="D538" t="s">
        <v>1000</v>
      </c>
      <c r="E538" t="s">
        <v>180</v>
      </c>
    </row>
    <row r="539" spans="1:5" x14ac:dyDescent="0.2">
      <c r="A539" s="272">
        <v>45875.208819444444</v>
      </c>
      <c r="B539" t="s">
        <v>611</v>
      </c>
      <c r="C539" t="s">
        <v>17</v>
      </c>
      <c r="D539" t="s">
        <v>1000</v>
      </c>
      <c r="E539" t="s">
        <v>45</v>
      </c>
    </row>
    <row r="540" spans="1:5" x14ac:dyDescent="0.2">
      <c r="A540" s="272">
        <v>45875.209849537037</v>
      </c>
      <c r="B540" t="s">
        <v>611</v>
      </c>
      <c r="C540" t="s">
        <v>17</v>
      </c>
      <c r="D540" t="s">
        <v>1001</v>
      </c>
    </row>
    <row r="541" spans="1:5" x14ac:dyDescent="0.2">
      <c r="A541" s="272">
        <v>45875.209849537037</v>
      </c>
      <c r="B541" t="s">
        <v>611</v>
      </c>
      <c r="C541" t="s">
        <v>17</v>
      </c>
      <c r="D541" t="s">
        <v>1001</v>
      </c>
      <c r="E541">
        <v>0</v>
      </c>
    </row>
    <row r="542" spans="1:5" x14ac:dyDescent="0.2">
      <c r="A542" s="272">
        <v>45875.210034722222</v>
      </c>
      <c r="B542" t="s">
        <v>611</v>
      </c>
      <c r="C542" t="s">
        <v>106</v>
      </c>
      <c r="D542" t="s">
        <v>1002</v>
      </c>
      <c r="E542">
        <v>3000</v>
      </c>
    </row>
    <row r="543" spans="1:5" x14ac:dyDescent="0.2">
      <c r="A543" s="272">
        <v>45875.210798611108</v>
      </c>
      <c r="B543" t="s">
        <v>611</v>
      </c>
      <c r="C543" t="s">
        <v>17</v>
      </c>
      <c r="D543" t="s">
        <v>1001</v>
      </c>
      <c r="E543" t="e">
        <v>#VALUE!</v>
      </c>
    </row>
    <row r="544" spans="1:5" x14ac:dyDescent="0.2">
      <c r="A544" s="272">
        <v>45875.2108912037</v>
      </c>
      <c r="B544" t="s">
        <v>611</v>
      </c>
      <c r="C544" t="s">
        <v>17</v>
      </c>
      <c r="D544" t="s">
        <v>1001</v>
      </c>
      <c r="E544" t="e">
        <v>#VALUE!</v>
      </c>
    </row>
    <row r="545" spans="1:5" x14ac:dyDescent="0.2">
      <c r="A545" s="272">
        <v>45875.210914351854</v>
      </c>
      <c r="B545" t="s">
        <v>611</v>
      </c>
      <c r="C545" t="s">
        <v>17</v>
      </c>
      <c r="D545" t="s">
        <v>1001</v>
      </c>
    </row>
    <row r="546" spans="1:5" x14ac:dyDescent="0.2">
      <c r="A546" s="272">
        <v>45875.211793981478</v>
      </c>
      <c r="B546" t="s">
        <v>611</v>
      </c>
      <c r="C546" t="s">
        <v>29</v>
      </c>
      <c r="D546" t="s">
        <v>1001</v>
      </c>
      <c r="E546">
        <v>0</v>
      </c>
    </row>
    <row r="547" spans="1:5" x14ac:dyDescent="0.2">
      <c r="A547" s="272">
        <v>45875.212766203702</v>
      </c>
      <c r="B547" t="s">
        <v>611</v>
      </c>
      <c r="C547" t="s">
        <v>17</v>
      </c>
      <c r="D547" t="s">
        <v>1001</v>
      </c>
      <c r="E547">
        <v>0</v>
      </c>
    </row>
    <row r="548" spans="1:5" x14ac:dyDescent="0.2">
      <c r="A548" s="272">
        <v>45875.212835648148</v>
      </c>
      <c r="B548" t="s">
        <v>611</v>
      </c>
      <c r="C548" t="s">
        <v>17</v>
      </c>
      <c r="D548" t="s">
        <v>1003</v>
      </c>
      <c r="E548" t="s">
        <v>203</v>
      </c>
    </row>
    <row r="549" spans="1:5" x14ac:dyDescent="0.2">
      <c r="A549" s="272">
        <v>45875.212858796294</v>
      </c>
      <c r="B549" t="s">
        <v>611</v>
      </c>
      <c r="C549" t="s">
        <v>17</v>
      </c>
      <c r="D549" t="s">
        <v>1004</v>
      </c>
      <c r="E549" t="s">
        <v>1005</v>
      </c>
    </row>
    <row r="550" spans="1:5" x14ac:dyDescent="0.2">
      <c r="A550" s="272">
        <v>45875.212951388887</v>
      </c>
      <c r="B550" t="s">
        <v>611</v>
      </c>
      <c r="C550" t="s">
        <v>17</v>
      </c>
      <c r="D550" t="s">
        <v>1004</v>
      </c>
      <c r="E550" t="s">
        <v>204</v>
      </c>
    </row>
    <row r="551" spans="1:5" x14ac:dyDescent="0.2">
      <c r="A551" s="272">
        <v>45875.21297453704</v>
      </c>
      <c r="B551" t="s">
        <v>611</v>
      </c>
      <c r="C551" t="s">
        <v>17</v>
      </c>
      <c r="D551" t="s">
        <v>1006</v>
      </c>
      <c r="E551" t="s">
        <v>89</v>
      </c>
    </row>
    <row r="552" spans="1:5" x14ac:dyDescent="0.2">
      <c r="A552" s="272">
        <v>45875.213043981479</v>
      </c>
      <c r="B552" t="s">
        <v>611</v>
      </c>
      <c r="C552" t="s">
        <v>17</v>
      </c>
      <c r="D552" t="s">
        <v>990</v>
      </c>
      <c r="E552" t="s">
        <v>211</v>
      </c>
    </row>
    <row r="553" spans="1:5" x14ac:dyDescent="0.2">
      <c r="A553" s="272">
        <v>45875.213159722225</v>
      </c>
      <c r="B553" t="s">
        <v>611</v>
      </c>
      <c r="C553" t="s">
        <v>17</v>
      </c>
      <c r="D553" t="s">
        <v>1003</v>
      </c>
      <c r="E553" t="s">
        <v>1007</v>
      </c>
    </row>
    <row r="554" spans="1:5" x14ac:dyDescent="0.2">
      <c r="A554" s="272">
        <v>45875.213217592594</v>
      </c>
      <c r="B554" t="s">
        <v>611</v>
      </c>
      <c r="C554" t="s">
        <v>17</v>
      </c>
      <c r="D554" t="s">
        <v>1003</v>
      </c>
      <c r="E554" t="s">
        <v>211</v>
      </c>
    </row>
    <row r="555" spans="1:5" x14ac:dyDescent="0.2">
      <c r="A555" s="272">
        <v>45875.213287037041</v>
      </c>
      <c r="B555" t="s">
        <v>611</v>
      </c>
      <c r="C555" t="s">
        <v>17</v>
      </c>
      <c r="D555" t="s">
        <v>1008</v>
      </c>
      <c r="E555" t="s">
        <v>214</v>
      </c>
    </row>
    <row r="556" spans="1:5" x14ac:dyDescent="0.2">
      <c r="A556" s="272">
        <v>45875.213310185187</v>
      </c>
      <c r="B556" t="s">
        <v>611</v>
      </c>
      <c r="C556" t="s">
        <v>17</v>
      </c>
      <c r="D556" t="s">
        <v>1009</v>
      </c>
      <c r="E556">
        <v>5</v>
      </c>
    </row>
    <row r="557" spans="1:5" x14ac:dyDescent="0.2">
      <c r="A557" s="272">
        <v>45875.213472222225</v>
      </c>
      <c r="B557" t="s">
        <v>611</v>
      </c>
      <c r="C557" t="s">
        <v>17</v>
      </c>
      <c r="D557" t="s">
        <v>1010</v>
      </c>
      <c r="E557" t="s">
        <v>92</v>
      </c>
    </row>
    <row r="558" spans="1:5" x14ac:dyDescent="0.2">
      <c r="A558" s="272">
        <v>45875.213680555556</v>
      </c>
      <c r="B558" t="s">
        <v>611</v>
      </c>
      <c r="C558" t="s">
        <v>17</v>
      </c>
      <c r="D558" t="s">
        <v>1011</v>
      </c>
      <c r="E558">
        <v>0</v>
      </c>
    </row>
    <row r="559" spans="1:5" x14ac:dyDescent="0.2">
      <c r="A559" s="272">
        <v>45875.213819444441</v>
      </c>
      <c r="B559" t="s">
        <v>611</v>
      </c>
      <c r="C559" t="s">
        <v>17</v>
      </c>
      <c r="D559" t="s">
        <v>1012</v>
      </c>
      <c r="E559">
        <v>0</v>
      </c>
    </row>
    <row r="560" spans="1:5" x14ac:dyDescent="0.2">
      <c r="A560" s="272">
        <v>45875.213865740741</v>
      </c>
      <c r="B560" t="s">
        <v>611</v>
      </c>
      <c r="C560" t="s">
        <v>17</v>
      </c>
      <c r="D560" t="s">
        <v>1013</v>
      </c>
      <c r="E560">
        <v>5</v>
      </c>
    </row>
    <row r="561" spans="1:5" x14ac:dyDescent="0.2">
      <c r="A561" s="272">
        <v>45875.213958333334</v>
      </c>
      <c r="B561" t="s">
        <v>611</v>
      </c>
      <c r="C561" t="s">
        <v>17</v>
      </c>
      <c r="D561" t="s">
        <v>1002</v>
      </c>
      <c r="E561">
        <v>0</v>
      </c>
    </row>
    <row r="562" spans="1:5" x14ac:dyDescent="0.2">
      <c r="A562" s="272">
        <v>45875.214560185188</v>
      </c>
      <c r="B562" t="s">
        <v>611</v>
      </c>
      <c r="C562" t="s">
        <v>17</v>
      </c>
      <c r="D562" t="s">
        <v>1001</v>
      </c>
      <c r="E562">
        <v>5</v>
      </c>
    </row>
    <row r="563" spans="1:5" x14ac:dyDescent="0.2">
      <c r="A563" s="272">
        <v>45875.214583333334</v>
      </c>
      <c r="B563" t="s">
        <v>611</v>
      </c>
      <c r="C563" t="s">
        <v>17</v>
      </c>
      <c r="D563" t="s">
        <v>1013</v>
      </c>
      <c r="E563">
        <v>5</v>
      </c>
    </row>
    <row r="564" spans="1:5" x14ac:dyDescent="0.2">
      <c r="A564" s="272">
        <v>45875.21465277778</v>
      </c>
      <c r="B564" t="s">
        <v>611</v>
      </c>
      <c r="C564" t="s">
        <v>17</v>
      </c>
      <c r="D564" t="s">
        <v>1002</v>
      </c>
      <c r="E564">
        <v>0</v>
      </c>
    </row>
    <row r="565" spans="1:5" x14ac:dyDescent="0.2">
      <c r="A565" s="272">
        <v>45875.214814814812</v>
      </c>
      <c r="B565" t="s">
        <v>611</v>
      </c>
      <c r="C565" t="s">
        <v>17</v>
      </c>
      <c r="D565" t="s">
        <v>1012</v>
      </c>
      <c r="E565">
        <v>0</v>
      </c>
    </row>
    <row r="566" spans="1:5" x14ac:dyDescent="0.2">
      <c r="A566" s="272">
        <v>45875.215127314812</v>
      </c>
      <c r="B566" t="s">
        <v>611</v>
      </c>
      <c r="C566" t="s">
        <v>17</v>
      </c>
      <c r="D566" t="s">
        <v>1012</v>
      </c>
      <c r="E566">
        <v>0</v>
      </c>
    </row>
    <row r="567" spans="1:5" x14ac:dyDescent="0.2">
      <c r="A567" s="272">
        <v>45875.215243055558</v>
      </c>
      <c r="B567" t="s">
        <v>611</v>
      </c>
      <c r="C567" t="s">
        <v>17</v>
      </c>
      <c r="D567" t="s">
        <v>1012</v>
      </c>
      <c r="E567">
        <v>0</v>
      </c>
    </row>
    <row r="568" spans="1:5" x14ac:dyDescent="0.2">
      <c r="A568" s="272">
        <v>45875.215312499997</v>
      </c>
      <c r="B568" t="s">
        <v>611</v>
      </c>
      <c r="C568" t="s">
        <v>17</v>
      </c>
      <c r="D568" t="s">
        <v>1014</v>
      </c>
      <c r="E568">
        <v>5</v>
      </c>
    </row>
    <row r="569" spans="1:5" x14ac:dyDescent="0.2">
      <c r="A569" s="272">
        <v>45875.215439814812</v>
      </c>
      <c r="B569" t="s">
        <v>611</v>
      </c>
      <c r="C569" t="s">
        <v>17</v>
      </c>
      <c r="D569" t="s">
        <v>1012</v>
      </c>
      <c r="E569">
        <v>0</v>
      </c>
    </row>
    <row r="570" spans="1:5" x14ac:dyDescent="0.2">
      <c r="A570" s="272">
        <v>45875.215462962966</v>
      </c>
      <c r="B570" t="s">
        <v>611</v>
      </c>
      <c r="C570" t="s">
        <v>17</v>
      </c>
      <c r="D570" t="s">
        <v>1015</v>
      </c>
      <c r="E570">
        <v>0</v>
      </c>
    </row>
    <row r="571" spans="1:5" x14ac:dyDescent="0.2">
      <c r="A571" s="272">
        <v>45875.215509259258</v>
      </c>
      <c r="B571" t="s">
        <v>611</v>
      </c>
      <c r="C571" t="s">
        <v>17</v>
      </c>
      <c r="D571" t="s">
        <v>1011</v>
      </c>
      <c r="E571">
        <v>0</v>
      </c>
    </row>
    <row r="572" spans="1:5" x14ac:dyDescent="0.2">
      <c r="A572" s="272">
        <v>45875.215578703705</v>
      </c>
      <c r="B572" t="s">
        <v>611</v>
      </c>
      <c r="C572" t="s">
        <v>17</v>
      </c>
      <c r="D572" t="s">
        <v>1016</v>
      </c>
      <c r="E572">
        <v>0</v>
      </c>
    </row>
    <row r="573" spans="1:5" x14ac:dyDescent="0.2">
      <c r="A573" s="272">
        <v>45875.215648148151</v>
      </c>
      <c r="B573" t="s">
        <v>611</v>
      </c>
      <c r="C573" t="s">
        <v>17</v>
      </c>
      <c r="D573" t="s">
        <v>1017</v>
      </c>
      <c r="E573" t="e">
        <v>#REF!</v>
      </c>
    </row>
    <row r="574" spans="1:5" x14ac:dyDescent="0.2">
      <c r="A574" s="272">
        <v>45875.215694444443</v>
      </c>
      <c r="B574" t="s">
        <v>611</v>
      </c>
      <c r="C574" t="s">
        <v>17</v>
      </c>
      <c r="D574" t="s">
        <v>1018</v>
      </c>
      <c r="E574">
        <v>0</v>
      </c>
    </row>
    <row r="575" spans="1:5" x14ac:dyDescent="0.2">
      <c r="A575" s="272">
        <v>45875.21570601852</v>
      </c>
      <c r="B575" t="s">
        <v>611</v>
      </c>
      <c r="C575" t="s">
        <v>17</v>
      </c>
      <c r="D575" t="s">
        <v>1019</v>
      </c>
      <c r="E575">
        <v>0</v>
      </c>
    </row>
    <row r="576" spans="1:5" x14ac:dyDescent="0.2">
      <c r="A576" s="272">
        <v>45875.215752314813</v>
      </c>
      <c r="B576" t="s">
        <v>611</v>
      </c>
      <c r="C576" t="s">
        <v>17</v>
      </c>
      <c r="D576" t="s">
        <v>1016</v>
      </c>
      <c r="E576">
        <v>0</v>
      </c>
    </row>
    <row r="577" spans="1:5" x14ac:dyDescent="0.2">
      <c r="A577" s="272">
        <v>45875.215775462966</v>
      </c>
      <c r="B577" t="s">
        <v>611</v>
      </c>
      <c r="C577" t="s">
        <v>17</v>
      </c>
      <c r="D577" t="s">
        <v>1020</v>
      </c>
      <c r="E577">
        <v>0</v>
      </c>
    </row>
    <row r="578" spans="1:5" x14ac:dyDescent="0.2">
      <c r="A578" s="272">
        <v>45875.215798611112</v>
      </c>
      <c r="B578" t="s">
        <v>611</v>
      </c>
      <c r="C578" t="s">
        <v>17</v>
      </c>
      <c r="D578" t="s">
        <v>1021</v>
      </c>
      <c r="E578">
        <v>0</v>
      </c>
    </row>
    <row r="579" spans="1:5" x14ac:dyDescent="0.2">
      <c r="A579" s="272">
        <v>45875.215844907405</v>
      </c>
      <c r="B579" t="s">
        <v>611</v>
      </c>
      <c r="C579" t="s">
        <v>17</v>
      </c>
      <c r="D579" t="s">
        <v>1016</v>
      </c>
      <c r="E579">
        <v>0</v>
      </c>
    </row>
    <row r="580" spans="1:5" x14ac:dyDescent="0.2">
      <c r="A580" s="272">
        <v>45875.215879629628</v>
      </c>
      <c r="B580" t="s">
        <v>611</v>
      </c>
      <c r="C580" t="s">
        <v>17</v>
      </c>
      <c r="D580" t="s">
        <v>1017</v>
      </c>
      <c r="E580">
        <v>0</v>
      </c>
    </row>
    <row r="581" spans="1:5" x14ac:dyDescent="0.2">
      <c r="A581" s="272">
        <v>45875.215937499997</v>
      </c>
      <c r="B581" t="s">
        <v>611</v>
      </c>
      <c r="C581" t="s">
        <v>17</v>
      </c>
      <c r="D581" t="s">
        <v>1022</v>
      </c>
      <c r="E581">
        <v>0</v>
      </c>
    </row>
    <row r="582" spans="1:5" x14ac:dyDescent="0.2">
      <c r="A582" s="272">
        <v>45875.215960648151</v>
      </c>
      <c r="B582" t="s">
        <v>611</v>
      </c>
      <c r="C582" t="s">
        <v>17</v>
      </c>
      <c r="D582" t="s">
        <v>1021</v>
      </c>
      <c r="E582">
        <v>0</v>
      </c>
    </row>
    <row r="583" spans="1:5" x14ac:dyDescent="0.2">
      <c r="A583" s="272">
        <v>45875.215983796297</v>
      </c>
      <c r="B583" t="s">
        <v>611</v>
      </c>
      <c r="C583" t="s">
        <v>17</v>
      </c>
      <c r="D583" t="s">
        <v>1023</v>
      </c>
      <c r="E583">
        <v>0</v>
      </c>
    </row>
    <row r="584" spans="1:5" x14ac:dyDescent="0.2">
      <c r="A584" s="272">
        <v>45875.21603009259</v>
      </c>
      <c r="B584" t="s">
        <v>611</v>
      </c>
      <c r="C584" t="s">
        <v>17</v>
      </c>
      <c r="D584" t="s">
        <v>1024</v>
      </c>
      <c r="E584">
        <v>2</v>
      </c>
    </row>
    <row r="585" spans="1:5" x14ac:dyDescent="0.2">
      <c r="A585" s="272">
        <v>45875.21607638889</v>
      </c>
      <c r="B585" t="s">
        <v>611</v>
      </c>
      <c r="C585" t="s">
        <v>17</v>
      </c>
      <c r="D585" t="s">
        <v>992</v>
      </c>
      <c r="E585" t="s">
        <v>183</v>
      </c>
    </row>
    <row r="586" spans="1:5" x14ac:dyDescent="0.2">
      <c r="A586" s="272">
        <v>45875.216446759259</v>
      </c>
      <c r="B586" t="s">
        <v>611</v>
      </c>
      <c r="C586" t="s">
        <v>17</v>
      </c>
      <c r="D586" t="s">
        <v>1012</v>
      </c>
      <c r="E586">
        <v>0</v>
      </c>
    </row>
    <row r="587" spans="1:5" x14ac:dyDescent="0.2">
      <c r="A587" s="272">
        <v>45875.216550925928</v>
      </c>
      <c r="B587" t="s">
        <v>611</v>
      </c>
      <c r="C587" t="s">
        <v>17</v>
      </c>
      <c r="D587" t="s">
        <v>1019</v>
      </c>
      <c r="E587">
        <v>0</v>
      </c>
    </row>
    <row r="588" spans="1:5" x14ac:dyDescent="0.2">
      <c r="A588" s="272">
        <v>45875.216597222221</v>
      </c>
      <c r="B588" t="s">
        <v>611</v>
      </c>
      <c r="C588" t="s">
        <v>17</v>
      </c>
      <c r="D588" t="s">
        <v>1012</v>
      </c>
      <c r="E588">
        <v>0</v>
      </c>
    </row>
    <row r="589" spans="1:5" x14ac:dyDescent="0.2">
      <c r="A589" s="272">
        <v>45875.216666666667</v>
      </c>
      <c r="B589" t="s">
        <v>611</v>
      </c>
      <c r="C589" t="s">
        <v>17</v>
      </c>
      <c r="D589" t="s">
        <v>1019</v>
      </c>
      <c r="E589">
        <v>0</v>
      </c>
    </row>
    <row r="590" spans="1:5" x14ac:dyDescent="0.2">
      <c r="A590" s="272">
        <v>45875.216770833336</v>
      </c>
      <c r="B590" t="s">
        <v>611</v>
      </c>
      <c r="C590" t="s">
        <v>17</v>
      </c>
      <c r="D590" t="s">
        <v>1019</v>
      </c>
      <c r="E590">
        <v>0</v>
      </c>
    </row>
    <row r="591" spans="1:5" x14ac:dyDescent="0.2">
      <c r="A591" s="272">
        <v>45875.216805555552</v>
      </c>
      <c r="B591" t="s">
        <v>611</v>
      </c>
      <c r="C591" t="s">
        <v>17</v>
      </c>
      <c r="D591" t="s">
        <v>1012</v>
      </c>
      <c r="E591">
        <v>0</v>
      </c>
    </row>
    <row r="592" spans="1:5" x14ac:dyDescent="0.2">
      <c r="A592" s="272">
        <v>45875.217013888891</v>
      </c>
      <c r="B592" t="s">
        <v>611</v>
      </c>
      <c r="C592" t="s">
        <v>17</v>
      </c>
      <c r="D592" t="s">
        <v>1018</v>
      </c>
      <c r="E592">
        <v>0</v>
      </c>
    </row>
    <row r="593" spans="1:5" x14ac:dyDescent="0.2">
      <c r="A593" s="272">
        <v>45875.217083333337</v>
      </c>
      <c r="B593" t="s">
        <v>611</v>
      </c>
      <c r="C593" t="s">
        <v>17</v>
      </c>
      <c r="D593" t="s">
        <v>1019</v>
      </c>
      <c r="E593">
        <v>0</v>
      </c>
    </row>
    <row r="594" spans="1:5" x14ac:dyDescent="0.2">
      <c r="A594" s="272">
        <v>45875.217280092591</v>
      </c>
      <c r="B594" t="s">
        <v>611</v>
      </c>
      <c r="C594" t="s">
        <v>17</v>
      </c>
      <c r="D594" t="s">
        <v>1002</v>
      </c>
      <c r="E594">
        <v>0</v>
      </c>
    </row>
    <row r="595" spans="1:5" x14ac:dyDescent="0.2">
      <c r="A595" s="272">
        <v>45875.217361111114</v>
      </c>
      <c r="B595" t="s">
        <v>611</v>
      </c>
      <c r="C595" t="s">
        <v>17</v>
      </c>
      <c r="D595" t="s">
        <v>1001</v>
      </c>
      <c r="E595">
        <v>5</v>
      </c>
    </row>
    <row r="596" spans="1:5" x14ac:dyDescent="0.2">
      <c r="A596" s="272">
        <v>45875.217395833337</v>
      </c>
      <c r="B596" t="s">
        <v>611</v>
      </c>
      <c r="C596" t="s">
        <v>17</v>
      </c>
      <c r="D596" t="s">
        <v>1013</v>
      </c>
      <c r="E596">
        <v>5</v>
      </c>
    </row>
    <row r="597" spans="1:5" x14ac:dyDescent="0.2">
      <c r="A597" s="272">
        <v>45875.217418981483</v>
      </c>
      <c r="B597" t="s">
        <v>611</v>
      </c>
      <c r="C597" t="s">
        <v>17</v>
      </c>
      <c r="D597" t="s">
        <v>1001</v>
      </c>
      <c r="E597">
        <v>5</v>
      </c>
    </row>
    <row r="598" spans="1:5" x14ac:dyDescent="0.2">
      <c r="A598" s="272">
        <v>45875.217453703706</v>
      </c>
      <c r="B598" t="s">
        <v>611</v>
      </c>
      <c r="C598" t="s">
        <v>17</v>
      </c>
      <c r="D598" t="s">
        <v>1002</v>
      </c>
      <c r="E598">
        <v>0</v>
      </c>
    </row>
    <row r="599" spans="1:5" x14ac:dyDescent="0.2">
      <c r="A599" s="272">
        <v>45875.217488425929</v>
      </c>
      <c r="B599" t="s">
        <v>611</v>
      </c>
      <c r="C599" t="s">
        <v>17</v>
      </c>
      <c r="D599" t="s">
        <v>1025</v>
      </c>
      <c r="E599">
        <v>0</v>
      </c>
    </row>
    <row r="600" spans="1:5" x14ac:dyDescent="0.2">
      <c r="A600" s="272">
        <v>45875.217569444445</v>
      </c>
      <c r="B600" t="s">
        <v>611</v>
      </c>
      <c r="C600" t="s">
        <v>17</v>
      </c>
      <c r="D600" t="s">
        <v>1012</v>
      </c>
      <c r="E600">
        <v>0</v>
      </c>
    </row>
    <row r="601" spans="1:5" x14ac:dyDescent="0.2">
      <c r="A601" s="272">
        <v>45875.217604166668</v>
      </c>
      <c r="B601" t="s">
        <v>611</v>
      </c>
      <c r="C601" t="s">
        <v>17</v>
      </c>
      <c r="D601" t="s">
        <v>1018</v>
      </c>
      <c r="E601">
        <v>0</v>
      </c>
    </row>
    <row r="602" spans="1:5" x14ac:dyDescent="0.2">
      <c r="A602" s="272">
        <v>45875.217650462961</v>
      </c>
      <c r="B602" t="s">
        <v>611</v>
      </c>
      <c r="C602" t="s">
        <v>17</v>
      </c>
      <c r="D602" t="s">
        <v>1019</v>
      </c>
      <c r="E602">
        <v>0</v>
      </c>
    </row>
    <row r="603" spans="1:5" x14ac:dyDescent="0.2">
      <c r="A603" s="272">
        <v>45875.217766203707</v>
      </c>
      <c r="B603" t="s">
        <v>611</v>
      </c>
      <c r="C603" t="s">
        <v>17</v>
      </c>
      <c r="D603" t="s">
        <v>1019</v>
      </c>
      <c r="E603">
        <v>0</v>
      </c>
    </row>
    <row r="604" spans="1:5" x14ac:dyDescent="0.2">
      <c r="A604" s="272">
        <v>45875.217939814815</v>
      </c>
      <c r="B604" t="s">
        <v>611</v>
      </c>
      <c r="C604" t="s">
        <v>17</v>
      </c>
      <c r="D604" t="s">
        <v>1001</v>
      </c>
      <c r="E604">
        <v>5</v>
      </c>
    </row>
    <row r="605" spans="1:5" x14ac:dyDescent="0.2">
      <c r="A605" s="272">
        <v>45875.217974537038</v>
      </c>
      <c r="B605" t="s">
        <v>611</v>
      </c>
      <c r="C605" t="s">
        <v>17</v>
      </c>
      <c r="D605" t="s">
        <v>1013</v>
      </c>
      <c r="E605">
        <v>5</v>
      </c>
    </row>
    <row r="606" spans="1:5" x14ac:dyDescent="0.2">
      <c r="A606" s="272">
        <v>45875.21802083333</v>
      </c>
      <c r="B606" t="s">
        <v>611</v>
      </c>
      <c r="C606" t="s">
        <v>17</v>
      </c>
      <c r="D606" t="s">
        <v>1001</v>
      </c>
      <c r="E606">
        <v>5</v>
      </c>
    </row>
    <row r="607" spans="1:5" x14ac:dyDescent="0.2">
      <c r="A607" s="272">
        <v>45875.218136574076</v>
      </c>
      <c r="B607" t="s">
        <v>611</v>
      </c>
      <c r="C607" t="s">
        <v>17</v>
      </c>
      <c r="D607" t="s">
        <v>1002</v>
      </c>
      <c r="E607">
        <v>0</v>
      </c>
    </row>
    <row r="608" spans="1:5" x14ac:dyDescent="0.2">
      <c r="A608" s="272">
        <v>45875.218182870369</v>
      </c>
      <c r="B608" t="s">
        <v>611</v>
      </c>
      <c r="C608" t="s">
        <v>17</v>
      </c>
      <c r="D608" t="s">
        <v>1025</v>
      </c>
      <c r="E608">
        <v>0</v>
      </c>
    </row>
    <row r="609" spans="1:5" x14ac:dyDescent="0.2">
      <c r="A609" s="272">
        <v>45875.218217592592</v>
      </c>
      <c r="B609" t="s">
        <v>611</v>
      </c>
      <c r="C609" t="s">
        <v>17</v>
      </c>
      <c r="D609" t="s">
        <v>1012</v>
      </c>
      <c r="E609">
        <v>0</v>
      </c>
    </row>
    <row r="610" spans="1:5" x14ac:dyDescent="0.2">
      <c r="A610" s="272">
        <v>45875.218240740738</v>
      </c>
      <c r="B610" t="s">
        <v>611</v>
      </c>
      <c r="C610" t="s">
        <v>17</v>
      </c>
      <c r="D610" t="s">
        <v>1026</v>
      </c>
      <c r="E610">
        <v>5</v>
      </c>
    </row>
    <row r="611" spans="1:5" x14ac:dyDescent="0.2">
      <c r="A611" s="272">
        <v>45875.218391203707</v>
      </c>
      <c r="B611" t="s">
        <v>611</v>
      </c>
      <c r="C611" t="s">
        <v>17</v>
      </c>
      <c r="D611" t="s">
        <v>1012</v>
      </c>
      <c r="E611">
        <v>0</v>
      </c>
    </row>
    <row r="612" spans="1:5" x14ac:dyDescent="0.2">
      <c r="A612" s="272">
        <v>45875.2184375</v>
      </c>
      <c r="B612" t="s">
        <v>611</v>
      </c>
      <c r="C612" t="s">
        <v>17</v>
      </c>
      <c r="D612" t="s">
        <v>1016</v>
      </c>
      <c r="E612">
        <v>0</v>
      </c>
    </row>
    <row r="613" spans="1:5" x14ac:dyDescent="0.2">
      <c r="A613" s="272">
        <v>45875.218460648146</v>
      </c>
      <c r="B613" t="s">
        <v>611</v>
      </c>
      <c r="C613" t="s">
        <v>17</v>
      </c>
      <c r="D613" t="s">
        <v>1022</v>
      </c>
      <c r="E613">
        <v>0</v>
      </c>
    </row>
    <row r="614" spans="1:5" x14ac:dyDescent="0.2">
      <c r="A614" s="272">
        <v>45875.218495370369</v>
      </c>
      <c r="B614" t="s">
        <v>611</v>
      </c>
      <c r="C614" t="s">
        <v>17</v>
      </c>
      <c r="D614" t="s">
        <v>1012</v>
      </c>
      <c r="E614">
        <v>0</v>
      </c>
    </row>
    <row r="615" spans="1:5" x14ac:dyDescent="0.2">
      <c r="A615" s="272">
        <v>45875.218518518515</v>
      </c>
      <c r="B615" t="s">
        <v>611</v>
      </c>
      <c r="C615" t="s">
        <v>17</v>
      </c>
      <c r="D615" t="s">
        <v>1015</v>
      </c>
      <c r="E615">
        <v>0</v>
      </c>
    </row>
    <row r="616" spans="1:5" x14ac:dyDescent="0.2">
      <c r="A616" s="272">
        <v>45875.218553240738</v>
      </c>
      <c r="B616" t="s">
        <v>611</v>
      </c>
      <c r="C616" t="s">
        <v>17</v>
      </c>
      <c r="D616" t="s">
        <v>1020</v>
      </c>
      <c r="E616">
        <v>0</v>
      </c>
    </row>
    <row r="617" spans="1:5" x14ac:dyDescent="0.2">
      <c r="A617" s="272">
        <v>45875.218576388892</v>
      </c>
      <c r="B617" t="s">
        <v>611</v>
      </c>
      <c r="C617" t="s">
        <v>17</v>
      </c>
      <c r="D617" t="s">
        <v>1021</v>
      </c>
      <c r="E617">
        <v>0</v>
      </c>
    </row>
    <row r="618" spans="1:5" x14ac:dyDescent="0.2">
      <c r="A618" s="272">
        <v>45875.218611111108</v>
      </c>
      <c r="B618" t="s">
        <v>611</v>
      </c>
      <c r="C618" t="s">
        <v>17</v>
      </c>
      <c r="D618" t="s">
        <v>1027</v>
      </c>
      <c r="E618" t="s">
        <v>222</v>
      </c>
    </row>
    <row r="619" spans="1:5" x14ac:dyDescent="0.2">
      <c r="A619" s="272">
        <v>45875.218634259261</v>
      </c>
      <c r="B619" t="s">
        <v>611</v>
      </c>
      <c r="C619" t="s">
        <v>17</v>
      </c>
      <c r="D619" t="s">
        <v>1028</v>
      </c>
      <c r="E619">
        <v>5</v>
      </c>
    </row>
    <row r="620" spans="1:5" x14ac:dyDescent="0.2">
      <c r="A620" s="272">
        <v>45875.218668981484</v>
      </c>
      <c r="B620" t="s">
        <v>611</v>
      </c>
      <c r="C620" t="s">
        <v>17</v>
      </c>
      <c r="D620" t="s">
        <v>1029</v>
      </c>
      <c r="E620" t="s">
        <v>398</v>
      </c>
    </row>
    <row r="621" spans="1:5" x14ac:dyDescent="0.2">
      <c r="A621" s="272">
        <v>45875.218715277777</v>
      </c>
      <c r="B621" t="s">
        <v>611</v>
      </c>
      <c r="C621" t="s">
        <v>17</v>
      </c>
      <c r="D621" t="s">
        <v>991</v>
      </c>
      <c r="E621" t="s">
        <v>210</v>
      </c>
    </row>
    <row r="622" spans="1:5" x14ac:dyDescent="0.2">
      <c r="A622" s="272">
        <v>45875.218784722223</v>
      </c>
      <c r="B622" t="s">
        <v>611</v>
      </c>
      <c r="C622" t="s">
        <v>17</v>
      </c>
      <c r="D622" t="s">
        <v>1030</v>
      </c>
      <c r="E622" t="s">
        <v>196</v>
      </c>
    </row>
    <row r="623" spans="1:5" x14ac:dyDescent="0.2">
      <c r="A623" s="272">
        <v>45875.218842592592</v>
      </c>
      <c r="B623" t="s">
        <v>611</v>
      </c>
      <c r="C623" t="s">
        <v>17</v>
      </c>
      <c r="D623" t="s">
        <v>1030</v>
      </c>
      <c r="E623" t="s">
        <v>200</v>
      </c>
    </row>
    <row r="624" spans="1:5" x14ac:dyDescent="0.2">
      <c r="A624" s="272">
        <v>45875.218969907408</v>
      </c>
      <c r="B624" t="s">
        <v>611</v>
      </c>
      <c r="C624" t="s">
        <v>17</v>
      </c>
      <c r="D624" t="s">
        <v>761</v>
      </c>
      <c r="E624" t="s">
        <v>215</v>
      </c>
    </row>
    <row r="625" spans="1:5" x14ac:dyDescent="0.2">
      <c r="A625" s="272">
        <v>45875.218993055554</v>
      </c>
      <c r="B625" t="s">
        <v>611</v>
      </c>
      <c r="C625" t="s">
        <v>17</v>
      </c>
      <c r="D625" t="s">
        <v>1031</v>
      </c>
      <c r="E625">
        <v>1</v>
      </c>
    </row>
    <row r="626" spans="1:5" x14ac:dyDescent="0.2">
      <c r="A626" s="272">
        <v>45875.219027777777</v>
      </c>
      <c r="B626" t="s">
        <v>611</v>
      </c>
      <c r="C626" t="s">
        <v>17</v>
      </c>
      <c r="D626" t="s">
        <v>1032</v>
      </c>
      <c r="E626" t="s">
        <v>216</v>
      </c>
    </row>
    <row r="627" spans="1:5" x14ac:dyDescent="0.2">
      <c r="A627" s="272">
        <v>45875.2190625</v>
      </c>
      <c r="B627" t="s">
        <v>611</v>
      </c>
      <c r="C627" t="s">
        <v>17</v>
      </c>
      <c r="D627" t="s">
        <v>937</v>
      </c>
      <c r="E627" t="s">
        <v>211</v>
      </c>
    </row>
    <row r="628" spans="1:5" x14ac:dyDescent="0.2">
      <c r="A628" s="272">
        <v>45875.219108796293</v>
      </c>
      <c r="B628" t="s">
        <v>611</v>
      </c>
      <c r="C628" t="s">
        <v>17</v>
      </c>
      <c r="D628" t="s">
        <v>1033</v>
      </c>
      <c r="E628" t="s">
        <v>184</v>
      </c>
    </row>
    <row r="629" spans="1:5" x14ac:dyDescent="0.2">
      <c r="A629" s="272">
        <v>45875.219513888886</v>
      </c>
      <c r="B629" t="s">
        <v>611</v>
      </c>
      <c r="C629" t="s">
        <v>17</v>
      </c>
      <c r="D629" t="s">
        <v>1034</v>
      </c>
    </row>
    <row r="630" spans="1:5" x14ac:dyDescent="0.2">
      <c r="A630" s="272">
        <v>45875.219652777778</v>
      </c>
      <c r="B630" t="s">
        <v>611</v>
      </c>
      <c r="C630" t="s">
        <v>17</v>
      </c>
      <c r="D630" t="s">
        <v>1035</v>
      </c>
    </row>
    <row r="631" spans="1:5" x14ac:dyDescent="0.2">
      <c r="A631" s="272">
        <v>45875.220046296294</v>
      </c>
      <c r="B631" t="s">
        <v>611</v>
      </c>
      <c r="C631" t="s">
        <v>17</v>
      </c>
      <c r="D631" t="s">
        <v>1036</v>
      </c>
    </row>
    <row r="632" spans="1:5" x14ac:dyDescent="0.2">
      <c r="A632" s="272">
        <v>45875.220196759263</v>
      </c>
      <c r="B632" t="s">
        <v>611</v>
      </c>
      <c r="C632" t="s">
        <v>17</v>
      </c>
      <c r="D632" t="s">
        <v>1037</v>
      </c>
    </row>
    <row r="633" spans="1:5" x14ac:dyDescent="0.2">
      <c r="A633" s="272">
        <v>45875.22079861111</v>
      </c>
      <c r="B633" t="s">
        <v>611</v>
      </c>
      <c r="C633" t="s">
        <v>17</v>
      </c>
      <c r="D633" t="s">
        <v>672</v>
      </c>
      <c r="E633" t="s">
        <v>43</v>
      </c>
    </row>
    <row r="634" spans="1:5" x14ac:dyDescent="0.2">
      <c r="A634" s="272">
        <v>45875.220833333333</v>
      </c>
      <c r="B634" t="s">
        <v>611</v>
      </c>
      <c r="C634" t="s">
        <v>17</v>
      </c>
      <c r="D634" t="s">
        <v>1038</v>
      </c>
      <c r="E634" t="s">
        <v>43</v>
      </c>
    </row>
    <row r="635" spans="1:5" x14ac:dyDescent="0.2">
      <c r="A635" s="272">
        <v>45875.220879629633</v>
      </c>
      <c r="B635" t="s">
        <v>611</v>
      </c>
      <c r="C635" t="s">
        <v>17</v>
      </c>
      <c r="D635" t="s">
        <v>1039</v>
      </c>
      <c r="E635" t="s">
        <v>43</v>
      </c>
    </row>
    <row r="636" spans="1:5" x14ac:dyDescent="0.2">
      <c r="A636" s="272">
        <v>45875.221307870372</v>
      </c>
      <c r="B636" t="s">
        <v>611</v>
      </c>
      <c r="C636" t="s">
        <v>626</v>
      </c>
      <c r="D636" t="s">
        <v>1040</v>
      </c>
      <c r="E636" t="s">
        <v>966</v>
      </c>
    </row>
    <row r="637" spans="1:5" ht="112" x14ac:dyDescent="0.2">
      <c r="A637" s="272">
        <v>45875.22142361111</v>
      </c>
      <c r="B637" t="s">
        <v>611</v>
      </c>
      <c r="C637" t="s">
        <v>626</v>
      </c>
      <c r="D637" t="s">
        <v>1041</v>
      </c>
      <c r="E637" s="6" t="s">
        <v>1042</v>
      </c>
    </row>
    <row r="638" spans="1:5" x14ac:dyDescent="0.2">
      <c r="A638" s="272">
        <v>45875.221828703703</v>
      </c>
      <c r="B638" t="s">
        <v>611</v>
      </c>
      <c r="C638" t="s">
        <v>626</v>
      </c>
      <c r="D638" t="s">
        <v>1043</v>
      </c>
      <c r="E638" t="s">
        <v>90</v>
      </c>
    </row>
    <row r="639" spans="1:5" x14ac:dyDescent="0.2">
      <c r="A639" s="272">
        <v>45875.221944444442</v>
      </c>
      <c r="B639" t="s">
        <v>611</v>
      </c>
      <c r="C639" t="s">
        <v>626</v>
      </c>
      <c r="D639" t="s">
        <v>1044</v>
      </c>
      <c r="E639" t="s">
        <v>1045</v>
      </c>
    </row>
    <row r="640" spans="1:5" x14ac:dyDescent="0.2">
      <c r="A640" s="272">
        <v>45875.222280092596</v>
      </c>
      <c r="B640" t="s">
        <v>611</v>
      </c>
      <c r="C640" t="s">
        <v>626</v>
      </c>
      <c r="D640" t="s">
        <v>1046</v>
      </c>
    </row>
    <row r="641" spans="1:5" x14ac:dyDescent="0.2">
      <c r="A641" s="272">
        <v>45875.222349537034</v>
      </c>
      <c r="B641" t="s">
        <v>611</v>
      </c>
      <c r="C641" t="s">
        <v>626</v>
      </c>
      <c r="D641" t="s">
        <v>1047</v>
      </c>
      <c r="E641">
        <v>8</v>
      </c>
    </row>
    <row r="642" spans="1:5" x14ac:dyDescent="0.2">
      <c r="A642" s="272">
        <v>45875.222615740742</v>
      </c>
      <c r="B642" t="s">
        <v>611</v>
      </c>
      <c r="C642" t="s">
        <v>626</v>
      </c>
      <c r="D642" t="s">
        <v>1048</v>
      </c>
      <c r="E642">
        <v>10</v>
      </c>
    </row>
    <row r="643" spans="1:5" x14ac:dyDescent="0.2">
      <c r="A643" s="272">
        <v>45875.222650462965</v>
      </c>
      <c r="B643" t="s">
        <v>611</v>
      </c>
      <c r="C643" t="s">
        <v>626</v>
      </c>
      <c r="D643" t="s">
        <v>1049</v>
      </c>
      <c r="E643" t="s">
        <v>101</v>
      </c>
    </row>
    <row r="644" spans="1:5" x14ac:dyDescent="0.2">
      <c r="A644" s="272">
        <v>45875.224050925928</v>
      </c>
      <c r="B644" t="s">
        <v>611</v>
      </c>
      <c r="C644" t="s">
        <v>626</v>
      </c>
      <c r="D644" t="s">
        <v>1050</v>
      </c>
      <c r="E644" t="s">
        <v>1051</v>
      </c>
    </row>
    <row r="645" spans="1:5" x14ac:dyDescent="0.2">
      <c r="A645" s="272">
        <v>45875.224699074075</v>
      </c>
      <c r="B645" t="s">
        <v>611</v>
      </c>
      <c r="C645" t="s">
        <v>17</v>
      </c>
      <c r="D645" t="s">
        <v>1052</v>
      </c>
    </row>
    <row r="646" spans="1:5" x14ac:dyDescent="0.2">
      <c r="A646" s="272">
        <v>45875.22488425926</v>
      </c>
      <c r="B646" t="s">
        <v>611</v>
      </c>
      <c r="C646" t="s">
        <v>626</v>
      </c>
      <c r="D646" t="s">
        <v>1053</v>
      </c>
    </row>
    <row r="647" spans="1:5" x14ac:dyDescent="0.2">
      <c r="A647" s="272">
        <v>45875.224953703706</v>
      </c>
      <c r="B647" t="s">
        <v>611</v>
      </c>
      <c r="C647" t="s">
        <v>626</v>
      </c>
      <c r="D647" t="s">
        <v>1054</v>
      </c>
      <c r="E647">
        <v>9</v>
      </c>
    </row>
    <row r="648" spans="1:5" x14ac:dyDescent="0.2">
      <c r="A648" s="272">
        <v>45875.224988425929</v>
      </c>
      <c r="B648" t="s">
        <v>611</v>
      </c>
      <c r="C648" t="s">
        <v>626</v>
      </c>
      <c r="D648" t="s">
        <v>1055</v>
      </c>
      <c r="E648">
        <v>9</v>
      </c>
    </row>
    <row r="649" spans="1:5" x14ac:dyDescent="0.2">
      <c r="A649" s="272">
        <v>45875.225208333337</v>
      </c>
      <c r="B649" t="s">
        <v>611</v>
      </c>
      <c r="C649" t="s">
        <v>626</v>
      </c>
      <c r="D649" t="s">
        <v>1053</v>
      </c>
    </row>
    <row r="650" spans="1:5" x14ac:dyDescent="0.2">
      <c r="A650" s="272">
        <v>45875.225266203706</v>
      </c>
      <c r="B650" t="s">
        <v>611</v>
      </c>
      <c r="C650" t="s">
        <v>626</v>
      </c>
      <c r="D650" t="s">
        <v>1056</v>
      </c>
      <c r="E650">
        <v>9</v>
      </c>
    </row>
    <row r="651" spans="1:5" x14ac:dyDescent="0.2">
      <c r="A651" s="272">
        <v>45875.22550925926</v>
      </c>
      <c r="B651" t="s">
        <v>611</v>
      </c>
      <c r="C651" t="s">
        <v>626</v>
      </c>
      <c r="D651" t="s">
        <v>1057</v>
      </c>
    </row>
    <row r="652" spans="1:5" x14ac:dyDescent="0.2">
      <c r="A652" s="272">
        <v>45875.225613425922</v>
      </c>
      <c r="B652" t="s">
        <v>611</v>
      </c>
      <c r="C652" t="s">
        <v>626</v>
      </c>
      <c r="D652" t="s">
        <v>1058</v>
      </c>
      <c r="E652" t="s">
        <v>97</v>
      </c>
    </row>
    <row r="653" spans="1:5" x14ac:dyDescent="0.2">
      <c r="A653" s="272">
        <v>45875.226006944446</v>
      </c>
      <c r="B653" t="s">
        <v>611</v>
      </c>
      <c r="C653" t="s">
        <v>626</v>
      </c>
      <c r="D653" t="s">
        <v>1059</v>
      </c>
      <c r="E653" t="s">
        <v>1060</v>
      </c>
    </row>
    <row r="654" spans="1:5" x14ac:dyDescent="0.2">
      <c r="A654" s="272">
        <v>45875.226111111115</v>
      </c>
      <c r="B654" t="s">
        <v>611</v>
      </c>
      <c r="C654" t="s">
        <v>626</v>
      </c>
      <c r="D654" t="s">
        <v>1061</v>
      </c>
      <c r="E654" t="s">
        <v>83</v>
      </c>
    </row>
    <row r="655" spans="1:5" x14ac:dyDescent="0.2">
      <c r="A655" s="272">
        <v>45875.226226851853</v>
      </c>
      <c r="B655" t="s">
        <v>611</v>
      </c>
      <c r="C655" t="s">
        <v>626</v>
      </c>
      <c r="D655" t="s">
        <v>1062</v>
      </c>
      <c r="E655" t="s">
        <v>11</v>
      </c>
    </row>
    <row r="656" spans="1:5" x14ac:dyDescent="0.2">
      <c r="A656" s="272">
        <v>45875.226400462961</v>
      </c>
      <c r="B656" t="s">
        <v>611</v>
      </c>
      <c r="C656" t="s">
        <v>626</v>
      </c>
      <c r="D656" t="s">
        <v>1063</v>
      </c>
    </row>
    <row r="657" spans="1:5" x14ac:dyDescent="0.2">
      <c r="A657" s="272">
        <v>45875.226458333331</v>
      </c>
      <c r="B657" t="s">
        <v>611</v>
      </c>
      <c r="C657" t="s">
        <v>626</v>
      </c>
      <c r="D657" t="s">
        <v>1064</v>
      </c>
      <c r="E657">
        <v>10</v>
      </c>
    </row>
    <row r="658" spans="1:5" x14ac:dyDescent="0.2">
      <c r="A658" s="272">
        <v>45875.226712962962</v>
      </c>
      <c r="B658" t="s">
        <v>611</v>
      </c>
      <c r="C658" t="s">
        <v>626</v>
      </c>
      <c r="D658" t="s">
        <v>1065</v>
      </c>
    </row>
    <row r="659" spans="1:5" x14ac:dyDescent="0.2">
      <c r="A659" s="272">
        <v>45875.226759259262</v>
      </c>
      <c r="B659" t="s">
        <v>611</v>
      </c>
      <c r="C659" t="s">
        <v>626</v>
      </c>
      <c r="D659" t="s">
        <v>1066</v>
      </c>
      <c r="E659" t="s">
        <v>101</v>
      </c>
    </row>
    <row r="660" spans="1:5" x14ac:dyDescent="0.2">
      <c r="A660" s="272">
        <v>45875.226909722223</v>
      </c>
      <c r="B660" t="s">
        <v>611</v>
      </c>
      <c r="C660" t="s">
        <v>626</v>
      </c>
      <c r="D660" t="s">
        <v>1067</v>
      </c>
      <c r="E660" t="s">
        <v>1051</v>
      </c>
    </row>
    <row r="661" spans="1:5" x14ac:dyDescent="0.2">
      <c r="A661" s="272">
        <v>45875.226944444446</v>
      </c>
      <c r="B661" t="s">
        <v>611</v>
      </c>
      <c r="C661" t="s">
        <v>626</v>
      </c>
      <c r="D661" t="s">
        <v>1068</v>
      </c>
      <c r="E661">
        <v>12</v>
      </c>
    </row>
    <row r="662" spans="1:5" x14ac:dyDescent="0.2">
      <c r="A662" s="272">
        <v>45875.227002314816</v>
      </c>
      <c r="B662" t="s">
        <v>611</v>
      </c>
      <c r="C662" t="s">
        <v>626</v>
      </c>
      <c r="D662" t="s">
        <v>1069</v>
      </c>
      <c r="E662" t="s">
        <v>83</v>
      </c>
    </row>
    <row r="663" spans="1:5" x14ac:dyDescent="0.2">
      <c r="A663" s="272">
        <v>45875.227083333331</v>
      </c>
      <c r="B663" t="s">
        <v>611</v>
      </c>
      <c r="C663" t="s">
        <v>626</v>
      </c>
      <c r="D663" t="s">
        <v>1061</v>
      </c>
      <c r="E663" t="s">
        <v>69</v>
      </c>
    </row>
    <row r="664" spans="1:5" x14ac:dyDescent="0.2">
      <c r="A664" s="272">
        <v>45875.227094907408</v>
      </c>
      <c r="B664" t="s">
        <v>611</v>
      </c>
      <c r="C664" t="s">
        <v>626</v>
      </c>
      <c r="D664" t="s">
        <v>1061</v>
      </c>
      <c r="E664" t="s">
        <v>83</v>
      </c>
    </row>
    <row r="665" spans="1:5" x14ac:dyDescent="0.2">
      <c r="A665" s="272">
        <v>45875.227129629631</v>
      </c>
      <c r="B665" t="s">
        <v>611</v>
      </c>
      <c r="C665" t="s">
        <v>626</v>
      </c>
      <c r="D665" t="s">
        <v>1061</v>
      </c>
      <c r="E665" t="s">
        <v>69</v>
      </c>
    </row>
    <row r="666" spans="1:5" x14ac:dyDescent="0.2">
      <c r="A666" s="272">
        <v>45875.227152777778</v>
      </c>
      <c r="B666" t="s">
        <v>611</v>
      </c>
      <c r="C666" t="s">
        <v>626</v>
      </c>
      <c r="D666" t="s">
        <v>1069</v>
      </c>
      <c r="E666" t="s">
        <v>69</v>
      </c>
    </row>
    <row r="667" spans="1:5" x14ac:dyDescent="0.2">
      <c r="A667" s="272">
        <v>45875.22760416667</v>
      </c>
      <c r="B667" t="s">
        <v>611</v>
      </c>
      <c r="C667" t="s">
        <v>626</v>
      </c>
      <c r="D667" t="s">
        <v>1070</v>
      </c>
      <c r="E667">
        <v>2</v>
      </c>
    </row>
    <row r="668" spans="1:5" x14ac:dyDescent="0.2">
      <c r="A668" s="272">
        <v>45875.228472222225</v>
      </c>
      <c r="B668" t="s">
        <v>611</v>
      </c>
      <c r="C668" t="s">
        <v>29</v>
      </c>
      <c r="D668" t="s">
        <v>1071</v>
      </c>
    </row>
    <row r="669" spans="1:5" x14ac:dyDescent="0.2">
      <c r="A669" s="272">
        <v>45875.228472222225</v>
      </c>
      <c r="B669" t="s">
        <v>611</v>
      </c>
      <c r="C669" t="s">
        <v>29</v>
      </c>
      <c r="D669" t="s">
        <v>1072</v>
      </c>
      <c r="E669" t="s">
        <v>1073</v>
      </c>
    </row>
    <row r="670" spans="1:5" x14ac:dyDescent="0.2">
      <c r="A670" s="272">
        <v>45875.228518518517</v>
      </c>
      <c r="B670" t="s">
        <v>611</v>
      </c>
      <c r="C670" t="s">
        <v>29</v>
      </c>
      <c r="D670" t="s">
        <v>1074</v>
      </c>
      <c r="E670" t="s">
        <v>394</v>
      </c>
    </row>
    <row r="671" spans="1:5" x14ac:dyDescent="0.2">
      <c r="A671" s="272">
        <v>45875.228541666664</v>
      </c>
      <c r="B671" t="s">
        <v>611</v>
      </c>
      <c r="C671" t="s">
        <v>29</v>
      </c>
      <c r="D671" t="s">
        <v>1075</v>
      </c>
      <c r="E671" t="s">
        <v>317</v>
      </c>
    </row>
    <row r="672" spans="1:5" x14ac:dyDescent="0.2">
      <c r="A672" s="272">
        <v>45875.228634259256</v>
      </c>
      <c r="B672" t="s">
        <v>611</v>
      </c>
      <c r="C672" t="s">
        <v>29</v>
      </c>
      <c r="D672" t="s">
        <v>1076</v>
      </c>
      <c r="E672" t="s">
        <v>320</v>
      </c>
    </row>
    <row r="673" spans="1:5" x14ac:dyDescent="0.2">
      <c r="A673" s="272">
        <v>45875.229027777779</v>
      </c>
      <c r="B673" t="s">
        <v>611</v>
      </c>
      <c r="C673" t="s">
        <v>29</v>
      </c>
      <c r="D673" t="s">
        <v>1002</v>
      </c>
      <c r="E673">
        <v>0</v>
      </c>
    </row>
    <row r="674" spans="1:5" x14ac:dyDescent="0.2">
      <c r="A674" s="272">
        <v>45875.229201388887</v>
      </c>
      <c r="B674" t="s">
        <v>611</v>
      </c>
      <c r="C674" t="s">
        <v>29</v>
      </c>
      <c r="D674" t="s">
        <v>1001</v>
      </c>
      <c r="E674">
        <v>0</v>
      </c>
    </row>
    <row r="675" spans="1:5" x14ac:dyDescent="0.2">
      <c r="A675" s="272">
        <v>45875.229259259257</v>
      </c>
      <c r="B675" t="s">
        <v>611</v>
      </c>
      <c r="C675" t="s">
        <v>29</v>
      </c>
      <c r="D675" t="s">
        <v>1002</v>
      </c>
      <c r="E675">
        <v>0</v>
      </c>
    </row>
    <row r="676" spans="1:5" x14ac:dyDescent="0.2">
      <c r="A676" s="272">
        <v>45875.229305555556</v>
      </c>
      <c r="B676" t="s">
        <v>611</v>
      </c>
      <c r="C676" t="s">
        <v>29</v>
      </c>
      <c r="D676" t="s">
        <v>1001</v>
      </c>
      <c r="E676">
        <v>0</v>
      </c>
    </row>
    <row r="677" spans="1:5" x14ac:dyDescent="0.2">
      <c r="A677" s="272">
        <v>45875.229351851849</v>
      </c>
      <c r="B677" t="s">
        <v>611</v>
      </c>
      <c r="C677" t="s">
        <v>29</v>
      </c>
      <c r="D677" t="s">
        <v>1077</v>
      </c>
      <c r="E677">
        <v>0</v>
      </c>
    </row>
    <row r="678" spans="1:5" x14ac:dyDescent="0.2">
      <c r="A678" s="272">
        <v>45875.229421296295</v>
      </c>
      <c r="B678" t="s">
        <v>611</v>
      </c>
      <c r="C678" t="s">
        <v>29</v>
      </c>
      <c r="D678" t="s">
        <v>1001</v>
      </c>
      <c r="E678">
        <v>0</v>
      </c>
    </row>
    <row r="679" spans="1:5" x14ac:dyDescent="0.2">
      <c r="A679" s="272">
        <v>45875.229525462964</v>
      </c>
      <c r="B679" t="s">
        <v>611</v>
      </c>
      <c r="C679" t="s">
        <v>29</v>
      </c>
      <c r="D679" t="s">
        <v>1078</v>
      </c>
      <c r="E679">
        <v>0</v>
      </c>
    </row>
    <row r="680" spans="1:5" x14ac:dyDescent="0.2">
      <c r="A680" s="272">
        <v>45875.229629629626</v>
      </c>
      <c r="B680" t="s">
        <v>611</v>
      </c>
      <c r="C680" t="s">
        <v>29</v>
      </c>
      <c r="D680" t="s">
        <v>1001</v>
      </c>
      <c r="E680">
        <v>0</v>
      </c>
    </row>
    <row r="681" spans="1:5" x14ac:dyDescent="0.2">
      <c r="A681" s="272">
        <v>45875.229664351849</v>
      </c>
      <c r="B681" t="s">
        <v>611</v>
      </c>
      <c r="C681" t="s">
        <v>29</v>
      </c>
      <c r="D681" t="s">
        <v>1077</v>
      </c>
      <c r="E681">
        <v>0</v>
      </c>
    </row>
    <row r="682" spans="1:5" x14ac:dyDescent="0.2">
      <c r="A682" s="272">
        <v>45875.229768518519</v>
      </c>
      <c r="B682" t="s">
        <v>611</v>
      </c>
      <c r="C682" t="s">
        <v>29</v>
      </c>
      <c r="D682" t="s">
        <v>1001</v>
      </c>
      <c r="E682">
        <v>0</v>
      </c>
    </row>
    <row r="683" spans="1:5" x14ac:dyDescent="0.2">
      <c r="A683" s="272">
        <v>45875.229791666665</v>
      </c>
      <c r="B683" t="s">
        <v>611</v>
      </c>
      <c r="C683" t="s">
        <v>29</v>
      </c>
      <c r="D683" t="s">
        <v>1026</v>
      </c>
      <c r="E683">
        <v>0</v>
      </c>
    </row>
    <row r="684" spans="1:5" x14ac:dyDescent="0.2">
      <c r="A684" s="272">
        <v>45875.229837962965</v>
      </c>
      <c r="B684" t="s">
        <v>611</v>
      </c>
      <c r="C684" t="s">
        <v>29</v>
      </c>
      <c r="D684" t="s">
        <v>1012</v>
      </c>
      <c r="E684">
        <v>0</v>
      </c>
    </row>
    <row r="685" spans="1:5" x14ac:dyDescent="0.2">
      <c r="A685" s="272">
        <v>45875.229907407411</v>
      </c>
      <c r="B685" t="s">
        <v>611</v>
      </c>
      <c r="C685" t="s">
        <v>29</v>
      </c>
      <c r="D685" t="s">
        <v>1012</v>
      </c>
      <c r="E685">
        <v>0</v>
      </c>
    </row>
    <row r="686" spans="1:5" x14ac:dyDescent="0.2">
      <c r="A686" s="272">
        <v>45875.229942129627</v>
      </c>
      <c r="B686" t="s">
        <v>611</v>
      </c>
      <c r="C686" t="s">
        <v>29</v>
      </c>
      <c r="D686" t="s">
        <v>1079</v>
      </c>
      <c r="E686">
        <v>0</v>
      </c>
    </row>
    <row r="687" spans="1:5" x14ac:dyDescent="0.2">
      <c r="A687" s="272">
        <v>45875.230081018519</v>
      </c>
      <c r="B687" t="s">
        <v>611</v>
      </c>
      <c r="C687" t="s">
        <v>29</v>
      </c>
      <c r="D687" t="s">
        <v>1080</v>
      </c>
      <c r="E687" t="s">
        <v>356</v>
      </c>
    </row>
    <row r="688" spans="1:5" x14ac:dyDescent="0.2">
      <c r="A688" s="272">
        <v>45875.230115740742</v>
      </c>
      <c r="B688" t="s">
        <v>611</v>
      </c>
      <c r="C688" t="s">
        <v>29</v>
      </c>
      <c r="D688" t="s">
        <v>1029</v>
      </c>
      <c r="E688" t="s">
        <v>394</v>
      </c>
    </row>
    <row r="689" spans="1:5" x14ac:dyDescent="0.2">
      <c r="A689" s="272">
        <v>45875.230138888888</v>
      </c>
      <c r="B689" t="s">
        <v>611</v>
      </c>
      <c r="C689" t="s">
        <v>29</v>
      </c>
      <c r="D689" t="s">
        <v>1032</v>
      </c>
      <c r="E689" t="s">
        <v>1081</v>
      </c>
    </row>
    <row r="690" spans="1:5" x14ac:dyDescent="0.2">
      <c r="A690" s="272">
        <v>45875.230173611111</v>
      </c>
      <c r="B690" t="s">
        <v>611</v>
      </c>
      <c r="C690" t="s">
        <v>29</v>
      </c>
      <c r="D690" t="s">
        <v>1082</v>
      </c>
      <c r="E690" t="s">
        <v>356</v>
      </c>
    </row>
    <row r="691" spans="1:5" x14ac:dyDescent="0.2">
      <c r="A691" s="272">
        <v>45875.230196759258</v>
      </c>
      <c r="B691" t="s">
        <v>611</v>
      </c>
      <c r="C691" t="s">
        <v>29</v>
      </c>
      <c r="D691" t="s">
        <v>1083</v>
      </c>
      <c r="E691" t="s">
        <v>322</v>
      </c>
    </row>
    <row r="692" spans="1:5" x14ac:dyDescent="0.2">
      <c r="A692" s="272">
        <v>45875.230254629627</v>
      </c>
      <c r="B692" t="s">
        <v>611</v>
      </c>
      <c r="C692" t="s">
        <v>29</v>
      </c>
      <c r="D692" t="s">
        <v>1016</v>
      </c>
      <c r="E692">
        <v>0</v>
      </c>
    </row>
    <row r="693" spans="1:5" x14ac:dyDescent="0.2">
      <c r="A693" s="272">
        <v>45875.23027777778</v>
      </c>
      <c r="B693" t="s">
        <v>611</v>
      </c>
      <c r="C693" t="s">
        <v>29</v>
      </c>
      <c r="D693" t="s">
        <v>1017</v>
      </c>
      <c r="E693">
        <v>0</v>
      </c>
    </row>
    <row r="694" spans="1:5" x14ac:dyDescent="0.2">
      <c r="A694" s="272">
        <v>45875.230347222219</v>
      </c>
      <c r="B694" t="s">
        <v>611</v>
      </c>
      <c r="C694" t="s">
        <v>29</v>
      </c>
      <c r="D694" t="s">
        <v>1084</v>
      </c>
      <c r="E694">
        <v>0</v>
      </c>
    </row>
    <row r="695" spans="1:5" x14ac:dyDescent="0.2">
      <c r="A695" s="272">
        <v>45875.230428240742</v>
      </c>
      <c r="B695" t="s">
        <v>611</v>
      </c>
      <c r="C695" t="s">
        <v>29</v>
      </c>
      <c r="D695" t="s">
        <v>1017</v>
      </c>
      <c r="E695">
        <v>0</v>
      </c>
    </row>
    <row r="696" spans="1:5" x14ac:dyDescent="0.2">
      <c r="A696" s="272">
        <v>45875.230462962965</v>
      </c>
      <c r="B696" t="s">
        <v>611</v>
      </c>
      <c r="C696" t="s">
        <v>29</v>
      </c>
      <c r="D696" t="s">
        <v>1084</v>
      </c>
      <c r="E696">
        <v>0</v>
      </c>
    </row>
    <row r="697" spans="1:5" x14ac:dyDescent="0.2">
      <c r="A697" s="272">
        <v>45875.230497685188</v>
      </c>
      <c r="B697" t="s">
        <v>611</v>
      </c>
      <c r="C697" t="s">
        <v>29</v>
      </c>
      <c r="D697" t="s">
        <v>1016</v>
      </c>
      <c r="E697">
        <v>0</v>
      </c>
    </row>
    <row r="698" spans="1:5" x14ac:dyDescent="0.2">
      <c r="A698" s="272">
        <v>45875.230509259258</v>
      </c>
      <c r="B698" t="s">
        <v>611</v>
      </c>
      <c r="C698" t="s">
        <v>29</v>
      </c>
      <c r="D698" t="s">
        <v>1017</v>
      </c>
      <c r="E698">
        <v>0</v>
      </c>
    </row>
    <row r="699" spans="1:5" x14ac:dyDescent="0.2">
      <c r="A699" s="272">
        <v>45875.230590277781</v>
      </c>
      <c r="B699" t="s">
        <v>611</v>
      </c>
      <c r="C699" t="s">
        <v>29</v>
      </c>
      <c r="D699" t="s">
        <v>1085</v>
      </c>
      <c r="E699">
        <v>0</v>
      </c>
    </row>
    <row r="700" spans="1:5" x14ac:dyDescent="0.2">
      <c r="A700" s="272">
        <v>45875.23065972222</v>
      </c>
      <c r="B700" t="s">
        <v>611</v>
      </c>
      <c r="C700" t="s">
        <v>29</v>
      </c>
      <c r="D700" t="s">
        <v>1016</v>
      </c>
      <c r="E700">
        <v>0</v>
      </c>
    </row>
    <row r="701" spans="1:5" x14ac:dyDescent="0.2">
      <c r="A701" s="272">
        <v>45875.230682870373</v>
      </c>
      <c r="B701" t="s">
        <v>611</v>
      </c>
      <c r="C701" t="s">
        <v>29</v>
      </c>
      <c r="D701" t="s">
        <v>1084</v>
      </c>
      <c r="E701">
        <v>0</v>
      </c>
    </row>
    <row r="702" spans="1:5" x14ac:dyDescent="0.2">
      <c r="A702" s="272">
        <v>45875.230752314812</v>
      </c>
      <c r="B702" t="s">
        <v>611</v>
      </c>
      <c r="C702" t="s">
        <v>29</v>
      </c>
      <c r="D702" t="s">
        <v>1086</v>
      </c>
      <c r="E702">
        <v>1000</v>
      </c>
    </row>
    <row r="703" spans="1:5" x14ac:dyDescent="0.2">
      <c r="A703" s="272">
        <v>45875.230833333335</v>
      </c>
      <c r="B703" t="s">
        <v>611</v>
      </c>
      <c r="C703" t="s">
        <v>29</v>
      </c>
      <c r="D703" t="s">
        <v>1022</v>
      </c>
      <c r="E703">
        <v>0</v>
      </c>
    </row>
    <row r="704" spans="1:5" x14ac:dyDescent="0.2">
      <c r="A704" s="272">
        <v>45875.230868055558</v>
      </c>
      <c r="B704" t="s">
        <v>611</v>
      </c>
      <c r="C704" t="s">
        <v>29</v>
      </c>
      <c r="D704" t="s">
        <v>1087</v>
      </c>
      <c r="E704">
        <v>0</v>
      </c>
    </row>
    <row r="705" spans="1:5" x14ac:dyDescent="0.2">
      <c r="A705" s="272">
        <v>45875.230891203704</v>
      </c>
      <c r="B705" t="s">
        <v>611</v>
      </c>
      <c r="C705" t="s">
        <v>29</v>
      </c>
      <c r="D705" t="s">
        <v>1022</v>
      </c>
      <c r="E705">
        <v>0</v>
      </c>
    </row>
    <row r="706" spans="1:5" x14ac:dyDescent="0.2">
      <c r="A706" s="272">
        <v>45875.230914351851</v>
      </c>
      <c r="B706" t="s">
        <v>611</v>
      </c>
      <c r="C706" t="s">
        <v>29</v>
      </c>
      <c r="D706" t="s">
        <v>1088</v>
      </c>
      <c r="E706">
        <v>0</v>
      </c>
    </row>
    <row r="707" spans="1:5" x14ac:dyDescent="0.2">
      <c r="A707" s="272">
        <v>45875.380208333336</v>
      </c>
      <c r="B707" t="s">
        <v>771</v>
      </c>
      <c r="C707" t="s">
        <v>612</v>
      </c>
      <c r="D707" t="s">
        <v>963</v>
      </c>
      <c r="E707" t="s">
        <v>43</v>
      </c>
    </row>
    <row r="708" spans="1:5" x14ac:dyDescent="0.2">
      <c r="A708" s="272">
        <v>45875.381342592591</v>
      </c>
      <c r="B708" t="s">
        <v>771</v>
      </c>
      <c r="C708" t="s">
        <v>626</v>
      </c>
      <c r="D708" t="s">
        <v>1018</v>
      </c>
      <c r="E708" t="s">
        <v>953</v>
      </c>
    </row>
    <row r="709" spans="1:5" ht="128" x14ac:dyDescent="0.2">
      <c r="A709" s="272">
        <v>45875.381666666668</v>
      </c>
      <c r="B709" t="s">
        <v>771</v>
      </c>
      <c r="C709" t="s">
        <v>626</v>
      </c>
      <c r="D709" t="s">
        <v>958</v>
      </c>
      <c r="E709" s="6" t="s">
        <v>1089</v>
      </c>
    </row>
    <row r="710" spans="1:5" x14ac:dyDescent="0.2">
      <c r="A710" s="272">
        <v>45875.381886574076</v>
      </c>
      <c r="B710" t="s">
        <v>771</v>
      </c>
      <c r="C710" t="s">
        <v>626</v>
      </c>
      <c r="D710" t="s">
        <v>1090</v>
      </c>
    </row>
    <row r="711" spans="1:5" x14ac:dyDescent="0.2">
      <c r="A711" s="272">
        <v>45875.381956018522</v>
      </c>
      <c r="B711" t="s">
        <v>771</v>
      </c>
      <c r="C711" t="s">
        <v>626</v>
      </c>
      <c r="D711" t="s">
        <v>1091</v>
      </c>
      <c r="E711">
        <v>9</v>
      </c>
    </row>
    <row r="712" spans="1:5" x14ac:dyDescent="0.2">
      <c r="A712" s="272">
        <v>45875.383819444447</v>
      </c>
      <c r="B712" t="s">
        <v>771</v>
      </c>
      <c r="C712" t="s">
        <v>17</v>
      </c>
      <c r="D712" t="s">
        <v>1092</v>
      </c>
    </row>
    <row r="713" spans="1:5" x14ac:dyDescent="0.2">
      <c r="A713" s="272">
        <v>45875.387025462966</v>
      </c>
      <c r="B713" t="s">
        <v>771</v>
      </c>
      <c r="C713" t="s">
        <v>17</v>
      </c>
      <c r="D713" t="s">
        <v>1093</v>
      </c>
    </row>
    <row r="714" spans="1:5" x14ac:dyDescent="0.2">
      <c r="A714" s="272">
        <v>45875.387083333335</v>
      </c>
      <c r="B714" t="s">
        <v>771</v>
      </c>
      <c r="C714" t="s">
        <v>17</v>
      </c>
      <c r="D714" t="s">
        <v>938</v>
      </c>
      <c r="E714" t="s">
        <v>210</v>
      </c>
    </row>
    <row r="715" spans="1:5" x14ac:dyDescent="0.2">
      <c r="A715" s="272">
        <v>45875.387106481481</v>
      </c>
      <c r="B715" t="s">
        <v>771</v>
      </c>
      <c r="C715" t="s">
        <v>17</v>
      </c>
      <c r="D715" t="s">
        <v>938</v>
      </c>
      <c r="E715" t="s">
        <v>211</v>
      </c>
    </row>
    <row r="716" spans="1:5" x14ac:dyDescent="0.2">
      <c r="A716" s="272">
        <v>45875.387118055558</v>
      </c>
      <c r="B716" t="s">
        <v>771</v>
      </c>
      <c r="C716" t="s">
        <v>17</v>
      </c>
      <c r="D716" t="s">
        <v>938</v>
      </c>
    </row>
    <row r="717" spans="1:5" x14ac:dyDescent="0.2">
      <c r="A717" s="272">
        <v>45875.38758101852</v>
      </c>
      <c r="B717" t="s">
        <v>771</v>
      </c>
      <c r="C717" t="s">
        <v>29</v>
      </c>
      <c r="D717" t="s">
        <v>824</v>
      </c>
      <c r="E717" t="s">
        <v>315</v>
      </c>
    </row>
    <row r="718" spans="1:5" x14ac:dyDescent="0.2">
      <c r="A718" s="272">
        <v>45875.387708333335</v>
      </c>
      <c r="B718" t="s">
        <v>771</v>
      </c>
      <c r="C718" t="s">
        <v>29</v>
      </c>
      <c r="D718" t="s">
        <v>1094</v>
      </c>
      <c r="E718" t="s">
        <v>1095</v>
      </c>
    </row>
    <row r="719" spans="1:5" x14ac:dyDescent="0.2">
      <c r="A719" s="272">
        <v>45875.388090277775</v>
      </c>
      <c r="B719" t="s">
        <v>771</v>
      </c>
      <c r="C719" t="s">
        <v>626</v>
      </c>
      <c r="D719" t="s">
        <v>854</v>
      </c>
    </row>
    <row r="720" spans="1:5" x14ac:dyDescent="0.2">
      <c r="A720" s="272">
        <v>45875.388657407406</v>
      </c>
      <c r="B720" t="s">
        <v>771</v>
      </c>
      <c r="C720" t="s">
        <v>626</v>
      </c>
      <c r="D720" t="s">
        <v>1096</v>
      </c>
      <c r="E720">
        <v>4</v>
      </c>
    </row>
    <row r="721" spans="1:5" x14ac:dyDescent="0.2">
      <c r="A721" s="272">
        <v>45875.389027777775</v>
      </c>
      <c r="B721" t="s">
        <v>771</v>
      </c>
      <c r="C721" t="s">
        <v>626</v>
      </c>
      <c r="D721" t="s">
        <v>1097</v>
      </c>
      <c r="E721" t="s">
        <v>833</v>
      </c>
    </row>
    <row r="722" spans="1:5" x14ac:dyDescent="0.2">
      <c r="A722" s="272">
        <v>45875.389097222222</v>
      </c>
      <c r="B722" t="s">
        <v>771</v>
      </c>
      <c r="C722" t="s">
        <v>626</v>
      </c>
      <c r="D722" t="s">
        <v>1098</v>
      </c>
      <c r="E722" t="s">
        <v>1073</v>
      </c>
    </row>
    <row r="723" spans="1:5" x14ac:dyDescent="0.2">
      <c r="A723" s="272">
        <v>45875.389351851853</v>
      </c>
      <c r="B723" t="s">
        <v>771</v>
      </c>
      <c r="C723" t="s">
        <v>29</v>
      </c>
      <c r="D723" t="s">
        <v>1099</v>
      </c>
    </row>
    <row r="724" spans="1:5" x14ac:dyDescent="0.2">
      <c r="A724" s="272">
        <v>45875.389351851853</v>
      </c>
      <c r="B724" t="s">
        <v>771</v>
      </c>
      <c r="C724" t="s">
        <v>29</v>
      </c>
      <c r="D724" t="s">
        <v>1100</v>
      </c>
      <c r="E724" t="s">
        <v>177</v>
      </c>
    </row>
    <row r="725" spans="1:5" x14ac:dyDescent="0.2">
      <c r="A725" s="272">
        <v>45875.389560185184</v>
      </c>
      <c r="B725" t="s">
        <v>771</v>
      </c>
      <c r="C725" t="s">
        <v>29</v>
      </c>
      <c r="D725" t="s">
        <v>1101</v>
      </c>
      <c r="E725" t="s">
        <v>316</v>
      </c>
    </row>
    <row r="726" spans="1:5" x14ac:dyDescent="0.2">
      <c r="A726" s="272">
        <v>45875.389722222222</v>
      </c>
      <c r="B726" t="s">
        <v>771</v>
      </c>
      <c r="C726" t="s">
        <v>29</v>
      </c>
      <c r="D726" t="s">
        <v>1102</v>
      </c>
      <c r="E726" t="s">
        <v>316</v>
      </c>
    </row>
    <row r="727" spans="1:5" x14ac:dyDescent="0.2">
      <c r="A727" s="272">
        <v>45875.389791666668</v>
      </c>
      <c r="B727" t="s">
        <v>771</v>
      </c>
      <c r="C727" t="s">
        <v>29</v>
      </c>
      <c r="D727" t="s">
        <v>1103</v>
      </c>
      <c r="E727" t="s">
        <v>1104</v>
      </c>
    </row>
    <row r="728" spans="1:5" x14ac:dyDescent="0.2">
      <c r="A728" s="272">
        <v>45875.38989583333</v>
      </c>
      <c r="B728" t="s">
        <v>771</v>
      </c>
      <c r="C728" t="s">
        <v>626</v>
      </c>
      <c r="D728" t="s">
        <v>1105</v>
      </c>
      <c r="E728" t="s">
        <v>316</v>
      </c>
    </row>
    <row r="729" spans="1:5" x14ac:dyDescent="0.2">
      <c r="A729" s="272">
        <v>45875.390266203707</v>
      </c>
      <c r="B729" t="s">
        <v>771</v>
      </c>
      <c r="C729" t="s">
        <v>626</v>
      </c>
      <c r="D729" t="s">
        <v>1106</v>
      </c>
      <c r="E729" t="s">
        <v>1107</v>
      </c>
    </row>
    <row r="730" spans="1:5" x14ac:dyDescent="0.2">
      <c r="A730" s="272">
        <v>45875.390381944446</v>
      </c>
      <c r="B730" t="s">
        <v>771</v>
      </c>
      <c r="C730" t="s">
        <v>626</v>
      </c>
      <c r="D730" t="s">
        <v>1108</v>
      </c>
      <c r="E730" t="s">
        <v>143</v>
      </c>
    </row>
    <row r="731" spans="1:5" x14ac:dyDescent="0.2">
      <c r="A731" s="272">
        <v>45875.390717592592</v>
      </c>
      <c r="B731" t="s">
        <v>771</v>
      </c>
      <c r="C731" t="s">
        <v>626</v>
      </c>
      <c r="D731" t="s">
        <v>1109</v>
      </c>
    </row>
    <row r="732" spans="1:5" x14ac:dyDescent="0.2">
      <c r="A732" s="272">
        <v>45875.390717592592</v>
      </c>
      <c r="B732" t="s">
        <v>771</v>
      </c>
      <c r="C732" t="s">
        <v>626</v>
      </c>
      <c r="D732" t="s">
        <v>1109</v>
      </c>
    </row>
    <row r="733" spans="1:5" x14ac:dyDescent="0.2">
      <c r="A733" s="272">
        <v>45875.390810185185</v>
      </c>
      <c r="B733" t="s">
        <v>771</v>
      </c>
      <c r="C733" t="s">
        <v>626</v>
      </c>
      <c r="D733" t="s">
        <v>1110</v>
      </c>
    </row>
    <row r="734" spans="1:5" x14ac:dyDescent="0.2">
      <c r="A734" s="272">
        <v>45875.390844907408</v>
      </c>
      <c r="B734" t="s">
        <v>771</v>
      </c>
      <c r="C734" t="s">
        <v>626</v>
      </c>
      <c r="D734" t="s">
        <v>1111</v>
      </c>
      <c r="E734">
        <v>5</v>
      </c>
    </row>
    <row r="735" spans="1:5" x14ac:dyDescent="0.2">
      <c r="A735" s="272">
        <v>45875.3908912037</v>
      </c>
      <c r="B735" t="s">
        <v>771</v>
      </c>
      <c r="C735" t="s">
        <v>626</v>
      </c>
      <c r="D735" t="s">
        <v>1112</v>
      </c>
    </row>
    <row r="736" spans="1:5" x14ac:dyDescent="0.2">
      <c r="A736" s="272">
        <v>45875.391006944446</v>
      </c>
      <c r="B736" t="s">
        <v>771</v>
      </c>
      <c r="C736" t="s">
        <v>626</v>
      </c>
      <c r="D736" t="s">
        <v>1113</v>
      </c>
      <c r="E736" t="s">
        <v>35</v>
      </c>
    </row>
    <row r="737" spans="1:5" x14ac:dyDescent="0.2">
      <c r="A737" s="272">
        <v>45875.391087962962</v>
      </c>
      <c r="B737" t="s">
        <v>771</v>
      </c>
      <c r="C737" t="s">
        <v>626</v>
      </c>
      <c r="D737" t="s">
        <v>1114</v>
      </c>
      <c r="E737" t="s">
        <v>58</v>
      </c>
    </row>
    <row r="738" spans="1:5" x14ac:dyDescent="0.2">
      <c r="A738" s="272">
        <v>45875.391134259262</v>
      </c>
      <c r="B738" t="s">
        <v>771</v>
      </c>
      <c r="C738" t="s">
        <v>626</v>
      </c>
      <c r="D738" t="s">
        <v>1115</v>
      </c>
      <c r="E738" t="s">
        <v>35</v>
      </c>
    </row>
    <row r="739" spans="1:5" x14ac:dyDescent="0.2">
      <c r="A739" s="272">
        <v>45875.391319444447</v>
      </c>
      <c r="B739" t="s">
        <v>771</v>
      </c>
      <c r="C739" t="s">
        <v>626</v>
      </c>
      <c r="D739" t="s">
        <v>1116</v>
      </c>
      <c r="E739" t="s">
        <v>1117</v>
      </c>
    </row>
    <row r="740" spans="1:5" x14ac:dyDescent="0.2">
      <c r="A740" s="272">
        <v>45875.391365740739</v>
      </c>
      <c r="B740" t="s">
        <v>771</v>
      </c>
      <c r="C740" t="s">
        <v>626</v>
      </c>
      <c r="D740" t="s">
        <v>1116</v>
      </c>
      <c r="E740" t="s">
        <v>1118</v>
      </c>
    </row>
    <row r="741" spans="1:5" ht="144" x14ac:dyDescent="0.2">
      <c r="A741" s="272">
        <v>45875.391886574071</v>
      </c>
      <c r="B741" t="s">
        <v>771</v>
      </c>
      <c r="C741" t="s">
        <v>626</v>
      </c>
      <c r="D741" t="s">
        <v>1119</v>
      </c>
      <c r="E741" s="6" t="s">
        <v>1120</v>
      </c>
    </row>
    <row r="742" spans="1:5" ht="48" x14ac:dyDescent="0.2">
      <c r="A742" s="272">
        <v>45875.391921296294</v>
      </c>
      <c r="B742" t="s">
        <v>771</v>
      </c>
      <c r="C742" t="s">
        <v>626</v>
      </c>
      <c r="D742" t="s">
        <v>1119</v>
      </c>
      <c r="E742" s="6" t="s">
        <v>1121</v>
      </c>
    </row>
    <row r="743" spans="1:5" ht="48" x14ac:dyDescent="0.2">
      <c r="A743" s="272">
        <v>45875.391967592594</v>
      </c>
      <c r="B743" t="s">
        <v>771</v>
      </c>
      <c r="C743" t="s">
        <v>626</v>
      </c>
      <c r="D743" t="s">
        <v>1119</v>
      </c>
      <c r="E743" s="6" t="s">
        <v>1122</v>
      </c>
    </row>
    <row r="744" spans="1:5" ht="80" x14ac:dyDescent="0.2">
      <c r="A744" s="272">
        <v>45875.39203703704</v>
      </c>
      <c r="B744" t="s">
        <v>771</v>
      </c>
      <c r="C744" t="s">
        <v>626</v>
      </c>
      <c r="D744" t="s">
        <v>1123</v>
      </c>
      <c r="E744" s="6" t="s">
        <v>1124</v>
      </c>
    </row>
    <row r="745" spans="1:5" ht="80" x14ac:dyDescent="0.2">
      <c r="A745" s="272">
        <v>45875.392129629632</v>
      </c>
      <c r="B745" t="s">
        <v>771</v>
      </c>
      <c r="C745" t="s">
        <v>626</v>
      </c>
      <c r="D745" t="s">
        <v>1123</v>
      </c>
      <c r="E745" s="6" t="s">
        <v>1125</v>
      </c>
    </row>
    <row r="746" spans="1:5" x14ac:dyDescent="0.2">
      <c r="A746" s="272">
        <v>45875.392789351848</v>
      </c>
      <c r="B746" t="s">
        <v>771</v>
      </c>
      <c r="C746" t="s">
        <v>626</v>
      </c>
      <c r="D746" t="s">
        <v>1126</v>
      </c>
      <c r="E746" t="s">
        <v>352</v>
      </c>
    </row>
    <row r="747" spans="1:5" ht="64" x14ac:dyDescent="0.2">
      <c r="A747" s="272">
        <v>45875.392962962964</v>
      </c>
      <c r="B747" t="s">
        <v>771</v>
      </c>
      <c r="C747" t="s">
        <v>626</v>
      </c>
      <c r="D747" t="s">
        <v>1119</v>
      </c>
      <c r="E747" s="6" t="s">
        <v>1127</v>
      </c>
    </row>
    <row r="748" spans="1:5" x14ac:dyDescent="0.2">
      <c r="A748" s="272">
        <v>45875.392997685187</v>
      </c>
      <c r="B748" t="s">
        <v>771</v>
      </c>
      <c r="C748" t="s">
        <v>626</v>
      </c>
      <c r="D748" t="s">
        <v>1128</v>
      </c>
      <c r="E748" t="s">
        <v>1129</v>
      </c>
    </row>
    <row r="749" spans="1:5" ht="64" x14ac:dyDescent="0.2">
      <c r="A749" s="272">
        <v>45875.393009259256</v>
      </c>
      <c r="B749" t="s">
        <v>771</v>
      </c>
      <c r="C749" t="s">
        <v>626</v>
      </c>
      <c r="D749" t="s">
        <v>1119</v>
      </c>
      <c r="E749" s="6" t="s">
        <v>1130</v>
      </c>
    </row>
    <row r="750" spans="1:5" ht="80" x14ac:dyDescent="0.2">
      <c r="A750" s="272">
        <v>45875.393043981479</v>
      </c>
      <c r="B750" t="s">
        <v>771</v>
      </c>
      <c r="C750" t="s">
        <v>626</v>
      </c>
      <c r="D750" t="s">
        <v>1119</v>
      </c>
      <c r="E750" s="6" t="s">
        <v>1131</v>
      </c>
    </row>
    <row r="751" spans="1:5" x14ac:dyDescent="0.2">
      <c r="A751" s="272">
        <v>45875.393078703702</v>
      </c>
      <c r="B751" t="s">
        <v>771</v>
      </c>
      <c r="C751" t="s">
        <v>626</v>
      </c>
      <c r="D751" t="s">
        <v>1132</v>
      </c>
    </row>
    <row r="752" spans="1:5" ht="96" x14ac:dyDescent="0.2">
      <c r="A752" s="272">
        <v>45875.393136574072</v>
      </c>
      <c r="B752" t="s">
        <v>771</v>
      </c>
      <c r="C752" t="s">
        <v>626</v>
      </c>
      <c r="D752" t="s">
        <v>1119</v>
      </c>
      <c r="E752" s="6" t="s">
        <v>1133</v>
      </c>
    </row>
    <row r="753" spans="1:5" x14ac:dyDescent="0.2">
      <c r="A753" s="272">
        <v>45875.393159722225</v>
      </c>
      <c r="B753" t="s">
        <v>771</v>
      </c>
      <c r="C753" t="s">
        <v>626</v>
      </c>
      <c r="D753" t="s">
        <v>1134</v>
      </c>
    </row>
    <row r="754" spans="1:5" ht="96" x14ac:dyDescent="0.2">
      <c r="A754" s="272">
        <v>45875.393333333333</v>
      </c>
      <c r="B754" t="s">
        <v>771</v>
      </c>
      <c r="C754" t="s">
        <v>626</v>
      </c>
      <c r="D754" t="s">
        <v>1119</v>
      </c>
      <c r="E754" s="6" t="s">
        <v>1133</v>
      </c>
    </row>
    <row r="755" spans="1:5" ht="112" x14ac:dyDescent="0.2">
      <c r="A755" s="272">
        <v>45875.393368055556</v>
      </c>
      <c r="B755" t="s">
        <v>771</v>
      </c>
      <c r="C755" t="s">
        <v>626</v>
      </c>
      <c r="D755" t="s">
        <v>1119</v>
      </c>
      <c r="E755" s="6" t="s">
        <v>1135</v>
      </c>
    </row>
    <row r="756" spans="1:5" ht="96" x14ac:dyDescent="0.2">
      <c r="A756" s="272">
        <v>45875.393460648149</v>
      </c>
      <c r="B756" t="s">
        <v>771</v>
      </c>
      <c r="C756" t="s">
        <v>626</v>
      </c>
      <c r="D756" t="s">
        <v>1123</v>
      </c>
      <c r="E756" s="6" t="s">
        <v>1136</v>
      </c>
    </row>
    <row r="757" spans="1:5" x14ac:dyDescent="0.2">
      <c r="A757" s="272">
        <v>45875.393587962964</v>
      </c>
      <c r="B757" t="s">
        <v>771</v>
      </c>
      <c r="C757" t="s">
        <v>626</v>
      </c>
      <c r="D757" t="s">
        <v>1137</v>
      </c>
      <c r="E757" t="s">
        <v>371</v>
      </c>
    </row>
    <row r="758" spans="1:5" ht="112" x14ac:dyDescent="0.2">
      <c r="A758" s="272">
        <v>45875.393726851849</v>
      </c>
      <c r="B758" t="s">
        <v>771</v>
      </c>
      <c r="C758" t="s">
        <v>626</v>
      </c>
      <c r="D758" t="s">
        <v>1123</v>
      </c>
      <c r="E758" s="6" t="s">
        <v>1138</v>
      </c>
    </row>
    <row r="759" spans="1:5" ht="112" x14ac:dyDescent="0.2">
      <c r="A759" s="272">
        <v>45875.393819444442</v>
      </c>
      <c r="B759" t="s">
        <v>771</v>
      </c>
      <c r="C759" t="s">
        <v>626</v>
      </c>
      <c r="D759" t="s">
        <v>1123</v>
      </c>
      <c r="E759" s="6" t="s">
        <v>1139</v>
      </c>
    </row>
    <row r="760" spans="1:5" ht="112" x14ac:dyDescent="0.2">
      <c r="A760" s="272">
        <v>45875.393865740742</v>
      </c>
      <c r="B760" t="s">
        <v>771</v>
      </c>
      <c r="C760" t="s">
        <v>626</v>
      </c>
      <c r="D760" t="s">
        <v>1123</v>
      </c>
      <c r="E760" s="6" t="s">
        <v>1139</v>
      </c>
    </row>
    <row r="761" spans="1:5" x14ac:dyDescent="0.2">
      <c r="A761" s="272">
        <v>45875.393877314818</v>
      </c>
      <c r="B761" t="s">
        <v>771</v>
      </c>
      <c r="C761" t="s">
        <v>626</v>
      </c>
      <c r="D761" t="s">
        <v>1140</v>
      </c>
    </row>
    <row r="762" spans="1:5" x14ac:dyDescent="0.2">
      <c r="A762" s="272">
        <v>45875.394108796296</v>
      </c>
      <c r="B762" t="s">
        <v>771</v>
      </c>
      <c r="C762" t="s">
        <v>626</v>
      </c>
      <c r="D762" t="s">
        <v>1141</v>
      </c>
      <c r="E762" t="s">
        <v>106</v>
      </c>
    </row>
    <row r="763" spans="1:5" x14ac:dyDescent="0.2">
      <c r="A763" s="272">
        <v>45875.394479166665</v>
      </c>
      <c r="B763" t="s">
        <v>771</v>
      </c>
      <c r="C763" t="s">
        <v>8</v>
      </c>
      <c r="D763" t="s">
        <v>741</v>
      </c>
      <c r="E763" t="s">
        <v>953</v>
      </c>
    </row>
    <row r="764" spans="1:5" x14ac:dyDescent="0.2">
      <c r="A764" s="272">
        <v>45875.394791666666</v>
      </c>
      <c r="B764" t="s">
        <v>771</v>
      </c>
      <c r="C764" t="s">
        <v>17</v>
      </c>
      <c r="D764" t="s">
        <v>1093</v>
      </c>
      <c r="E764" t="s">
        <v>180</v>
      </c>
    </row>
    <row r="765" spans="1:5" x14ac:dyDescent="0.2">
      <c r="A765" s="272">
        <v>45875.397152777776</v>
      </c>
      <c r="B765" t="s">
        <v>771</v>
      </c>
      <c r="C765" t="s">
        <v>17</v>
      </c>
      <c r="D765" t="s">
        <v>1142</v>
      </c>
    </row>
    <row r="766" spans="1:5" x14ac:dyDescent="0.2">
      <c r="A766" s="272">
        <v>45875.397268518522</v>
      </c>
      <c r="B766" t="s">
        <v>771</v>
      </c>
      <c r="C766" t="s">
        <v>17</v>
      </c>
      <c r="D766" t="s">
        <v>995</v>
      </c>
    </row>
    <row r="767" spans="1:5" x14ac:dyDescent="0.2">
      <c r="A767" s="272">
        <v>45875.402025462965</v>
      </c>
      <c r="B767" t="s">
        <v>771</v>
      </c>
      <c r="C767" t="s">
        <v>626</v>
      </c>
      <c r="D767" t="s">
        <v>1143</v>
      </c>
      <c r="E767" t="s">
        <v>87</v>
      </c>
    </row>
    <row r="768" spans="1:5" ht="112" x14ac:dyDescent="0.2">
      <c r="A768" s="272">
        <v>45875.402268518519</v>
      </c>
      <c r="B768" t="s">
        <v>771</v>
      </c>
      <c r="C768" t="s">
        <v>626</v>
      </c>
      <c r="D768" t="s">
        <v>1144</v>
      </c>
      <c r="E768" s="6" t="s">
        <v>1145</v>
      </c>
    </row>
    <row r="769" spans="1:5" ht="112" x14ac:dyDescent="0.2">
      <c r="A769" s="272">
        <v>45875.402407407404</v>
      </c>
      <c r="B769" t="s">
        <v>771</v>
      </c>
      <c r="C769" t="s">
        <v>626</v>
      </c>
      <c r="D769" t="s">
        <v>1144</v>
      </c>
      <c r="E769" s="6" t="s">
        <v>1146</v>
      </c>
    </row>
    <row r="770" spans="1:5" x14ac:dyDescent="0.2">
      <c r="A770" s="272">
        <v>45875.402592592596</v>
      </c>
      <c r="B770" t="s">
        <v>771</v>
      </c>
      <c r="C770" t="s">
        <v>17</v>
      </c>
      <c r="D770" t="s">
        <v>791</v>
      </c>
      <c r="E770" t="s">
        <v>87</v>
      </c>
    </row>
    <row r="771" spans="1:5" x14ac:dyDescent="0.2">
      <c r="A771" s="272">
        <v>45875.403402777774</v>
      </c>
      <c r="B771" t="s">
        <v>771</v>
      </c>
      <c r="C771" t="s">
        <v>17</v>
      </c>
      <c r="D771" t="s">
        <v>672</v>
      </c>
      <c r="E771" t="s">
        <v>90</v>
      </c>
    </row>
    <row r="772" spans="1:5" x14ac:dyDescent="0.2">
      <c r="A772" s="272">
        <v>45875.403599537036</v>
      </c>
      <c r="B772" t="s">
        <v>771</v>
      </c>
      <c r="C772" t="s">
        <v>17</v>
      </c>
      <c r="D772" t="s">
        <v>1147</v>
      </c>
      <c r="E772" t="s">
        <v>95</v>
      </c>
    </row>
    <row r="773" spans="1:5" x14ac:dyDescent="0.2">
      <c r="A773" s="272">
        <v>45875.403657407405</v>
      </c>
      <c r="B773" t="s">
        <v>771</v>
      </c>
      <c r="C773" t="s">
        <v>17</v>
      </c>
      <c r="D773" t="s">
        <v>672</v>
      </c>
      <c r="E773" t="s">
        <v>205</v>
      </c>
    </row>
    <row r="774" spans="1:5" x14ac:dyDescent="0.2">
      <c r="A774" s="272">
        <v>45875.403749999998</v>
      </c>
      <c r="B774" t="s">
        <v>771</v>
      </c>
      <c r="C774" t="s">
        <v>17</v>
      </c>
      <c r="D774" t="s">
        <v>1148</v>
      </c>
      <c r="E774" t="s">
        <v>99</v>
      </c>
    </row>
    <row r="775" spans="1:5" x14ac:dyDescent="0.2">
      <c r="A775" s="272">
        <v>45875.403865740744</v>
      </c>
      <c r="B775" t="s">
        <v>771</v>
      </c>
      <c r="C775" t="s">
        <v>626</v>
      </c>
      <c r="D775" t="s">
        <v>1043</v>
      </c>
      <c r="E775" t="s">
        <v>95</v>
      </c>
    </row>
    <row r="776" spans="1:5" x14ac:dyDescent="0.2">
      <c r="A776" s="272">
        <v>45875.458935185183</v>
      </c>
      <c r="B776" t="s">
        <v>611</v>
      </c>
      <c r="C776" t="s">
        <v>612</v>
      </c>
      <c r="D776" t="s">
        <v>963</v>
      </c>
      <c r="E776" t="s">
        <v>43</v>
      </c>
    </row>
    <row r="777" spans="1:5" x14ac:dyDescent="0.2">
      <c r="A777" s="272">
        <v>45875.459247685183</v>
      </c>
      <c r="B777" t="s">
        <v>611</v>
      </c>
      <c r="C777" t="s">
        <v>2</v>
      </c>
      <c r="D777" t="s">
        <v>1149</v>
      </c>
      <c r="E777" t="s">
        <v>1150</v>
      </c>
    </row>
    <row r="778" spans="1:5" x14ac:dyDescent="0.2">
      <c r="A778" s="272">
        <v>45875.459444444445</v>
      </c>
      <c r="B778" t="s">
        <v>611</v>
      </c>
      <c r="C778" t="s">
        <v>2</v>
      </c>
      <c r="D778" t="s">
        <v>1151</v>
      </c>
      <c r="E778" t="e">
        <v>#REF!</v>
      </c>
    </row>
    <row r="779" spans="1:5" x14ac:dyDescent="0.2">
      <c r="A779" s="272">
        <v>45875.45988425926</v>
      </c>
      <c r="B779" t="s">
        <v>611</v>
      </c>
      <c r="C779" t="s">
        <v>2</v>
      </c>
      <c r="D779" t="s">
        <v>1151</v>
      </c>
      <c r="E779" t="s">
        <v>1150</v>
      </c>
    </row>
    <row r="780" spans="1:5" x14ac:dyDescent="0.2">
      <c r="A780" s="272">
        <v>45875.45994212963</v>
      </c>
      <c r="B780" t="s">
        <v>611</v>
      </c>
      <c r="C780" t="s">
        <v>2</v>
      </c>
      <c r="D780" t="s">
        <v>1152</v>
      </c>
      <c r="E780" t="s">
        <v>1150</v>
      </c>
    </row>
    <row r="781" spans="1:5" x14ac:dyDescent="0.2">
      <c r="A781" s="272">
        <v>45875.460046296299</v>
      </c>
      <c r="B781" t="s">
        <v>611</v>
      </c>
      <c r="C781" t="s">
        <v>29</v>
      </c>
      <c r="D781" t="s">
        <v>1153</v>
      </c>
      <c r="E781" t="s">
        <v>317</v>
      </c>
    </row>
    <row r="782" spans="1:5" x14ac:dyDescent="0.2">
      <c r="A782" s="272">
        <v>45875.460115740738</v>
      </c>
      <c r="B782" t="s">
        <v>611</v>
      </c>
      <c r="C782" t="s">
        <v>29</v>
      </c>
      <c r="D782" t="s">
        <v>1154</v>
      </c>
    </row>
    <row r="783" spans="1:5" x14ac:dyDescent="0.2">
      <c r="A783" s="272">
        <v>45875.460115740738</v>
      </c>
      <c r="B783" t="s">
        <v>611</v>
      </c>
      <c r="C783" t="s">
        <v>29</v>
      </c>
      <c r="D783" t="s">
        <v>1155</v>
      </c>
      <c r="E783" t="s">
        <v>42</v>
      </c>
    </row>
    <row r="784" spans="1:5" x14ac:dyDescent="0.2">
      <c r="A784" s="272">
        <v>45875.460127314815</v>
      </c>
      <c r="B784" t="s">
        <v>611</v>
      </c>
      <c r="C784" t="s">
        <v>29</v>
      </c>
      <c r="D784" t="s">
        <v>1156</v>
      </c>
      <c r="E784" t="s">
        <v>317</v>
      </c>
    </row>
    <row r="785" spans="1:5" x14ac:dyDescent="0.2">
      <c r="A785" s="272">
        <v>45875.460138888891</v>
      </c>
      <c r="B785" t="s">
        <v>611</v>
      </c>
      <c r="C785" t="s">
        <v>29</v>
      </c>
      <c r="D785" t="s">
        <v>1157</v>
      </c>
      <c r="E785" t="s">
        <v>320</v>
      </c>
    </row>
    <row r="786" spans="1:5" x14ac:dyDescent="0.2">
      <c r="A786" s="272">
        <v>45875.460428240738</v>
      </c>
      <c r="B786" t="s">
        <v>611</v>
      </c>
      <c r="C786" t="s">
        <v>29</v>
      </c>
      <c r="D786" t="s">
        <v>1158</v>
      </c>
      <c r="E786">
        <v>0</v>
      </c>
    </row>
    <row r="787" spans="1:5" x14ac:dyDescent="0.2">
      <c r="A787" s="272">
        <v>45875.460474537038</v>
      </c>
      <c r="B787" t="s">
        <v>611</v>
      </c>
      <c r="C787" t="s">
        <v>29</v>
      </c>
      <c r="D787" t="s">
        <v>1159</v>
      </c>
      <c r="E787">
        <v>0</v>
      </c>
    </row>
    <row r="788" spans="1:5" x14ac:dyDescent="0.2">
      <c r="A788" s="272">
        <v>45875.460543981484</v>
      </c>
      <c r="B788" t="s">
        <v>611</v>
      </c>
      <c r="C788" t="s">
        <v>29</v>
      </c>
      <c r="D788" t="s">
        <v>1160</v>
      </c>
      <c r="E788">
        <v>0</v>
      </c>
    </row>
    <row r="789" spans="1:5" x14ac:dyDescent="0.2">
      <c r="A789" s="272">
        <v>45875.460578703707</v>
      </c>
      <c r="B789" t="s">
        <v>611</v>
      </c>
      <c r="C789" t="s">
        <v>29</v>
      </c>
      <c r="D789" t="s">
        <v>1161</v>
      </c>
      <c r="E789">
        <v>0</v>
      </c>
    </row>
    <row r="790" spans="1:5" x14ac:dyDescent="0.2">
      <c r="A790" s="272">
        <v>45875.460601851853</v>
      </c>
      <c r="B790" t="s">
        <v>611</v>
      </c>
      <c r="C790" t="s">
        <v>29</v>
      </c>
      <c r="D790" t="s">
        <v>1162</v>
      </c>
      <c r="E790">
        <v>0</v>
      </c>
    </row>
    <row r="791" spans="1:5" x14ac:dyDescent="0.2">
      <c r="A791" s="272">
        <v>45875.460752314815</v>
      </c>
      <c r="B791" t="s">
        <v>611</v>
      </c>
      <c r="C791" t="s">
        <v>29</v>
      </c>
      <c r="D791" t="s">
        <v>1163</v>
      </c>
      <c r="E791">
        <v>0</v>
      </c>
    </row>
    <row r="792" spans="1:5" x14ac:dyDescent="0.2">
      <c r="A792" s="272">
        <v>45875.460810185185</v>
      </c>
      <c r="B792" t="s">
        <v>611</v>
      </c>
      <c r="C792" t="s">
        <v>29</v>
      </c>
      <c r="D792" t="s">
        <v>1158</v>
      </c>
      <c r="E792">
        <v>0</v>
      </c>
    </row>
    <row r="793" spans="1:5" x14ac:dyDescent="0.2">
      <c r="A793" s="272">
        <v>45875.460844907408</v>
      </c>
      <c r="B793" t="s">
        <v>611</v>
      </c>
      <c r="C793" t="s">
        <v>29</v>
      </c>
      <c r="D793" t="s">
        <v>1161</v>
      </c>
      <c r="E793">
        <v>0</v>
      </c>
    </row>
    <row r="794" spans="1:5" x14ac:dyDescent="0.2">
      <c r="A794" s="272">
        <v>45875.461006944446</v>
      </c>
      <c r="B794" t="s">
        <v>611</v>
      </c>
      <c r="C794" t="s">
        <v>29</v>
      </c>
      <c r="D794" t="s">
        <v>1160</v>
      </c>
      <c r="E794">
        <v>0</v>
      </c>
    </row>
    <row r="795" spans="1:5" x14ac:dyDescent="0.2">
      <c r="A795" s="272">
        <v>45875.461030092592</v>
      </c>
      <c r="B795" t="s">
        <v>611</v>
      </c>
      <c r="C795" t="s">
        <v>29</v>
      </c>
      <c r="D795" t="s">
        <v>1164</v>
      </c>
      <c r="E795">
        <v>0</v>
      </c>
    </row>
    <row r="796" spans="1:5" x14ac:dyDescent="0.2">
      <c r="A796" s="272">
        <v>45875.461076388892</v>
      </c>
      <c r="B796" t="s">
        <v>611</v>
      </c>
      <c r="C796" t="s">
        <v>29</v>
      </c>
      <c r="D796" t="s">
        <v>1165</v>
      </c>
      <c r="E796">
        <v>0</v>
      </c>
    </row>
    <row r="797" spans="1:5" x14ac:dyDescent="0.2">
      <c r="A797" s="272">
        <v>45875.461122685185</v>
      </c>
      <c r="B797" t="s">
        <v>611</v>
      </c>
      <c r="C797" t="s">
        <v>29</v>
      </c>
      <c r="D797" t="s">
        <v>1160</v>
      </c>
      <c r="E797">
        <v>0</v>
      </c>
    </row>
    <row r="798" spans="1:5" x14ac:dyDescent="0.2">
      <c r="A798" s="272">
        <v>45875.461157407408</v>
      </c>
      <c r="B798" t="s">
        <v>611</v>
      </c>
      <c r="C798" t="s">
        <v>29</v>
      </c>
      <c r="D798" t="s">
        <v>1166</v>
      </c>
      <c r="E798">
        <v>0</v>
      </c>
    </row>
    <row r="799" spans="1:5" x14ac:dyDescent="0.2">
      <c r="A799" s="272">
        <v>45875.461180555554</v>
      </c>
      <c r="B799" t="s">
        <v>611</v>
      </c>
      <c r="C799" t="s">
        <v>29</v>
      </c>
      <c r="D799" t="s">
        <v>1167</v>
      </c>
      <c r="E799">
        <v>0</v>
      </c>
    </row>
    <row r="800" spans="1:5" x14ac:dyDescent="0.2">
      <c r="A800" s="272">
        <v>45875.4612037037</v>
      </c>
      <c r="B800" t="s">
        <v>611</v>
      </c>
      <c r="C800" t="s">
        <v>29</v>
      </c>
      <c r="D800" t="s">
        <v>1168</v>
      </c>
      <c r="E800">
        <v>0</v>
      </c>
    </row>
    <row r="801" spans="1:5" x14ac:dyDescent="0.2">
      <c r="A801" s="272">
        <v>45875.461273148147</v>
      </c>
      <c r="B801" t="s">
        <v>611</v>
      </c>
      <c r="C801" t="s">
        <v>29</v>
      </c>
      <c r="D801" t="s">
        <v>1169</v>
      </c>
      <c r="E801">
        <v>0</v>
      </c>
    </row>
    <row r="802" spans="1:5" x14ac:dyDescent="0.2">
      <c r="A802" s="272">
        <v>45875.461342592593</v>
      </c>
      <c r="B802" t="s">
        <v>611</v>
      </c>
      <c r="C802" t="s">
        <v>29</v>
      </c>
      <c r="D802" t="s">
        <v>1170</v>
      </c>
      <c r="E802">
        <v>500</v>
      </c>
    </row>
    <row r="803" spans="1:5" x14ac:dyDescent="0.2">
      <c r="A803" s="272">
        <v>45875.461377314816</v>
      </c>
      <c r="B803" t="s">
        <v>611</v>
      </c>
      <c r="C803" t="s">
        <v>29</v>
      </c>
      <c r="D803" t="s">
        <v>1171</v>
      </c>
      <c r="E803">
        <v>0</v>
      </c>
    </row>
    <row r="804" spans="1:5" x14ac:dyDescent="0.2">
      <c r="A804" s="272">
        <v>45875.461400462962</v>
      </c>
      <c r="B804" t="s">
        <v>611</v>
      </c>
      <c r="C804" t="s">
        <v>29</v>
      </c>
      <c r="D804" t="s">
        <v>1172</v>
      </c>
      <c r="E804">
        <v>500</v>
      </c>
    </row>
    <row r="805" spans="1:5" x14ac:dyDescent="0.2">
      <c r="A805" s="272">
        <v>45875.461446759262</v>
      </c>
      <c r="B805" t="s">
        <v>611</v>
      </c>
      <c r="C805" t="s">
        <v>29</v>
      </c>
      <c r="D805" t="s">
        <v>1173</v>
      </c>
      <c r="E805">
        <v>0</v>
      </c>
    </row>
    <row r="806" spans="1:5" x14ac:dyDescent="0.2">
      <c r="A806" s="272">
        <v>45875.461469907408</v>
      </c>
      <c r="B806" t="s">
        <v>611</v>
      </c>
      <c r="C806" t="s">
        <v>29</v>
      </c>
      <c r="D806" t="s">
        <v>1174</v>
      </c>
      <c r="E806">
        <v>0</v>
      </c>
    </row>
    <row r="807" spans="1:5" x14ac:dyDescent="0.2">
      <c r="A807" s="272">
        <v>45875.461493055554</v>
      </c>
      <c r="B807" t="s">
        <v>611</v>
      </c>
      <c r="C807" t="s">
        <v>29</v>
      </c>
      <c r="D807" t="s">
        <v>1175</v>
      </c>
      <c r="E807">
        <v>0</v>
      </c>
    </row>
    <row r="808" spans="1:5" x14ac:dyDescent="0.2">
      <c r="A808" s="272">
        <v>45875.461539351854</v>
      </c>
      <c r="B808" t="s">
        <v>611</v>
      </c>
      <c r="C808" t="s">
        <v>29</v>
      </c>
      <c r="D808" t="s">
        <v>1176</v>
      </c>
      <c r="E808">
        <v>0</v>
      </c>
    </row>
    <row r="809" spans="1:5" x14ac:dyDescent="0.2">
      <c r="A809" s="272">
        <v>45875.461574074077</v>
      </c>
      <c r="B809" t="s">
        <v>611</v>
      </c>
      <c r="C809" t="s">
        <v>29</v>
      </c>
      <c r="D809" t="s">
        <v>1177</v>
      </c>
      <c r="E809">
        <v>0</v>
      </c>
    </row>
    <row r="810" spans="1:5" x14ac:dyDescent="0.2">
      <c r="A810" s="272">
        <v>45875.461585648147</v>
      </c>
      <c r="B810" t="s">
        <v>611</v>
      </c>
      <c r="C810" t="s">
        <v>29</v>
      </c>
      <c r="D810" t="s">
        <v>1178</v>
      </c>
      <c r="E810">
        <v>0</v>
      </c>
    </row>
    <row r="811" spans="1:5" x14ac:dyDescent="0.2">
      <c r="A811" s="272">
        <v>45875.46162037037</v>
      </c>
      <c r="B811" t="s">
        <v>611</v>
      </c>
      <c r="C811" t="s">
        <v>29</v>
      </c>
      <c r="D811" t="s">
        <v>958</v>
      </c>
      <c r="E811">
        <v>0</v>
      </c>
    </row>
    <row r="812" spans="1:5" x14ac:dyDescent="0.2">
      <c r="A812" s="272">
        <v>45875.461655092593</v>
      </c>
      <c r="B812" t="s">
        <v>611</v>
      </c>
      <c r="C812" t="s">
        <v>29</v>
      </c>
      <c r="D812" t="s">
        <v>1179</v>
      </c>
      <c r="E812">
        <v>0</v>
      </c>
    </row>
    <row r="813" spans="1:5" x14ac:dyDescent="0.2">
      <c r="A813" s="272">
        <v>45875.461724537039</v>
      </c>
      <c r="B813" t="s">
        <v>611</v>
      </c>
      <c r="C813" t="s">
        <v>29</v>
      </c>
      <c r="D813" t="s">
        <v>1180</v>
      </c>
    </row>
    <row r="814" spans="1:5" x14ac:dyDescent="0.2">
      <c r="A814" s="272">
        <v>45875.461770833332</v>
      </c>
      <c r="B814" t="s">
        <v>611</v>
      </c>
      <c r="C814" t="s">
        <v>29</v>
      </c>
      <c r="D814" t="s">
        <v>1181</v>
      </c>
    </row>
    <row r="815" spans="1:5" x14ac:dyDescent="0.2">
      <c r="A815" s="272">
        <v>45876.40185185185</v>
      </c>
      <c r="B815" t="s">
        <v>611</v>
      </c>
      <c r="C815" t="s">
        <v>612</v>
      </c>
      <c r="D815" t="s">
        <v>963</v>
      </c>
      <c r="E815" t="s">
        <v>43</v>
      </c>
    </row>
    <row r="816" spans="1:5" x14ac:dyDescent="0.2">
      <c r="A816" s="272">
        <v>45876.414918981478</v>
      </c>
      <c r="B816" t="s">
        <v>611</v>
      </c>
      <c r="C816" t="s">
        <v>148</v>
      </c>
      <c r="D816" t="s">
        <v>1182</v>
      </c>
    </row>
    <row r="817" spans="1:5" x14ac:dyDescent="0.2">
      <c r="A817" s="272">
        <v>45876.414976851855</v>
      </c>
      <c r="B817" t="s">
        <v>611</v>
      </c>
      <c r="C817" t="s">
        <v>148</v>
      </c>
      <c r="D817" t="s">
        <v>1183</v>
      </c>
    </row>
    <row r="818" spans="1:5" x14ac:dyDescent="0.2">
      <c r="A818" s="272">
        <v>45883.627974537034</v>
      </c>
      <c r="B818" t="s">
        <v>771</v>
      </c>
      <c r="C818" t="s">
        <v>626</v>
      </c>
      <c r="D818" t="s">
        <v>1184</v>
      </c>
      <c r="E818" t="s">
        <v>110</v>
      </c>
    </row>
    <row r="819" spans="1:5" x14ac:dyDescent="0.2">
      <c r="A819" s="272">
        <v>45883.628078703703</v>
      </c>
      <c r="B819" t="s">
        <v>771</v>
      </c>
      <c r="C819" t="s">
        <v>626</v>
      </c>
      <c r="D819" t="s">
        <v>1185</v>
      </c>
      <c r="E819" t="s">
        <v>129</v>
      </c>
    </row>
    <row r="820" spans="1:5" x14ac:dyDescent="0.2">
      <c r="A820" s="272">
        <v>45883.628101851849</v>
      </c>
      <c r="B820" t="s">
        <v>771</v>
      </c>
      <c r="C820" t="s">
        <v>626</v>
      </c>
      <c r="D820" t="s">
        <v>1186</v>
      </c>
      <c r="E820" t="s">
        <v>133</v>
      </c>
    </row>
    <row r="821" spans="1:5" x14ac:dyDescent="0.2">
      <c r="A821" s="272">
        <v>45883.628368055557</v>
      </c>
      <c r="B821" t="s">
        <v>771</v>
      </c>
      <c r="C821" t="s">
        <v>626</v>
      </c>
      <c r="D821" t="s">
        <v>1187</v>
      </c>
      <c r="E821" t="s">
        <v>117</v>
      </c>
    </row>
    <row r="822" spans="1:5" x14ac:dyDescent="0.2">
      <c r="A822" s="272">
        <v>45883.628657407404</v>
      </c>
      <c r="B822" t="s">
        <v>771</v>
      </c>
      <c r="C822" t="s">
        <v>27</v>
      </c>
      <c r="D822" t="s">
        <v>1188</v>
      </c>
      <c r="E822" t="s">
        <v>245</v>
      </c>
    </row>
    <row r="823" spans="1:5" x14ac:dyDescent="0.2">
      <c r="A823" s="272">
        <v>45883.628888888888</v>
      </c>
      <c r="B823" t="s">
        <v>771</v>
      </c>
      <c r="C823" t="s">
        <v>2</v>
      </c>
      <c r="D823" t="s">
        <v>1189</v>
      </c>
    </row>
    <row r="824" spans="1:5" x14ac:dyDescent="0.2">
      <c r="A824" s="272">
        <v>45883.629131944443</v>
      </c>
      <c r="B824" t="s">
        <v>771</v>
      </c>
      <c r="C824" t="s">
        <v>2</v>
      </c>
      <c r="D824" t="s">
        <v>1190</v>
      </c>
      <c r="E824" t="s">
        <v>160</v>
      </c>
    </row>
    <row r="825" spans="1:5" x14ac:dyDescent="0.2">
      <c r="A825" s="272">
        <v>45883.629317129627</v>
      </c>
      <c r="B825" t="s">
        <v>771</v>
      </c>
      <c r="C825" t="s">
        <v>2</v>
      </c>
      <c r="D825" t="s">
        <v>1191</v>
      </c>
      <c r="E825" t="s">
        <v>1150</v>
      </c>
    </row>
    <row r="826" spans="1:5" x14ac:dyDescent="0.2">
      <c r="A826" s="272">
        <v>45883.629351851851</v>
      </c>
      <c r="B826" t="s">
        <v>771</v>
      </c>
      <c r="C826" t="s">
        <v>2</v>
      </c>
      <c r="D826" t="s">
        <v>1192</v>
      </c>
      <c r="E826" t="s">
        <v>1150</v>
      </c>
    </row>
    <row r="827" spans="1:5" x14ac:dyDescent="0.2">
      <c r="A827" s="272">
        <v>45883.629537037035</v>
      </c>
      <c r="B827" t="s">
        <v>771</v>
      </c>
      <c r="C827" t="s">
        <v>2</v>
      </c>
      <c r="D827" t="s">
        <v>1193</v>
      </c>
    </row>
    <row r="828" spans="1:5" x14ac:dyDescent="0.2">
      <c r="A828" s="272">
        <v>45883.629537037035</v>
      </c>
      <c r="B828" t="s">
        <v>771</v>
      </c>
      <c r="C828" t="s">
        <v>2</v>
      </c>
      <c r="D828" t="s">
        <v>1193</v>
      </c>
    </row>
    <row r="829" spans="1:5" x14ac:dyDescent="0.2">
      <c r="A829" s="272">
        <v>45883.629571759258</v>
      </c>
      <c r="B829" t="s">
        <v>771</v>
      </c>
      <c r="C829" t="s">
        <v>2</v>
      </c>
      <c r="D829" t="s">
        <v>1194</v>
      </c>
    </row>
    <row r="830" spans="1:5" x14ac:dyDescent="0.2">
      <c r="A830" s="272">
        <v>45883.62972222222</v>
      </c>
      <c r="B830" t="s">
        <v>771</v>
      </c>
      <c r="C830" t="s">
        <v>2</v>
      </c>
      <c r="D830" t="s">
        <v>1195</v>
      </c>
      <c r="E830">
        <v>1000</v>
      </c>
    </row>
    <row r="831" spans="1:5" x14ac:dyDescent="0.2">
      <c r="A831" s="272">
        <v>45883.629861111112</v>
      </c>
      <c r="B831" t="s">
        <v>771</v>
      </c>
      <c r="C831" t="s">
        <v>2</v>
      </c>
      <c r="D831" t="s">
        <v>1196</v>
      </c>
      <c r="E831" t="s">
        <v>317</v>
      </c>
    </row>
    <row r="832" spans="1:5" x14ac:dyDescent="0.2">
      <c r="A832" s="272">
        <v>45883.629861111112</v>
      </c>
      <c r="B832" t="s">
        <v>771</v>
      </c>
      <c r="C832" t="s">
        <v>2</v>
      </c>
      <c r="D832" t="s">
        <v>1197</v>
      </c>
      <c r="E832" t="s">
        <v>1198</v>
      </c>
    </row>
    <row r="833" spans="1:5" x14ac:dyDescent="0.2">
      <c r="A833" s="272">
        <v>45883.67083333333</v>
      </c>
      <c r="B833" t="s">
        <v>611</v>
      </c>
      <c r="C833" t="s">
        <v>106</v>
      </c>
      <c r="D833" t="s">
        <v>1199</v>
      </c>
      <c r="E833" t="s">
        <v>179</v>
      </c>
    </row>
    <row r="834" spans="1:5" x14ac:dyDescent="0.2">
      <c r="A834" s="272">
        <v>45883.670891203707</v>
      </c>
      <c r="B834" t="s">
        <v>611</v>
      </c>
      <c r="C834" t="s">
        <v>106</v>
      </c>
      <c r="D834" t="s">
        <v>1024</v>
      </c>
      <c r="E834" t="s">
        <v>180</v>
      </c>
    </row>
    <row r="835" spans="1:5" x14ac:dyDescent="0.2">
      <c r="A835" s="272">
        <v>45883.670925925922</v>
      </c>
      <c r="B835" t="s">
        <v>611</v>
      </c>
      <c r="C835" t="s">
        <v>106</v>
      </c>
      <c r="D835" t="s">
        <v>987</v>
      </c>
      <c r="E835">
        <v>122</v>
      </c>
    </row>
    <row r="836" spans="1:5" x14ac:dyDescent="0.2">
      <c r="A836" s="272">
        <v>45883.670972222222</v>
      </c>
      <c r="B836" t="s">
        <v>611</v>
      </c>
      <c r="C836" t="s">
        <v>106</v>
      </c>
      <c r="D836" t="s">
        <v>1200</v>
      </c>
    </row>
    <row r="837" spans="1:5" x14ac:dyDescent="0.2">
      <c r="A837" s="272">
        <v>45883.670983796299</v>
      </c>
      <c r="B837" t="s">
        <v>611</v>
      </c>
      <c r="C837" t="s">
        <v>106</v>
      </c>
      <c r="D837" t="s">
        <v>987</v>
      </c>
    </row>
    <row r="838" spans="1:5" x14ac:dyDescent="0.2">
      <c r="A838" s="272">
        <v>45887.750254629631</v>
      </c>
      <c r="B838" t="s">
        <v>607</v>
      </c>
      <c r="C838" t="s">
        <v>29</v>
      </c>
      <c r="D838" t="s">
        <v>686</v>
      </c>
    </row>
    <row r="839" spans="1:5" x14ac:dyDescent="0.2">
      <c r="A839" s="272">
        <v>45887.750405092593</v>
      </c>
      <c r="B839" t="s">
        <v>607</v>
      </c>
      <c r="C839" t="s">
        <v>626</v>
      </c>
      <c r="D839" t="s">
        <v>1201</v>
      </c>
    </row>
    <row r="840" spans="1:5" x14ac:dyDescent="0.2">
      <c r="A840" s="272">
        <v>45887.750462962962</v>
      </c>
      <c r="B840" t="s">
        <v>607</v>
      </c>
      <c r="C840" t="s">
        <v>626</v>
      </c>
      <c r="D840" t="s">
        <v>1202</v>
      </c>
      <c r="E840" t="s">
        <v>137</v>
      </c>
    </row>
    <row r="841" spans="1:5" x14ac:dyDescent="0.2">
      <c r="A841" s="272">
        <v>45887.750613425924</v>
      </c>
      <c r="B841" t="s">
        <v>607</v>
      </c>
      <c r="C841" t="s">
        <v>29</v>
      </c>
      <c r="D841" t="s">
        <v>1188</v>
      </c>
      <c r="E841" t="s">
        <v>137</v>
      </c>
    </row>
    <row r="842" spans="1:5" x14ac:dyDescent="0.2">
      <c r="A842" s="272">
        <v>45887.751030092593</v>
      </c>
      <c r="B842" t="s">
        <v>607</v>
      </c>
      <c r="C842" t="s">
        <v>2</v>
      </c>
      <c r="D842" t="s">
        <v>1151</v>
      </c>
    </row>
    <row r="843" spans="1:5" x14ac:dyDescent="0.2">
      <c r="A843" s="272">
        <v>45887.75105324074</v>
      </c>
      <c r="B843" t="s">
        <v>607</v>
      </c>
      <c r="C843" t="s">
        <v>2</v>
      </c>
      <c r="D843" t="s">
        <v>1152</v>
      </c>
    </row>
    <row r="844" spans="1:5" x14ac:dyDescent="0.2">
      <c r="A844" s="272">
        <v>45887.751157407409</v>
      </c>
      <c r="B844" t="s">
        <v>607</v>
      </c>
      <c r="C844" t="s">
        <v>2</v>
      </c>
      <c r="D844" t="s">
        <v>1203</v>
      </c>
      <c r="E844" t="s">
        <v>1204</v>
      </c>
    </row>
    <row r="845" spans="1:5" ht="32" x14ac:dyDescent="0.2">
      <c r="A845" s="272">
        <v>45887.751261574071</v>
      </c>
      <c r="B845" t="s">
        <v>607</v>
      </c>
      <c r="C845" t="s">
        <v>2</v>
      </c>
      <c r="D845" t="s">
        <v>1203</v>
      </c>
      <c r="E845" s="6" t="s">
        <v>170</v>
      </c>
    </row>
    <row r="846" spans="1:5" x14ac:dyDescent="0.2">
      <c r="A846" s="272">
        <v>45887.75199074074</v>
      </c>
      <c r="B846" t="s">
        <v>607</v>
      </c>
      <c r="C846" t="s">
        <v>29</v>
      </c>
      <c r="D846" t="s">
        <v>814</v>
      </c>
      <c r="E846" t="s">
        <v>187</v>
      </c>
    </row>
    <row r="847" spans="1:5" x14ac:dyDescent="0.2">
      <c r="A847" s="272">
        <v>45887.75199074074</v>
      </c>
      <c r="B847" t="s">
        <v>607</v>
      </c>
      <c r="C847" t="s">
        <v>29</v>
      </c>
      <c r="D847" t="s">
        <v>776</v>
      </c>
      <c r="E847" t="s">
        <v>42</v>
      </c>
    </row>
    <row r="848" spans="1:5" x14ac:dyDescent="0.2">
      <c r="A848" s="272">
        <v>45887.753194444442</v>
      </c>
      <c r="B848" t="s">
        <v>607</v>
      </c>
      <c r="C848" t="s">
        <v>28</v>
      </c>
      <c r="D848" t="s">
        <v>1205</v>
      </c>
      <c r="E848" t="s">
        <v>247</v>
      </c>
    </row>
    <row r="849" spans="1:5" x14ac:dyDescent="0.2">
      <c r="A849" s="272">
        <v>45887.753333333334</v>
      </c>
      <c r="B849" t="s">
        <v>607</v>
      </c>
      <c r="C849" t="s">
        <v>28</v>
      </c>
      <c r="D849" t="s">
        <v>1206</v>
      </c>
      <c r="E849" t="s">
        <v>1207</v>
      </c>
    </row>
    <row r="850" spans="1:5" x14ac:dyDescent="0.2">
      <c r="A850" s="272">
        <v>45887.753668981481</v>
      </c>
      <c r="B850" t="s">
        <v>607</v>
      </c>
      <c r="C850" t="s">
        <v>28</v>
      </c>
      <c r="D850" t="s">
        <v>1206</v>
      </c>
      <c r="E850" t="s">
        <v>248</v>
      </c>
    </row>
    <row r="851" spans="1:5" x14ac:dyDescent="0.2">
      <c r="A851" s="272">
        <v>45887.753854166665</v>
      </c>
      <c r="B851" t="s">
        <v>607</v>
      </c>
      <c r="C851" t="s">
        <v>28</v>
      </c>
      <c r="D851" t="s">
        <v>1205</v>
      </c>
      <c r="E851" t="s">
        <v>247</v>
      </c>
    </row>
    <row r="852" spans="1:5" x14ac:dyDescent="0.2">
      <c r="A852" s="272">
        <v>45887.754699074074</v>
      </c>
      <c r="B852" t="s">
        <v>607</v>
      </c>
      <c r="C852" t="s">
        <v>27</v>
      </c>
      <c r="D852" t="s">
        <v>1205</v>
      </c>
      <c r="E852" t="s">
        <v>242</v>
      </c>
    </row>
    <row r="853" spans="1:5" ht="144" x14ac:dyDescent="0.2">
      <c r="A853" s="272">
        <v>45887.756053240744</v>
      </c>
      <c r="B853" t="s">
        <v>607</v>
      </c>
      <c r="C853" t="s">
        <v>626</v>
      </c>
      <c r="D853" t="s">
        <v>880</v>
      </c>
      <c r="E853" s="6" t="s">
        <v>1208</v>
      </c>
    </row>
    <row r="854" spans="1:5" x14ac:dyDescent="0.2">
      <c r="A854" s="272">
        <v>45887.757361111115</v>
      </c>
      <c r="B854" t="s">
        <v>607</v>
      </c>
      <c r="C854" t="s">
        <v>626</v>
      </c>
      <c r="D854" t="s">
        <v>776</v>
      </c>
    </row>
    <row r="855" spans="1:5" x14ac:dyDescent="0.2">
      <c r="A855" s="272">
        <v>45887.757361111115</v>
      </c>
      <c r="B855" t="s">
        <v>607</v>
      </c>
      <c r="C855" t="s">
        <v>626</v>
      </c>
      <c r="D855" t="s">
        <v>777</v>
      </c>
      <c r="E855" t="s">
        <v>42</v>
      </c>
    </row>
    <row r="856" spans="1:5" x14ac:dyDescent="0.2">
      <c r="A856" s="272">
        <v>45887.757361111115</v>
      </c>
      <c r="B856" t="s">
        <v>607</v>
      </c>
      <c r="C856" t="s">
        <v>626</v>
      </c>
      <c r="D856" t="s">
        <v>776</v>
      </c>
      <c r="E856" t="s">
        <v>42</v>
      </c>
    </row>
    <row r="857" spans="1:5" x14ac:dyDescent="0.2">
      <c r="A857" s="272">
        <v>45887.757361111115</v>
      </c>
      <c r="B857" t="s">
        <v>607</v>
      </c>
      <c r="C857" t="s">
        <v>626</v>
      </c>
      <c r="D857" t="s">
        <v>777</v>
      </c>
    </row>
    <row r="858" spans="1:5" x14ac:dyDescent="0.2">
      <c r="A858" s="272">
        <v>45887.757361111115</v>
      </c>
      <c r="B858" t="s">
        <v>607</v>
      </c>
      <c r="C858" t="s">
        <v>626</v>
      </c>
      <c r="D858" t="s">
        <v>777</v>
      </c>
    </row>
    <row r="859" spans="1:5" x14ac:dyDescent="0.2">
      <c r="A859" s="272">
        <v>45887.757488425923</v>
      </c>
      <c r="B859" t="s">
        <v>607</v>
      </c>
      <c r="C859" t="s">
        <v>626</v>
      </c>
      <c r="D859" t="s">
        <v>776</v>
      </c>
    </row>
    <row r="860" spans="1:5" x14ac:dyDescent="0.2">
      <c r="A860" s="272">
        <v>45887.757488425923</v>
      </c>
      <c r="B860" t="s">
        <v>607</v>
      </c>
      <c r="C860" t="s">
        <v>626</v>
      </c>
      <c r="D860" t="s">
        <v>1209</v>
      </c>
      <c r="E860" t="s">
        <v>42</v>
      </c>
    </row>
    <row r="861" spans="1:5" x14ac:dyDescent="0.2">
      <c r="A861" s="272">
        <v>45887.757581018515</v>
      </c>
      <c r="B861" t="s">
        <v>607</v>
      </c>
      <c r="C861" t="s">
        <v>626</v>
      </c>
      <c r="D861" t="s">
        <v>1210</v>
      </c>
      <c r="E861" t="s">
        <v>1211</v>
      </c>
    </row>
    <row r="862" spans="1:5" x14ac:dyDescent="0.2">
      <c r="A862" s="272">
        <v>45887.757604166669</v>
      </c>
      <c r="B862" t="s">
        <v>607</v>
      </c>
      <c r="C862" t="s">
        <v>626</v>
      </c>
      <c r="D862" t="s">
        <v>1210</v>
      </c>
      <c r="E862" t="s">
        <v>42</v>
      </c>
    </row>
    <row r="863" spans="1:5" x14ac:dyDescent="0.2">
      <c r="A863" s="272">
        <v>45887.757662037038</v>
      </c>
      <c r="B863" t="s">
        <v>607</v>
      </c>
      <c r="C863" t="s">
        <v>626</v>
      </c>
      <c r="D863" t="s">
        <v>776</v>
      </c>
      <c r="E863" t="s">
        <v>42</v>
      </c>
    </row>
    <row r="864" spans="1:5" x14ac:dyDescent="0.2">
      <c r="A864" s="272">
        <v>45887.757662037038</v>
      </c>
      <c r="B864" t="s">
        <v>607</v>
      </c>
      <c r="C864" t="s">
        <v>626</v>
      </c>
      <c r="D864" t="s">
        <v>1209</v>
      </c>
    </row>
    <row r="865" spans="1:5" x14ac:dyDescent="0.2">
      <c r="A865" s="272">
        <v>45887.757662037038</v>
      </c>
      <c r="B865" t="s">
        <v>607</v>
      </c>
      <c r="C865" t="s">
        <v>626</v>
      </c>
      <c r="D865" t="s">
        <v>1209</v>
      </c>
    </row>
    <row r="866" spans="1:5" x14ac:dyDescent="0.2">
      <c r="A866" s="272">
        <v>45901.394826388889</v>
      </c>
      <c r="B866" t="s">
        <v>607</v>
      </c>
      <c r="C866" t="s">
        <v>612</v>
      </c>
      <c r="D866" t="s">
        <v>1212</v>
      </c>
      <c r="E866" t="s">
        <v>43</v>
      </c>
    </row>
    <row r="867" spans="1:5" x14ac:dyDescent="0.2">
      <c r="A867" s="272">
        <v>45901.395254629628</v>
      </c>
      <c r="B867" t="s">
        <v>607</v>
      </c>
      <c r="C867" t="s">
        <v>2</v>
      </c>
      <c r="D867" t="s">
        <v>1213</v>
      </c>
      <c r="E867" t="s">
        <v>237</v>
      </c>
    </row>
    <row r="868" spans="1:5" x14ac:dyDescent="0.2">
      <c r="A868" s="272">
        <v>45901.395289351851</v>
      </c>
      <c r="B868" t="s">
        <v>607</v>
      </c>
      <c r="C868" t="s">
        <v>2</v>
      </c>
      <c r="D868" t="s">
        <v>1214</v>
      </c>
      <c r="E868" t="s">
        <v>238</v>
      </c>
    </row>
    <row r="869" spans="1:5" x14ac:dyDescent="0.2">
      <c r="A869" s="272">
        <v>45901.395682870374</v>
      </c>
      <c r="B869" t="s">
        <v>607</v>
      </c>
      <c r="C869" t="s">
        <v>2</v>
      </c>
      <c r="D869" t="s">
        <v>1215</v>
      </c>
      <c r="E869" t="s">
        <v>245</v>
      </c>
    </row>
    <row r="870" spans="1:5" x14ac:dyDescent="0.2">
      <c r="A870" s="272">
        <v>45901.395729166667</v>
      </c>
      <c r="B870" t="s">
        <v>607</v>
      </c>
      <c r="C870" t="s">
        <v>2</v>
      </c>
      <c r="D870" t="s">
        <v>1216</v>
      </c>
      <c r="E870">
        <v>0</v>
      </c>
    </row>
    <row r="871" spans="1:5" x14ac:dyDescent="0.2">
      <c r="A871" s="272">
        <v>45901.395740740743</v>
      </c>
      <c r="B871" t="s">
        <v>607</v>
      </c>
      <c r="C871" t="s">
        <v>2</v>
      </c>
      <c r="D871" t="s">
        <v>1216</v>
      </c>
      <c r="E871" t="s">
        <v>55</v>
      </c>
    </row>
    <row r="872" spans="1:5" x14ac:dyDescent="0.2">
      <c r="A872" s="272">
        <v>45901.395937499998</v>
      </c>
      <c r="B872" t="s">
        <v>607</v>
      </c>
      <c r="C872" t="s">
        <v>2</v>
      </c>
      <c r="D872" t="s">
        <v>1216</v>
      </c>
      <c r="E872" t="s">
        <v>55</v>
      </c>
    </row>
    <row r="873" spans="1:5" x14ac:dyDescent="0.2">
      <c r="A873" s="272">
        <v>45901.396168981482</v>
      </c>
      <c r="B873" t="s">
        <v>607</v>
      </c>
      <c r="C873" t="s">
        <v>2</v>
      </c>
      <c r="D873" t="s">
        <v>1217</v>
      </c>
    </row>
    <row r="874" spans="1:5" x14ac:dyDescent="0.2">
      <c r="A874" s="272">
        <v>45901.396539351852</v>
      </c>
      <c r="B874" t="s">
        <v>607</v>
      </c>
      <c r="C874" t="s">
        <v>612</v>
      </c>
      <c r="D874" t="s">
        <v>1212</v>
      </c>
      <c r="E874" t="s">
        <v>43</v>
      </c>
    </row>
    <row r="875" spans="1:5" x14ac:dyDescent="0.2">
      <c r="A875" s="272">
        <v>45901.396620370368</v>
      </c>
      <c r="B875" t="s">
        <v>607</v>
      </c>
      <c r="C875" t="s">
        <v>612</v>
      </c>
      <c r="D875" t="s">
        <v>1212</v>
      </c>
      <c r="E875" t="s">
        <v>43</v>
      </c>
    </row>
    <row r="876" spans="1:5" x14ac:dyDescent="0.2">
      <c r="A876" s="272">
        <v>45901.586516203701</v>
      </c>
      <c r="B876" t="s">
        <v>611</v>
      </c>
      <c r="C876" t="s">
        <v>612</v>
      </c>
      <c r="D876" t="s">
        <v>1212</v>
      </c>
      <c r="E876" t="s">
        <v>43</v>
      </c>
    </row>
    <row r="877" spans="1:5" x14ac:dyDescent="0.2">
      <c r="A877" s="272">
        <v>45901.587488425925</v>
      </c>
      <c r="B877" t="s">
        <v>611</v>
      </c>
      <c r="C877" t="s">
        <v>626</v>
      </c>
      <c r="D877" t="s">
        <v>1218</v>
      </c>
      <c r="E877" t="s">
        <v>28</v>
      </c>
    </row>
    <row r="878" spans="1:5" x14ac:dyDescent="0.2">
      <c r="A878" s="272">
        <v>45901.587500000001</v>
      </c>
      <c r="B878" t="s">
        <v>611</v>
      </c>
      <c r="C878" t="s">
        <v>626</v>
      </c>
      <c r="D878" t="s">
        <v>1218</v>
      </c>
      <c r="E878" t="s">
        <v>28</v>
      </c>
    </row>
    <row r="879" spans="1:5" x14ac:dyDescent="0.2">
      <c r="A879" s="272">
        <v>45901.588009259256</v>
      </c>
      <c r="B879" t="s">
        <v>611</v>
      </c>
      <c r="C879" t="s">
        <v>626</v>
      </c>
      <c r="D879" t="s">
        <v>1219</v>
      </c>
      <c r="E879" t="s">
        <v>8</v>
      </c>
    </row>
    <row r="880" spans="1:5" x14ac:dyDescent="0.2">
      <c r="A880" s="272">
        <v>45901.588055555556</v>
      </c>
      <c r="B880" t="s">
        <v>611</v>
      </c>
      <c r="C880" t="s">
        <v>626</v>
      </c>
      <c r="D880" t="s">
        <v>1220</v>
      </c>
      <c r="E880" t="s">
        <v>13</v>
      </c>
    </row>
    <row r="881" spans="1:5" x14ac:dyDescent="0.2">
      <c r="A881" s="272">
        <v>45901.588819444441</v>
      </c>
      <c r="B881" t="s">
        <v>611</v>
      </c>
      <c r="C881" t="s">
        <v>17</v>
      </c>
      <c r="D881" t="s">
        <v>1221</v>
      </c>
    </row>
    <row r="882" spans="1:5" x14ac:dyDescent="0.2">
      <c r="A882" s="272">
        <v>45901.589918981481</v>
      </c>
      <c r="B882" t="s">
        <v>611</v>
      </c>
      <c r="C882" t="s">
        <v>17</v>
      </c>
      <c r="D882" t="s">
        <v>1199</v>
      </c>
    </row>
    <row r="883" spans="1:5" x14ac:dyDescent="0.2">
      <c r="A883" s="272">
        <v>45901.590081018519</v>
      </c>
      <c r="B883" t="s">
        <v>611</v>
      </c>
      <c r="C883" t="s">
        <v>17</v>
      </c>
      <c r="D883" t="s">
        <v>1222</v>
      </c>
    </row>
    <row r="884" spans="1:5" x14ac:dyDescent="0.2">
      <c r="A884" s="272">
        <v>45901.590879629628</v>
      </c>
      <c r="B884" t="s">
        <v>611</v>
      </c>
      <c r="C884" t="s">
        <v>17</v>
      </c>
      <c r="D884" t="s">
        <v>1199</v>
      </c>
    </row>
    <row r="885" spans="1:5" x14ac:dyDescent="0.2">
      <c r="A885" s="272">
        <v>45901.592094907406</v>
      </c>
      <c r="B885" t="s">
        <v>611</v>
      </c>
      <c r="C885" t="s">
        <v>17</v>
      </c>
      <c r="D885" t="s">
        <v>741</v>
      </c>
    </row>
    <row r="886" spans="1:5" x14ac:dyDescent="0.2">
      <c r="A886" s="272">
        <v>45901.592118055552</v>
      </c>
      <c r="B886" t="s">
        <v>611</v>
      </c>
      <c r="C886" t="s">
        <v>17</v>
      </c>
      <c r="D886" t="s">
        <v>1223</v>
      </c>
    </row>
    <row r="887" spans="1:5" x14ac:dyDescent="0.2">
      <c r="A887" s="272">
        <v>45901.593622685185</v>
      </c>
      <c r="B887" t="s">
        <v>611</v>
      </c>
      <c r="C887" t="s">
        <v>17</v>
      </c>
      <c r="D887" t="s">
        <v>1224</v>
      </c>
    </row>
    <row r="888" spans="1:5" x14ac:dyDescent="0.2">
      <c r="A888" s="272">
        <v>45901.594201388885</v>
      </c>
      <c r="B888" t="s">
        <v>611</v>
      </c>
      <c r="C888" t="s">
        <v>626</v>
      </c>
      <c r="D888" t="s">
        <v>1220</v>
      </c>
      <c r="E888" t="s">
        <v>1225</v>
      </c>
    </row>
    <row r="889" spans="1:5" x14ac:dyDescent="0.2">
      <c r="A889" s="272">
        <v>45901.595682870371</v>
      </c>
      <c r="B889" t="s">
        <v>611</v>
      </c>
      <c r="C889" t="s">
        <v>17</v>
      </c>
      <c r="D889" t="s">
        <v>1224</v>
      </c>
    </row>
    <row r="890" spans="1:5" x14ac:dyDescent="0.2">
      <c r="A890" s="272">
        <v>45901.598171296297</v>
      </c>
      <c r="B890" t="s">
        <v>611</v>
      </c>
      <c r="C890" t="s">
        <v>612</v>
      </c>
      <c r="D890" t="s">
        <v>1212</v>
      </c>
      <c r="E890" t="s">
        <v>43</v>
      </c>
    </row>
    <row r="891" spans="1:5" x14ac:dyDescent="0.2">
      <c r="A891" s="272">
        <v>45901.598854166667</v>
      </c>
      <c r="B891" t="s">
        <v>611</v>
      </c>
      <c r="C891" t="s">
        <v>29</v>
      </c>
      <c r="D891" t="s">
        <v>1226</v>
      </c>
      <c r="E891" t="s">
        <v>219</v>
      </c>
    </row>
    <row r="892" spans="1:5" x14ac:dyDescent="0.2">
      <c r="A892" s="272">
        <v>45901.599004629628</v>
      </c>
      <c r="B892" t="s">
        <v>611</v>
      </c>
      <c r="C892" t="s">
        <v>29</v>
      </c>
      <c r="D892" t="s">
        <v>1226</v>
      </c>
    </row>
    <row r="893" spans="1:5" x14ac:dyDescent="0.2">
      <c r="A893" s="272">
        <v>45901.601284722223</v>
      </c>
      <c r="B893" t="s">
        <v>611</v>
      </c>
      <c r="C893" t="s">
        <v>626</v>
      </c>
      <c r="D893" t="s">
        <v>1227</v>
      </c>
      <c r="E893" t="s">
        <v>2</v>
      </c>
    </row>
    <row r="894" spans="1:5" x14ac:dyDescent="0.2">
      <c r="A894" s="272">
        <v>45901.626122685186</v>
      </c>
      <c r="B894" t="s">
        <v>611</v>
      </c>
      <c r="C894" t="s">
        <v>612</v>
      </c>
      <c r="D894" t="s">
        <v>1212</v>
      </c>
      <c r="E894" t="s">
        <v>43</v>
      </c>
    </row>
    <row r="895" spans="1:5" x14ac:dyDescent="0.2">
      <c r="A895" s="272">
        <v>45901.626284722224</v>
      </c>
      <c r="B895" t="s">
        <v>611</v>
      </c>
      <c r="C895" t="s">
        <v>626</v>
      </c>
      <c r="D895" t="s">
        <v>1219</v>
      </c>
      <c r="E895" t="s">
        <v>8</v>
      </c>
    </row>
    <row r="896" spans="1:5" x14ac:dyDescent="0.2">
      <c r="A896" s="272">
        <v>45901.626331018517</v>
      </c>
      <c r="B896" t="s">
        <v>611</v>
      </c>
      <c r="C896" t="s">
        <v>626</v>
      </c>
      <c r="D896" t="s">
        <v>1220</v>
      </c>
      <c r="E896" t="s">
        <v>1228</v>
      </c>
    </row>
    <row r="897" spans="1:5" x14ac:dyDescent="0.2">
      <c r="A897" s="272">
        <v>45901.62636574074</v>
      </c>
      <c r="B897" t="s">
        <v>611</v>
      </c>
      <c r="C897" t="s">
        <v>626</v>
      </c>
      <c r="D897" t="s">
        <v>1220</v>
      </c>
      <c r="E897" t="s">
        <v>13</v>
      </c>
    </row>
    <row r="898" spans="1:5" x14ac:dyDescent="0.2">
      <c r="A898" s="272">
        <v>45901.627083333333</v>
      </c>
      <c r="B898" t="s">
        <v>611</v>
      </c>
      <c r="C898" t="s">
        <v>2</v>
      </c>
      <c r="D898" t="s">
        <v>1229</v>
      </c>
      <c r="E898">
        <v>2024</v>
      </c>
    </row>
    <row r="899" spans="1:5" x14ac:dyDescent="0.2">
      <c r="A899" s="272">
        <v>45910.698622685188</v>
      </c>
      <c r="B899" t="s">
        <v>1230</v>
      </c>
      <c r="C899" t="s">
        <v>2</v>
      </c>
      <c r="D899" t="s">
        <v>1231</v>
      </c>
      <c r="E899" t="s">
        <v>151</v>
      </c>
    </row>
    <row r="900" spans="1:5" x14ac:dyDescent="0.2">
      <c r="A900" s="272">
        <v>45910.699456018519</v>
      </c>
      <c r="B900" t="s">
        <v>1230</v>
      </c>
      <c r="C900" t="s">
        <v>29</v>
      </c>
      <c r="D900" t="s">
        <v>1232</v>
      </c>
      <c r="E900" t="s">
        <v>193</v>
      </c>
    </row>
    <row r="901" spans="1:5" x14ac:dyDescent="0.2">
      <c r="A901" s="272">
        <v>45910.699652777781</v>
      </c>
      <c r="B901" t="s">
        <v>1230</v>
      </c>
      <c r="C901" t="s">
        <v>29</v>
      </c>
      <c r="D901" t="s">
        <v>997</v>
      </c>
      <c r="E901" t="s">
        <v>317</v>
      </c>
    </row>
    <row r="902" spans="1:5" x14ac:dyDescent="0.2">
      <c r="A902" s="272">
        <v>45910.699687499997</v>
      </c>
      <c r="B902" t="s">
        <v>1230</v>
      </c>
      <c r="C902" t="s">
        <v>29</v>
      </c>
      <c r="D902" t="s">
        <v>1199</v>
      </c>
      <c r="E902" t="s">
        <v>92</v>
      </c>
    </row>
    <row r="903" spans="1:5" x14ac:dyDescent="0.2">
      <c r="A903" s="272">
        <v>45910.699733796297</v>
      </c>
      <c r="B903" t="s">
        <v>1230</v>
      </c>
      <c r="C903" t="s">
        <v>29</v>
      </c>
      <c r="D903" t="s">
        <v>809</v>
      </c>
      <c r="E903" t="s">
        <v>180</v>
      </c>
    </row>
    <row r="904" spans="1:5" x14ac:dyDescent="0.2">
      <c r="A904" s="272">
        <v>45910.69976851852</v>
      </c>
      <c r="B904" t="s">
        <v>1230</v>
      </c>
      <c r="C904" t="s">
        <v>29</v>
      </c>
      <c r="D904" t="s">
        <v>1027</v>
      </c>
      <c r="E904" t="s">
        <v>196</v>
      </c>
    </row>
    <row r="905" spans="1:5" x14ac:dyDescent="0.2">
      <c r="A905" s="272">
        <v>45910.699803240743</v>
      </c>
      <c r="B905" t="s">
        <v>1230</v>
      </c>
      <c r="C905" t="s">
        <v>29</v>
      </c>
      <c r="D905" t="s">
        <v>761</v>
      </c>
      <c r="E905" t="s">
        <v>197</v>
      </c>
    </row>
    <row r="906" spans="1:5" x14ac:dyDescent="0.2">
      <c r="A906" s="272">
        <v>45910.699837962966</v>
      </c>
      <c r="B906" t="s">
        <v>1230</v>
      </c>
      <c r="C906" t="s">
        <v>29</v>
      </c>
      <c r="D906" t="s">
        <v>1233</v>
      </c>
      <c r="E906" t="s">
        <v>183</v>
      </c>
    </row>
    <row r="907" spans="1:5" x14ac:dyDescent="0.2">
      <c r="A907" s="272">
        <v>45910.699884259258</v>
      </c>
      <c r="B907" t="s">
        <v>1230</v>
      </c>
      <c r="C907" t="s">
        <v>29</v>
      </c>
      <c r="D907" t="s">
        <v>1234</v>
      </c>
      <c r="E907" t="s">
        <v>198</v>
      </c>
    </row>
    <row r="908" spans="1:5" x14ac:dyDescent="0.2">
      <c r="A908" s="272">
        <v>45910.699942129628</v>
      </c>
      <c r="B908" t="s">
        <v>1230</v>
      </c>
      <c r="C908" t="s">
        <v>29</v>
      </c>
      <c r="D908" t="s">
        <v>1235</v>
      </c>
      <c r="E908" t="s">
        <v>45</v>
      </c>
    </row>
    <row r="909" spans="1:5" x14ac:dyDescent="0.2">
      <c r="A909" s="272">
        <v>45910.699988425928</v>
      </c>
      <c r="B909" t="s">
        <v>1230</v>
      </c>
      <c r="C909" t="s">
        <v>29</v>
      </c>
      <c r="D909" t="s">
        <v>686</v>
      </c>
      <c r="E909" t="s">
        <v>184</v>
      </c>
    </row>
    <row r="910" spans="1:5" x14ac:dyDescent="0.2">
      <c r="A910" s="272">
        <v>45910.700046296297</v>
      </c>
      <c r="B910" t="s">
        <v>1230</v>
      </c>
      <c r="C910" t="s">
        <v>29</v>
      </c>
      <c r="D910" t="s">
        <v>688</v>
      </c>
      <c r="E910" t="s">
        <v>199</v>
      </c>
    </row>
    <row r="911" spans="1:5" x14ac:dyDescent="0.2">
      <c r="A911" s="272">
        <v>45910.700104166666</v>
      </c>
      <c r="B911" t="s">
        <v>1230</v>
      </c>
      <c r="C911" t="s">
        <v>29</v>
      </c>
      <c r="D911" t="s">
        <v>689</v>
      </c>
      <c r="E911" t="s">
        <v>200</v>
      </c>
    </row>
    <row r="912" spans="1:5" x14ac:dyDescent="0.2">
      <c r="A912" s="272">
        <v>45910.700162037036</v>
      </c>
      <c r="B912" t="s">
        <v>1230</v>
      </c>
      <c r="C912" t="s">
        <v>29</v>
      </c>
      <c r="D912" t="s">
        <v>690</v>
      </c>
      <c r="E912" t="s">
        <v>185</v>
      </c>
    </row>
    <row r="913" spans="1:5" x14ac:dyDescent="0.2">
      <c r="A913" s="272">
        <v>45910.700266203705</v>
      </c>
      <c r="B913" t="s">
        <v>1230</v>
      </c>
      <c r="C913" t="s">
        <v>29</v>
      </c>
      <c r="D913" t="s">
        <v>1080</v>
      </c>
      <c r="E913" t="s">
        <v>317</v>
      </c>
    </row>
    <row r="914" spans="1:5" x14ac:dyDescent="0.2">
      <c r="A914" s="272">
        <v>45910.700300925928</v>
      </c>
      <c r="B914" t="s">
        <v>1230</v>
      </c>
      <c r="C914" t="s">
        <v>29</v>
      </c>
      <c r="D914" t="s">
        <v>1008</v>
      </c>
      <c r="E914" t="s">
        <v>317</v>
      </c>
    </row>
    <row r="915" spans="1:5" x14ac:dyDescent="0.2">
      <c r="A915" s="272">
        <v>45910.70034722222</v>
      </c>
      <c r="B915" t="s">
        <v>1230</v>
      </c>
      <c r="C915" t="s">
        <v>29</v>
      </c>
      <c r="D915" t="s">
        <v>1029</v>
      </c>
      <c r="E915" t="s">
        <v>317</v>
      </c>
    </row>
    <row r="916" spans="1:5" x14ac:dyDescent="0.2">
      <c r="A916" s="272">
        <v>45910.700381944444</v>
      </c>
      <c r="B916" t="s">
        <v>1230</v>
      </c>
      <c r="C916" t="s">
        <v>29</v>
      </c>
      <c r="D916" t="s">
        <v>1032</v>
      </c>
      <c r="E916" t="s">
        <v>317</v>
      </c>
    </row>
    <row r="917" spans="1:5" x14ac:dyDescent="0.2">
      <c r="A917" s="272">
        <v>45910.70040509259</v>
      </c>
      <c r="B917" t="s">
        <v>1230</v>
      </c>
      <c r="C917" t="s">
        <v>29</v>
      </c>
      <c r="D917" t="s">
        <v>1082</v>
      </c>
      <c r="E917" t="s">
        <v>317</v>
      </c>
    </row>
    <row r="918" spans="1:5" x14ac:dyDescent="0.2">
      <c r="A918" s="272">
        <v>45910.700439814813</v>
      </c>
      <c r="B918" t="s">
        <v>1230</v>
      </c>
      <c r="C918" t="s">
        <v>29</v>
      </c>
      <c r="D918" t="s">
        <v>1083</v>
      </c>
      <c r="E918" t="s">
        <v>317</v>
      </c>
    </row>
    <row r="919" spans="1:5" x14ac:dyDescent="0.2">
      <c r="A919" s="272">
        <v>45910.700474537036</v>
      </c>
      <c r="B919" t="s">
        <v>1230</v>
      </c>
      <c r="C919" t="s">
        <v>29</v>
      </c>
      <c r="D919" t="s">
        <v>1236</v>
      </c>
      <c r="E919" t="s">
        <v>317</v>
      </c>
    </row>
    <row r="920" spans="1:5" x14ac:dyDescent="0.2">
      <c r="A920" s="272">
        <v>45910.700509259259</v>
      </c>
      <c r="B920" t="s">
        <v>1230</v>
      </c>
      <c r="C920" t="s">
        <v>29</v>
      </c>
      <c r="D920" t="s">
        <v>1237</v>
      </c>
      <c r="E920" t="s">
        <v>317</v>
      </c>
    </row>
    <row r="921" spans="1:5" x14ac:dyDescent="0.2">
      <c r="A921" s="272">
        <v>45910.700543981482</v>
      </c>
      <c r="B921" t="s">
        <v>1230</v>
      </c>
      <c r="C921" t="s">
        <v>29</v>
      </c>
      <c r="D921" t="s">
        <v>1221</v>
      </c>
      <c r="E921" t="s">
        <v>317</v>
      </c>
    </row>
    <row r="922" spans="1:5" x14ac:dyDescent="0.2">
      <c r="A922" s="272">
        <v>45910.700567129628</v>
      </c>
      <c r="B922" t="s">
        <v>1230</v>
      </c>
      <c r="C922" t="s">
        <v>29</v>
      </c>
      <c r="D922" t="s">
        <v>1238</v>
      </c>
      <c r="E922" t="s">
        <v>317</v>
      </c>
    </row>
    <row r="923" spans="1:5" x14ac:dyDescent="0.2">
      <c r="A923" s="272">
        <v>45910.700601851851</v>
      </c>
      <c r="B923" t="s">
        <v>1230</v>
      </c>
      <c r="C923" t="s">
        <v>29</v>
      </c>
      <c r="D923" t="s">
        <v>1239</v>
      </c>
      <c r="E923" t="s">
        <v>317</v>
      </c>
    </row>
    <row r="924" spans="1:5" x14ac:dyDescent="0.2">
      <c r="A924" s="272">
        <v>45910.700787037036</v>
      </c>
      <c r="B924" t="s">
        <v>1230</v>
      </c>
      <c r="C924" t="s">
        <v>29</v>
      </c>
      <c r="D924" t="s">
        <v>951</v>
      </c>
      <c r="E924" t="s">
        <v>318</v>
      </c>
    </row>
    <row r="925" spans="1:5" x14ac:dyDescent="0.2">
      <c r="A925" s="272">
        <v>45910.700856481482</v>
      </c>
      <c r="B925" t="s">
        <v>1230</v>
      </c>
      <c r="C925" t="s">
        <v>29</v>
      </c>
      <c r="D925" t="s">
        <v>940</v>
      </c>
      <c r="E925" t="s">
        <v>318</v>
      </c>
    </row>
    <row r="926" spans="1:5" x14ac:dyDescent="0.2">
      <c r="A926" s="272">
        <v>45910.700879629629</v>
      </c>
      <c r="B926" t="s">
        <v>1230</v>
      </c>
      <c r="C926" t="s">
        <v>29</v>
      </c>
      <c r="D926" t="s">
        <v>888</v>
      </c>
      <c r="E926" t="s">
        <v>318</v>
      </c>
    </row>
    <row r="927" spans="1:5" x14ac:dyDescent="0.2">
      <c r="A927" s="272">
        <v>45910.700914351852</v>
      </c>
      <c r="B927" t="s">
        <v>1230</v>
      </c>
      <c r="C927" t="s">
        <v>29</v>
      </c>
      <c r="D927" t="s">
        <v>1240</v>
      </c>
      <c r="E927" t="s">
        <v>318</v>
      </c>
    </row>
    <row r="928" spans="1:5" x14ac:dyDescent="0.2">
      <c r="A928" s="272">
        <v>45910.700925925928</v>
      </c>
      <c r="B928" t="s">
        <v>1230</v>
      </c>
      <c r="C928" t="s">
        <v>29</v>
      </c>
      <c r="D928" t="s">
        <v>1240</v>
      </c>
      <c r="E928" t="s">
        <v>352</v>
      </c>
    </row>
    <row r="929" spans="1:5" x14ac:dyDescent="0.2">
      <c r="A929" s="272">
        <v>45910.700960648152</v>
      </c>
      <c r="B929" t="s">
        <v>1230</v>
      </c>
      <c r="C929" t="s">
        <v>29</v>
      </c>
      <c r="D929" t="s">
        <v>1240</v>
      </c>
      <c r="E929" t="s">
        <v>318</v>
      </c>
    </row>
    <row r="930" spans="1:5" x14ac:dyDescent="0.2">
      <c r="A930" s="272">
        <v>45910.700995370367</v>
      </c>
      <c r="B930" t="s">
        <v>1230</v>
      </c>
      <c r="C930" t="s">
        <v>29</v>
      </c>
      <c r="D930" t="s">
        <v>1241</v>
      </c>
      <c r="E930" t="s">
        <v>318</v>
      </c>
    </row>
    <row r="931" spans="1:5" x14ac:dyDescent="0.2">
      <c r="A931" s="272">
        <v>45910.70103009259</v>
      </c>
      <c r="B931" t="s">
        <v>1230</v>
      </c>
      <c r="C931" t="s">
        <v>29</v>
      </c>
      <c r="D931" t="s">
        <v>1242</v>
      </c>
      <c r="E931" t="s">
        <v>318</v>
      </c>
    </row>
    <row r="932" spans="1:5" x14ac:dyDescent="0.2">
      <c r="A932" s="272">
        <v>45910.701064814813</v>
      </c>
      <c r="B932" t="s">
        <v>1230</v>
      </c>
      <c r="C932" t="s">
        <v>29</v>
      </c>
      <c r="D932" t="s">
        <v>1243</v>
      </c>
      <c r="E932" t="s">
        <v>318</v>
      </c>
    </row>
    <row r="933" spans="1:5" x14ac:dyDescent="0.2">
      <c r="A933" s="272">
        <v>45910.70108796296</v>
      </c>
      <c r="B933" t="s">
        <v>1230</v>
      </c>
      <c r="C933" t="s">
        <v>29</v>
      </c>
      <c r="D933" t="s">
        <v>1223</v>
      </c>
      <c r="E933" t="s">
        <v>318</v>
      </c>
    </row>
    <row r="934" spans="1:5" x14ac:dyDescent="0.2">
      <c r="A934" s="272">
        <v>45910.701122685183</v>
      </c>
      <c r="B934" t="s">
        <v>1230</v>
      </c>
      <c r="C934" t="s">
        <v>29</v>
      </c>
      <c r="D934" t="s">
        <v>1244</v>
      </c>
      <c r="E934" t="s">
        <v>318</v>
      </c>
    </row>
    <row r="935" spans="1:5" x14ac:dyDescent="0.2">
      <c r="A935" s="272">
        <v>45910.701157407406</v>
      </c>
      <c r="B935" t="s">
        <v>1230</v>
      </c>
      <c r="C935" t="s">
        <v>29</v>
      </c>
      <c r="D935" t="s">
        <v>1245</v>
      </c>
      <c r="E935" t="s">
        <v>318</v>
      </c>
    </row>
    <row r="936" spans="1:5" x14ac:dyDescent="0.2">
      <c r="A936" s="272">
        <v>45910.701180555552</v>
      </c>
      <c r="B936" t="s">
        <v>1230</v>
      </c>
      <c r="C936" t="s">
        <v>29</v>
      </c>
      <c r="D936" t="s">
        <v>1246</v>
      </c>
      <c r="E936" t="s">
        <v>318</v>
      </c>
    </row>
    <row r="937" spans="1:5" x14ac:dyDescent="0.2">
      <c r="A937" s="272">
        <v>45910.701226851852</v>
      </c>
      <c r="B937" t="s">
        <v>1230</v>
      </c>
      <c r="C937" t="s">
        <v>29</v>
      </c>
      <c r="D937" t="s">
        <v>1247</v>
      </c>
      <c r="E937" t="s">
        <v>318</v>
      </c>
    </row>
    <row r="938" spans="1:5" x14ac:dyDescent="0.2">
      <c r="A938" s="272">
        <v>45910.70175925926</v>
      </c>
      <c r="B938" t="s">
        <v>1230</v>
      </c>
      <c r="C938" t="s">
        <v>29</v>
      </c>
      <c r="D938" t="s">
        <v>672</v>
      </c>
      <c r="E938" t="s">
        <v>319</v>
      </c>
    </row>
    <row r="939" spans="1:5" x14ac:dyDescent="0.2">
      <c r="A939" s="272">
        <v>45910.701793981483</v>
      </c>
      <c r="B939" t="s">
        <v>1230</v>
      </c>
      <c r="C939" t="s">
        <v>29</v>
      </c>
      <c r="D939" t="s">
        <v>1248</v>
      </c>
      <c r="E939" t="s">
        <v>319</v>
      </c>
    </row>
    <row r="940" spans="1:5" x14ac:dyDescent="0.2">
      <c r="A940" s="272">
        <v>45910.701805555553</v>
      </c>
      <c r="B940" t="s">
        <v>1230</v>
      </c>
      <c r="C940" t="s">
        <v>29</v>
      </c>
      <c r="D940" t="s">
        <v>1010</v>
      </c>
      <c r="E940" t="s">
        <v>319</v>
      </c>
    </row>
    <row r="941" spans="1:5" x14ac:dyDescent="0.2">
      <c r="A941" s="272">
        <v>45910.701817129629</v>
      </c>
      <c r="B941" t="s">
        <v>1230</v>
      </c>
      <c r="C941" t="s">
        <v>29</v>
      </c>
      <c r="D941" t="s">
        <v>1249</v>
      </c>
      <c r="E941" t="s">
        <v>319</v>
      </c>
    </row>
    <row r="942" spans="1:5" x14ac:dyDescent="0.2">
      <c r="A942" s="272">
        <v>45910.701828703706</v>
      </c>
      <c r="B942" t="s">
        <v>1230</v>
      </c>
      <c r="C942" t="s">
        <v>29</v>
      </c>
      <c r="D942" t="s">
        <v>1033</v>
      </c>
      <c r="E942" t="s">
        <v>319</v>
      </c>
    </row>
    <row r="943" spans="1:5" x14ac:dyDescent="0.2">
      <c r="A943" s="272">
        <v>45910.701840277776</v>
      </c>
      <c r="B943" t="s">
        <v>1230</v>
      </c>
      <c r="C943" t="s">
        <v>29</v>
      </c>
      <c r="D943" t="s">
        <v>1250</v>
      </c>
      <c r="E943" t="s">
        <v>319</v>
      </c>
    </row>
    <row r="944" spans="1:5" x14ac:dyDescent="0.2">
      <c r="A944" s="272">
        <v>45910.701840277776</v>
      </c>
      <c r="B944" t="s">
        <v>1230</v>
      </c>
      <c r="C944" t="s">
        <v>29</v>
      </c>
      <c r="D944" t="s">
        <v>1251</v>
      </c>
      <c r="E944" t="s">
        <v>319</v>
      </c>
    </row>
    <row r="945" spans="1:5" x14ac:dyDescent="0.2">
      <c r="A945" s="272">
        <v>45910.701851851853</v>
      </c>
      <c r="B945" t="s">
        <v>1230</v>
      </c>
      <c r="C945" t="s">
        <v>29</v>
      </c>
      <c r="D945" t="s">
        <v>1252</v>
      </c>
      <c r="E945" t="s">
        <v>319</v>
      </c>
    </row>
    <row r="946" spans="1:5" x14ac:dyDescent="0.2">
      <c r="A946" s="272">
        <v>45910.701863425929</v>
      </c>
      <c r="B946" t="s">
        <v>1230</v>
      </c>
      <c r="C946" t="s">
        <v>29</v>
      </c>
      <c r="D946" t="s">
        <v>1253</v>
      </c>
      <c r="E946" t="s">
        <v>319</v>
      </c>
    </row>
    <row r="947" spans="1:5" x14ac:dyDescent="0.2">
      <c r="A947" s="272">
        <v>45910.701874999999</v>
      </c>
      <c r="B947" t="s">
        <v>1230</v>
      </c>
      <c r="C947" t="s">
        <v>29</v>
      </c>
      <c r="D947" t="s">
        <v>1254</v>
      </c>
      <c r="E947" t="s">
        <v>319</v>
      </c>
    </row>
    <row r="948" spans="1:5" x14ac:dyDescent="0.2">
      <c r="A948" s="272">
        <v>45910.701886574076</v>
      </c>
      <c r="B948" t="s">
        <v>1230</v>
      </c>
      <c r="C948" t="s">
        <v>29</v>
      </c>
      <c r="D948" t="s">
        <v>1255</v>
      </c>
      <c r="E948" t="s">
        <v>319</v>
      </c>
    </row>
    <row r="949" spans="1:5" x14ac:dyDescent="0.2">
      <c r="A949" s="272">
        <v>45910.701886574076</v>
      </c>
      <c r="B949" t="s">
        <v>1230</v>
      </c>
      <c r="C949" t="s">
        <v>29</v>
      </c>
      <c r="D949" t="s">
        <v>1256</v>
      </c>
      <c r="E949" t="s">
        <v>319</v>
      </c>
    </row>
    <row r="950" spans="1:5" x14ac:dyDescent="0.2">
      <c r="A950" s="272">
        <v>45910.737164351849</v>
      </c>
      <c r="B950" t="s">
        <v>1230</v>
      </c>
      <c r="C950" t="s">
        <v>29</v>
      </c>
      <c r="D950" t="s">
        <v>1257</v>
      </c>
      <c r="E950">
        <v>33021.699999999997</v>
      </c>
    </row>
    <row r="951" spans="1:5" x14ac:dyDescent="0.2">
      <c r="A951" s="272">
        <v>45910.737256944441</v>
      </c>
      <c r="B951" t="s">
        <v>1230</v>
      </c>
      <c r="C951" t="s">
        <v>29</v>
      </c>
      <c r="D951" t="s">
        <v>987</v>
      </c>
      <c r="E951">
        <v>49138.44</v>
      </c>
    </row>
    <row r="952" spans="1:5" x14ac:dyDescent="0.2">
      <c r="A952" s="272">
        <v>45910.737430555557</v>
      </c>
      <c r="B952" t="s">
        <v>1230</v>
      </c>
      <c r="C952" t="s">
        <v>29</v>
      </c>
      <c r="D952" t="s">
        <v>990</v>
      </c>
      <c r="E952">
        <v>63293.5</v>
      </c>
    </row>
    <row r="953" spans="1:5" x14ac:dyDescent="0.2">
      <c r="A953" s="272">
        <v>45910.752395833333</v>
      </c>
      <c r="B953" t="s">
        <v>1230</v>
      </c>
      <c r="C953" t="s">
        <v>29</v>
      </c>
      <c r="D953" t="s">
        <v>991</v>
      </c>
      <c r="E953">
        <v>62657.43</v>
      </c>
    </row>
    <row r="954" spans="1:5" x14ac:dyDescent="0.2">
      <c r="A954" s="272">
        <v>45910.752534722225</v>
      </c>
      <c r="B954" t="s">
        <v>1230</v>
      </c>
      <c r="C954" t="s">
        <v>29</v>
      </c>
      <c r="D954" t="s">
        <v>937</v>
      </c>
      <c r="E954">
        <v>107194.9</v>
      </c>
    </row>
    <row r="955" spans="1:5" x14ac:dyDescent="0.2">
      <c r="A955" s="272">
        <v>45910.753113425926</v>
      </c>
      <c r="B955" t="s">
        <v>1230</v>
      </c>
      <c r="C955" t="s">
        <v>29</v>
      </c>
      <c r="D955" t="s">
        <v>691</v>
      </c>
      <c r="E955" t="s">
        <v>196</v>
      </c>
    </row>
    <row r="956" spans="1:5" x14ac:dyDescent="0.2">
      <c r="A956" s="272">
        <v>45910.753182870372</v>
      </c>
      <c r="B956" t="s">
        <v>1230</v>
      </c>
      <c r="C956" t="s">
        <v>29</v>
      </c>
      <c r="D956" t="s">
        <v>1258</v>
      </c>
      <c r="E956" t="s">
        <v>322</v>
      </c>
    </row>
    <row r="957" spans="1:5" x14ac:dyDescent="0.2">
      <c r="A957" s="272">
        <v>45910.753240740742</v>
      </c>
      <c r="B957" t="s">
        <v>1230</v>
      </c>
      <c r="C957" t="s">
        <v>29</v>
      </c>
      <c r="D957" t="s">
        <v>1259</v>
      </c>
      <c r="E957" t="s">
        <v>1260</v>
      </c>
    </row>
    <row r="958" spans="1:5" x14ac:dyDescent="0.2">
      <c r="A958" s="272">
        <v>45910.753263888888</v>
      </c>
      <c r="B958" t="s">
        <v>1230</v>
      </c>
      <c r="C958" t="s">
        <v>29</v>
      </c>
      <c r="D958" t="s">
        <v>1259</v>
      </c>
      <c r="E958">
        <v>17.5</v>
      </c>
    </row>
    <row r="959" spans="1:5" x14ac:dyDescent="0.2">
      <c r="A959" s="272">
        <v>45910.753483796296</v>
      </c>
      <c r="B959" t="s">
        <v>1230</v>
      </c>
      <c r="C959" t="s">
        <v>29</v>
      </c>
      <c r="D959" t="s">
        <v>932</v>
      </c>
      <c r="E959">
        <v>61844.68</v>
      </c>
    </row>
    <row r="960" spans="1:5" x14ac:dyDescent="0.2">
      <c r="A960" s="272">
        <v>45910.754317129627</v>
      </c>
      <c r="B960" t="s">
        <v>1230</v>
      </c>
      <c r="C960" t="s">
        <v>29</v>
      </c>
      <c r="D960" t="s">
        <v>938</v>
      </c>
      <c r="E960">
        <v>103935.73</v>
      </c>
    </row>
    <row r="961" spans="1:5" x14ac:dyDescent="0.2">
      <c r="A961" s="272">
        <v>45910.754837962966</v>
      </c>
      <c r="B961" t="s">
        <v>1230</v>
      </c>
      <c r="C961" t="s">
        <v>29</v>
      </c>
      <c r="D961" t="s">
        <v>995</v>
      </c>
      <c r="E961">
        <v>109203.71</v>
      </c>
    </row>
    <row r="962" spans="1:5" x14ac:dyDescent="0.2">
      <c r="A962" s="272">
        <v>45910.755069444444</v>
      </c>
      <c r="B962" t="s">
        <v>1230</v>
      </c>
      <c r="C962" t="s">
        <v>29</v>
      </c>
      <c r="D962" t="s">
        <v>1261</v>
      </c>
      <c r="E962">
        <v>113273.63</v>
      </c>
    </row>
    <row r="963" spans="1:5" x14ac:dyDescent="0.2">
      <c r="A963" s="272">
        <v>45910.755231481482</v>
      </c>
      <c r="B963" t="s">
        <v>1230</v>
      </c>
      <c r="C963" t="s">
        <v>29</v>
      </c>
      <c r="D963" t="s">
        <v>1262</v>
      </c>
      <c r="E963">
        <v>79717.119999999995</v>
      </c>
    </row>
    <row r="964" spans="1:5" x14ac:dyDescent="0.2">
      <c r="A964" s="272">
        <v>45910.75545138889</v>
      </c>
      <c r="B964" t="s">
        <v>1230</v>
      </c>
      <c r="C964" t="s">
        <v>29</v>
      </c>
      <c r="D964" t="s">
        <v>1263</v>
      </c>
      <c r="E964">
        <v>41567.300000000003</v>
      </c>
    </row>
    <row r="965" spans="1:5" x14ac:dyDescent="0.2">
      <c r="A965" s="272">
        <v>45910.755636574075</v>
      </c>
      <c r="B965" t="s">
        <v>1230</v>
      </c>
      <c r="C965" t="s">
        <v>29</v>
      </c>
      <c r="D965" t="s">
        <v>1264</v>
      </c>
      <c r="E965">
        <v>740.01</v>
      </c>
    </row>
    <row r="966" spans="1:5" x14ac:dyDescent="0.2">
      <c r="A966" s="272">
        <v>45910.756655092591</v>
      </c>
      <c r="B966" t="s">
        <v>1230</v>
      </c>
      <c r="C966" t="s">
        <v>29</v>
      </c>
      <c r="D966" t="s">
        <v>692</v>
      </c>
      <c r="E966" t="s">
        <v>198</v>
      </c>
    </row>
    <row r="967" spans="1:5" x14ac:dyDescent="0.2">
      <c r="A967" s="272">
        <v>45910.756701388891</v>
      </c>
      <c r="B967" t="s">
        <v>1230</v>
      </c>
      <c r="C967" t="s">
        <v>29</v>
      </c>
      <c r="D967" t="s">
        <v>1265</v>
      </c>
      <c r="E967" t="s">
        <v>322</v>
      </c>
    </row>
    <row r="968" spans="1:5" x14ac:dyDescent="0.2">
      <c r="A968" s="272">
        <v>45910.756747685184</v>
      </c>
      <c r="B968" t="s">
        <v>1230</v>
      </c>
      <c r="C968" t="s">
        <v>29</v>
      </c>
      <c r="D968" t="s">
        <v>1266</v>
      </c>
      <c r="E968">
        <v>4</v>
      </c>
    </row>
    <row r="969" spans="1:5" x14ac:dyDescent="0.2">
      <c r="A969" s="272">
        <v>45910.756840277776</v>
      </c>
      <c r="B969" t="s">
        <v>1230</v>
      </c>
      <c r="C969" t="s">
        <v>29</v>
      </c>
      <c r="D969" t="s">
        <v>1267</v>
      </c>
      <c r="E969" t="s">
        <v>184</v>
      </c>
    </row>
    <row r="970" spans="1:5" x14ac:dyDescent="0.2">
      <c r="A970" s="272">
        <v>45910.756909722222</v>
      </c>
      <c r="B970" t="s">
        <v>1230</v>
      </c>
      <c r="C970" t="s">
        <v>29</v>
      </c>
      <c r="D970" t="s">
        <v>1268</v>
      </c>
      <c r="E970" t="s">
        <v>322</v>
      </c>
    </row>
    <row r="971" spans="1:5" x14ac:dyDescent="0.2">
      <c r="A971" s="272">
        <v>45910.756932870368</v>
      </c>
      <c r="B971" t="s">
        <v>1230</v>
      </c>
      <c r="C971" t="s">
        <v>29</v>
      </c>
      <c r="D971" t="s">
        <v>1269</v>
      </c>
      <c r="E971">
        <v>6</v>
      </c>
    </row>
    <row r="972" spans="1:5" x14ac:dyDescent="0.2">
      <c r="A972" s="272">
        <v>45910.757002314815</v>
      </c>
      <c r="B972" t="s">
        <v>1230</v>
      </c>
      <c r="C972" t="s">
        <v>29</v>
      </c>
      <c r="D972" t="s">
        <v>1270</v>
      </c>
      <c r="E972" t="s">
        <v>318</v>
      </c>
    </row>
    <row r="973" spans="1:5" x14ac:dyDescent="0.2">
      <c r="A973" s="272">
        <v>45910.757199074076</v>
      </c>
      <c r="B973" t="s">
        <v>1230</v>
      </c>
      <c r="C973" t="s">
        <v>29</v>
      </c>
      <c r="D973" t="s">
        <v>1271</v>
      </c>
      <c r="E973" t="s">
        <v>319</v>
      </c>
    </row>
    <row r="974" spans="1:5" x14ac:dyDescent="0.2">
      <c r="A974" s="272">
        <v>45910.757210648146</v>
      </c>
      <c r="B974" t="s">
        <v>1230</v>
      </c>
      <c r="C974" t="s">
        <v>29</v>
      </c>
      <c r="D974" t="s">
        <v>1272</v>
      </c>
      <c r="E974" t="s">
        <v>319</v>
      </c>
    </row>
    <row r="975" spans="1:5" x14ac:dyDescent="0.2">
      <c r="A975" s="272">
        <v>45910.757210648146</v>
      </c>
      <c r="B975" t="s">
        <v>1230</v>
      </c>
      <c r="C975" t="s">
        <v>29</v>
      </c>
      <c r="D975" t="s">
        <v>1273</v>
      </c>
      <c r="E975" t="s">
        <v>319</v>
      </c>
    </row>
    <row r="976" spans="1:5" x14ac:dyDescent="0.2">
      <c r="A976" s="272">
        <v>45910.758043981485</v>
      </c>
      <c r="B976" t="s">
        <v>1230</v>
      </c>
      <c r="C976" t="s">
        <v>2</v>
      </c>
      <c r="D976" t="s">
        <v>1274</v>
      </c>
      <c r="E976">
        <v>0</v>
      </c>
    </row>
    <row r="977" spans="1:5" x14ac:dyDescent="0.2">
      <c r="A977" s="272">
        <v>45912.419016203705</v>
      </c>
      <c r="B977" t="s">
        <v>1275</v>
      </c>
      <c r="C977" t="s">
        <v>8</v>
      </c>
      <c r="D977" t="s">
        <v>1276</v>
      </c>
      <c r="E977" t="s">
        <v>179</v>
      </c>
    </row>
    <row r="978" spans="1:5" x14ac:dyDescent="0.2">
      <c r="A978" s="272">
        <v>45912.419328703705</v>
      </c>
      <c r="B978" t="s">
        <v>1275</v>
      </c>
      <c r="C978" t="s">
        <v>8</v>
      </c>
      <c r="D978" t="s">
        <v>1277</v>
      </c>
      <c r="E978">
        <v>152</v>
      </c>
    </row>
    <row r="979" spans="1:5" x14ac:dyDescent="0.2">
      <c r="A979" s="272">
        <v>45912.419444444444</v>
      </c>
      <c r="B979" t="s">
        <v>1275</v>
      </c>
      <c r="C979" t="s">
        <v>8</v>
      </c>
      <c r="D979" t="s">
        <v>1278</v>
      </c>
      <c r="E979" t="s">
        <v>181</v>
      </c>
    </row>
    <row r="980" spans="1:5" x14ac:dyDescent="0.2">
      <c r="A980" s="272">
        <v>45912.42050925926</v>
      </c>
      <c r="B980" t="s">
        <v>1275</v>
      </c>
      <c r="C980" t="s">
        <v>17</v>
      </c>
      <c r="D980" t="s">
        <v>1279</v>
      </c>
      <c r="E980" t="s">
        <v>181</v>
      </c>
    </row>
    <row r="981" spans="1:5" x14ac:dyDescent="0.2">
      <c r="A981" s="272">
        <v>45912.420590277776</v>
      </c>
      <c r="B981" t="s">
        <v>1275</v>
      </c>
      <c r="C981" t="s">
        <v>17</v>
      </c>
      <c r="D981" t="s">
        <v>1279</v>
      </c>
    </row>
    <row r="982" spans="1:5" x14ac:dyDescent="0.2">
      <c r="A982" s="272">
        <v>45912.420671296299</v>
      </c>
      <c r="B982" t="s">
        <v>1275</v>
      </c>
      <c r="C982" t="s">
        <v>17</v>
      </c>
      <c r="D982" t="s">
        <v>1280</v>
      </c>
      <c r="E982" t="s">
        <v>181</v>
      </c>
    </row>
    <row r="983" spans="1:5" x14ac:dyDescent="0.2">
      <c r="A983" s="272">
        <v>45912.420891203707</v>
      </c>
      <c r="B983" t="s">
        <v>1275</v>
      </c>
      <c r="C983" t="s">
        <v>17</v>
      </c>
      <c r="D983" t="s">
        <v>1281</v>
      </c>
      <c r="E983" t="s">
        <v>45</v>
      </c>
    </row>
    <row r="984" spans="1:5" x14ac:dyDescent="0.2">
      <c r="A984" s="272">
        <v>45912.420937499999</v>
      </c>
      <c r="B984" t="s">
        <v>1275</v>
      </c>
      <c r="C984" t="s">
        <v>17</v>
      </c>
      <c r="D984" t="s">
        <v>1282</v>
      </c>
      <c r="E984">
        <v>195</v>
      </c>
    </row>
    <row r="985" spans="1:5" x14ac:dyDescent="0.2">
      <c r="A985" s="272">
        <v>45912.42114583333</v>
      </c>
      <c r="B985" t="s">
        <v>1275</v>
      </c>
      <c r="C985" t="s">
        <v>17</v>
      </c>
      <c r="D985" t="s">
        <v>1283</v>
      </c>
      <c r="E985" t="s">
        <v>180</v>
      </c>
    </row>
    <row r="986" spans="1:5" x14ac:dyDescent="0.2">
      <c r="A986" s="272">
        <v>45912.421238425923</v>
      </c>
      <c r="B986" t="s">
        <v>1275</v>
      </c>
      <c r="C986" t="s">
        <v>17</v>
      </c>
      <c r="D986" t="s">
        <v>1284</v>
      </c>
      <c r="E986" t="s">
        <v>180</v>
      </c>
    </row>
    <row r="987" spans="1:5" x14ac:dyDescent="0.2">
      <c r="A987" s="272">
        <v>45912.423020833332</v>
      </c>
      <c r="B987" t="s">
        <v>1275</v>
      </c>
      <c r="C987" t="s">
        <v>106</v>
      </c>
      <c r="D987" t="s">
        <v>1285</v>
      </c>
      <c r="E987" t="s">
        <v>38</v>
      </c>
    </row>
    <row r="988" spans="1:5" x14ac:dyDescent="0.2">
      <c r="A988" s="272">
        <v>45912.423310185186</v>
      </c>
      <c r="B988" t="s">
        <v>1275</v>
      </c>
      <c r="C988" t="s">
        <v>106</v>
      </c>
      <c r="D988" t="s">
        <v>1286</v>
      </c>
      <c r="E988">
        <v>263</v>
      </c>
    </row>
    <row r="989" spans="1:5" x14ac:dyDescent="0.2">
      <c r="A989" s="272">
        <v>45912.427349537036</v>
      </c>
      <c r="B989" t="s">
        <v>1275</v>
      </c>
      <c r="C989" t="s">
        <v>27</v>
      </c>
      <c r="D989" t="s">
        <v>1287</v>
      </c>
      <c r="E989" t="s">
        <v>193</v>
      </c>
    </row>
    <row r="990" spans="1:5" x14ac:dyDescent="0.2">
      <c r="A990" s="272">
        <v>45912.427523148152</v>
      </c>
      <c r="B990" t="s">
        <v>1275</v>
      </c>
      <c r="C990" t="s">
        <v>27</v>
      </c>
      <c r="D990" t="s">
        <v>1288</v>
      </c>
      <c r="E990">
        <v>27840</v>
      </c>
    </row>
    <row r="991" spans="1:5" x14ac:dyDescent="0.2">
      <c r="A991" s="272">
        <v>45912.43346064815</v>
      </c>
      <c r="B991" t="s">
        <v>1275</v>
      </c>
      <c r="C991" t="s">
        <v>28</v>
      </c>
      <c r="D991" t="s">
        <v>1289</v>
      </c>
      <c r="E991" t="s">
        <v>179</v>
      </c>
    </row>
    <row r="992" spans="1:5" x14ac:dyDescent="0.2">
      <c r="A992" s="272">
        <v>45912.433923611112</v>
      </c>
      <c r="B992" t="s">
        <v>1275</v>
      </c>
      <c r="C992" t="s">
        <v>28</v>
      </c>
      <c r="D992" t="s">
        <v>1290</v>
      </c>
      <c r="E992" t="s">
        <v>127</v>
      </c>
    </row>
    <row r="993" spans="1:5" x14ac:dyDescent="0.2">
      <c r="A993" s="272">
        <v>45912.434606481482</v>
      </c>
      <c r="B993" t="s">
        <v>1275</v>
      </c>
      <c r="C993" t="s">
        <v>28</v>
      </c>
      <c r="D993" t="s">
        <v>1289</v>
      </c>
    </row>
    <row r="994" spans="1:5" x14ac:dyDescent="0.2">
      <c r="A994" s="272">
        <v>45912.434606481482</v>
      </c>
      <c r="B994" t="s">
        <v>1275</v>
      </c>
      <c r="C994" t="s">
        <v>28</v>
      </c>
      <c r="D994" t="s">
        <v>1291</v>
      </c>
      <c r="E994" t="s">
        <v>179</v>
      </c>
    </row>
    <row r="995" spans="1:5" x14ac:dyDescent="0.2">
      <c r="A995" s="272">
        <v>45912.434803240743</v>
      </c>
      <c r="B995" t="s">
        <v>1275</v>
      </c>
      <c r="C995" t="s">
        <v>28</v>
      </c>
      <c r="D995" t="s">
        <v>1290</v>
      </c>
    </row>
    <row r="996" spans="1:5" x14ac:dyDescent="0.2">
      <c r="A996" s="272">
        <v>45912.434803240743</v>
      </c>
      <c r="B996" t="s">
        <v>1275</v>
      </c>
      <c r="C996" t="s">
        <v>28</v>
      </c>
      <c r="D996" t="s">
        <v>1292</v>
      </c>
      <c r="E996" t="s">
        <v>127</v>
      </c>
    </row>
    <row r="997" spans="1:5" x14ac:dyDescent="0.2">
      <c r="A997" s="272">
        <v>45912.434884259259</v>
      </c>
      <c r="B997" t="s">
        <v>1275</v>
      </c>
      <c r="C997" t="s">
        <v>28</v>
      </c>
      <c r="D997" t="s">
        <v>1290</v>
      </c>
      <c r="E997" t="s">
        <v>127</v>
      </c>
    </row>
    <row r="998" spans="1:5" x14ac:dyDescent="0.2">
      <c r="A998" s="272">
        <v>45912.434884259259</v>
      </c>
      <c r="B998" t="s">
        <v>1275</v>
      </c>
      <c r="C998" t="s">
        <v>28</v>
      </c>
      <c r="D998" t="s">
        <v>1292</v>
      </c>
    </row>
    <row r="999" spans="1:5" x14ac:dyDescent="0.2">
      <c r="A999" s="272">
        <v>45912.434884259259</v>
      </c>
      <c r="B999" t="s">
        <v>1275</v>
      </c>
      <c r="C999" t="s">
        <v>28</v>
      </c>
      <c r="D999" t="s">
        <v>1292</v>
      </c>
    </row>
    <row r="1000" spans="1:5" x14ac:dyDescent="0.2">
      <c r="A1000" s="272">
        <v>45912.434930555559</v>
      </c>
      <c r="B1000" t="s">
        <v>1275</v>
      </c>
      <c r="C1000" t="s">
        <v>28</v>
      </c>
      <c r="D1000" t="s">
        <v>1290</v>
      </c>
    </row>
    <row r="1001" spans="1:5" x14ac:dyDescent="0.2">
      <c r="A1001" s="272">
        <v>45912.434930555559</v>
      </c>
      <c r="B1001" t="s">
        <v>1275</v>
      </c>
      <c r="C1001" t="s">
        <v>28</v>
      </c>
      <c r="D1001" t="s">
        <v>1292</v>
      </c>
      <c r="E1001" t="s">
        <v>127</v>
      </c>
    </row>
    <row r="1002" spans="1:5" x14ac:dyDescent="0.2">
      <c r="A1002" s="272">
        <v>45912.435034722221</v>
      </c>
      <c r="B1002" t="s">
        <v>1275</v>
      </c>
      <c r="C1002" t="s">
        <v>28</v>
      </c>
      <c r="D1002" t="s">
        <v>1290</v>
      </c>
      <c r="E1002" t="s">
        <v>127</v>
      </c>
    </row>
    <row r="1003" spans="1:5" x14ac:dyDescent="0.2">
      <c r="A1003" s="272">
        <v>45912.435034722221</v>
      </c>
      <c r="B1003" t="s">
        <v>1275</v>
      </c>
      <c r="C1003" t="s">
        <v>28</v>
      </c>
      <c r="D1003" t="s">
        <v>1292</v>
      </c>
    </row>
    <row r="1004" spans="1:5" x14ac:dyDescent="0.2">
      <c r="A1004" s="272">
        <v>45912.435034722221</v>
      </c>
      <c r="B1004" t="s">
        <v>1275</v>
      </c>
      <c r="C1004" t="s">
        <v>28</v>
      </c>
      <c r="D1004" t="s">
        <v>1292</v>
      </c>
    </row>
    <row r="1005" spans="1:5" x14ac:dyDescent="0.2">
      <c r="A1005" s="272">
        <v>45912.435046296298</v>
      </c>
      <c r="B1005" t="s">
        <v>1275</v>
      </c>
      <c r="C1005" t="s">
        <v>28</v>
      </c>
      <c r="D1005" t="s">
        <v>1289</v>
      </c>
      <c r="E1005" t="s">
        <v>179</v>
      </c>
    </row>
    <row r="1006" spans="1:5" x14ac:dyDescent="0.2">
      <c r="A1006" s="272">
        <v>45912.435046296298</v>
      </c>
      <c r="B1006" t="s">
        <v>1275</v>
      </c>
      <c r="C1006" t="s">
        <v>28</v>
      </c>
      <c r="D1006" t="s">
        <v>1291</v>
      </c>
    </row>
    <row r="1007" spans="1:5" x14ac:dyDescent="0.2">
      <c r="A1007" s="272">
        <v>45912.435046296298</v>
      </c>
      <c r="B1007" t="s">
        <v>1275</v>
      </c>
      <c r="C1007" t="s">
        <v>28</v>
      </c>
      <c r="D1007" t="s">
        <v>1291</v>
      </c>
    </row>
    <row r="1008" spans="1:5" x14ac:dyDescent="0.2">
      <c r="A1008" s="272">
        <v>45912.435046296298</v>
      </c>
      <c r="B1008" t="s">
        <v>1275</v>
      </c>
      <c r="C1008" t="s">
        <v>28</v>
      </c>
      <c r="D1008" t="s">
        <v>1290</v>
      </c>
    </row>
    <row r="1009" spans="1:5" x14ac:dyDescent="0.2">
      <c r="A1009" s="272">
        <v>45912.435057870367</v>
      </c>
      <c r="B1009" t="s">
        <v>1275</v>
      </c>
      <c r="C1009" t="s">
        <v>28</v>
      </c>
      <c r="D1009" t="s">
        <v>1289</v>
      </c>
    </row>
    <row r="1010" spans="1:5" x14ac:dyDescent="0.2">
      <c r="A1010" s="272">
        <v>45912.435335648152</v>
      </c>
      <c r="B1010" t="s">
        <v>1275</v>
      </c>
      <c r="C1010" t="s">
        <v>28</v>
      </c>
      <c r="D1010" t="s">
        <v>1291</v>
      </c>
      <c r="E1010" t="s">
        <v>179</v>
      </c>
    </row>
    <row r="1011" spans="1:5" x14ac:dyDescent="0.2">
      <c r="A1011" s="272">
        <v>45912.435532407406</v>
      </c>
      <c r="B1011" t="s">
        <v>1275</v>
      </c>
      <c r="C1011" t="s">
        <v>28</v>
      </c>
      <c r="D1011" t="s">
        <v>1292</v>
      </c>
      <c r="E1011" t="s">
        <v>127</v>
      </c>
    </row>
    <row r="1012" spans="1:5" x14ac:dyDescent="0.2">
      <c r="A1012" s="272">
        <v>45915.713287037041</v>
      </c>
      <c r="B1012" t="s">
        <v>611</v>
      </c>
      <c r="C1012" t="s">
        <v>612</v>
      </c>
      <c r="D1012" t="s">
        <v>1491</v>
      </c>
      <c r="E1012" t="s">
        <v>43</v>
      </c>
    </row>
    <row r="1013" spans="1:5" x14ac:dyDescent="0.2">
      <c r="A1013" s="272">
        <v>45915.713622685187</v>
      </c>
      <c r="B1013" t="s">
        <v>611</v>
      </c>
      <c r="C1013" t="s">
        <v>8</v>
      </c>
      <c r="D1013" t="s">
        <v>1492</v>
      </c>
    </row>
    <row r="1014" spans="1:5" x14ac:dyDescent="0.2">
      <c r="A1014" s="272">
        <v>45915.71398148148</v>
      </c>
      <c r="B1014" t="s">
        <v>611</v>
      </c>
      <c r="C1014" t="s">
        <v>13</v>
      </c>
      <c r="D1014" t="s">
        <v>1493</v>
      </c>
    </row>
    <row r="1015" spans="1:5" x14ac:dyDescent="0.2">
      <c r="A1015" s="272">
        <v>45915.71402777778</v>
      </c>
      <c r="B1015" t="s">
        <v>611</v>
      </c>
      <c r="C1015" t="s">
        <v>13</v>
      </c>
      <c r="D1015" t="s">
        <v>1493</v>
      </c>
      <c r="E1015" t="s">
        <v>58</v>
      </c>
    </row>
    <row r="1016" spans="1:5" x14ac:dyDescent="0.2">
      <c r="A1016" s="272">
        <v>45915.71402777778</v>
      </c>
      <c r="B1016" t="s">
        <v>611</v>
      </c>
      <c r="C1016" t="s">
        <v>13</v>
      </c>
      <c r="D1016" t="s">
        <v>1493</v>
      </c>
      <c r="E1016" t="s">
        <v>58</v>
      </c>
    </row>
    <row r="1017" spans="1:5" x14ac:dyDescent="0.2">
      <c r="A1017" s="272">
        <v>45915.714131944442</v>
      </c>
      <c r="B1017" t="s">
        <v>611</v>
      </c>
      <c r="C1017" t="s">
        <v>13</v>
      </c>
      <c r="D1017" t="s">
        <v>1494</v>
      </c>
    </row>
    <row r="1018" spans="1:5" x14ac:dyDescent="0.2">
      <c r="A1018" s="272">
        <v>45915.725219907406</v>
      </c>
      <c r="B1018" t="s">
        <v>611</v>
      </c>
      <c r="C1018" t="s">
        <v>612</v>
      </c>
      <c r="D1018" t="s">
        <v>1495</v>
      </c>
      <c r="E1018" t="s">
        <v>43</v>
      </c>
    </row>
    <row r="1019" spans="1:5" x14ac:dyDescent="0.2">
      <c r="A1019" s="272">
        <v>45915.726493055554</v>
      </c>
      <c r="B1019" t="s">
        <v>611</v>
      </c>
      <c r="C1019" t="s">
        <v>612</v>
      </c>
      <c r="D1019" t="s">
        <v>1495</v>
      </c>
      <c r="E1019" t="s">
        <v>43</v>
      </c>
    </row>
    <row r="1020" spans="1:5" x14ac:dyDescent="0.2">
      <c r="A1020" s="272">
        <v>45915.753553240742</v>
      </c>
      <c r="B1020" t="s">
        <v>611</v>
      </c>
      <c r="C1020" t="s">
        <v>612</v>
      </c>
      <c r="D1020" t="s">
        <v>1495</v>
      </c>
      <c r="E1020" t="s">
        <v>43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74" t="s">
        <v>1293</v>
      </c>
      <c r="B1" s="175"/>
      <c r="C1" s="174" t="s">
        <v>358</v>
      </c>
      <c r="D1" s="174" t="s">
        <v>1294</v>
      </c>
      <c r="E1" s="174" t="s">
        <v>1295</v>
      </c>
      <c r="I1" t="s">
        <v>369</v>
      </c>
      <c r="J1" t="s">
        <v>1294</v>
      </c>
      <c r="L1" s="15" t="s">
        <v>369</v>
      </c>
    </row>
    <row r="2" spans="1:14" ht="20" x14ac:dyDescent="0.2">
      <c r="A2" s="176">
        <v>6</v>
      </c>
      <c r="B2" s="177" t="s">
        <v>379</v>
      </c>
      <c r="C2" s="176" t="s">
        <v>1296</v>
      </c>
      <c r="D2" s="176" t="s">
        <v>1297</v>
      </c>
      <c r="E2" s="176" t="s">
        <v>1298</v>
      </c>
      <c r="F2" s="176" t="s">
        <v>1299</v>
      </c>
      <c r="I2" t="s">
        <v>379</v>
      </c>
      <c r="J2" t="s">
        <v>1297</v>
      </c>
      <c r="L2" s="16" t="s">
        <v>379</v>
      </c>
      <c r="N2" t="str">
        <f t="shared" ref="N2:N65" si="0">IF(I2=L2,"","X")</f>
        <v/>
      </c>
    </row>
    <row r="3" spans="1:14" ht="20" x14ac:dyDescent="0.2">
      <c r="A3" s="176">
        <v>22</v>
      </c>
      <c r="B3" s="174" t="s">
        <v>387</v>
      </c>
      <c r="C3" s="176" t="s">
        <v>1300</v>
      </c>
      <c r="D3" s="176" t="s">
        <v>1301</v>
      </c>
      <c r="E3" s="176" t="s">
        <v>1298</v>
      </c>
      <c r="F3" s="176" t="s">
        <v>1302</v>
      </c>
      <c r="I3" t="s">
        <v>387</v>
      </c>
      <c r="J3" t="s">
        <v>1301</v>
      </c>
      <c r="L3" s="16" t="s">
        <v>387</v>
      </c>
      <c r="N3" t="str">
        <f t="shared" si="0"/>
        <v/>
      </c>
    </row>
    <row r="4" spans="1:14" ht="20" x14ac:dyDescent="0.2">
      <c r="A4" s="176">
        <v>74</v>
      </c>
      <c r="B4" s="174" t="s">
        <v>393</v>
      </c>
      <c r="C4" s="176" t="s">
        <v>1303</v>
      </c>
      <c r="D4" s="176" t="s">
        <v>1304</v>
      </c>
      <c r="E4" s="176" t="s">
        <v>374</v>
      </c>
      <c r="F4" s="176" t="s">
        <v>1305</v>
      </c>
      <c r="I4" t="s">
        <v>393</v>
      </c>
      <c r="J4" t="s">
        <v>1304</v>
      </c>
      <c r="L4" s="16" t="s">
        <v>393</v>
      </c>
      <c r="N4" t="str">
        <f t="shared" si="0"/>
        <v/>
      </c>
    </row>
    <row r="5" spans="1:14" ht="20" x14ac:dyDescent="0.2">
      <c r="A5" s="176">
        <v>62</v>
      </c>
      <c r="B5" s="174" t="s">
        <v>401</v>
      </c>
      <c r="C5" s="176" t="s">
        <v>1306</v>
      </c>
      <c r="D5" s="176" t="s">
        <v>1304</v>
      </c>
      <c r="E5" s="176" t="s">
        <v>1298</v>
      </c>
      <c r="F5" s="176" t="s">
        <v>1307</v>
      </c>
      <c r="I5" t="s">
        <v>401</v>
      </c>
      <c r="J5" t="s">
        <v>1304</v>
      </c>
      <c r="L5" s="16" t="s">
        <v>401</v>
      </c>
      <c r="N5" t="str">
        <f t="shared" si="0"/>
        <v/>
      </c>
    </row>
    <row r="6" spans="1:14" ht="20" x14ac:dyDescent="0.2">
      <c r="A6" s="176">
        <v>136</v>
      </c>
      <c r="B6" s="174" t="s">
        <v>405</v>
      </c>
      <c r="C6" s="176" t="s">
        <v>1308</v>
      </c>
      <c r="D6" s="176" t="s">
        <v>1304</v>
      </c>
      <c r="E6" s="176" t="s">
        <v>391</v>
      </c>
      <c r="F6" s="176" t="s">
        <v>1309</v>
      </c>
      <c r="I6" t="s">
        <v>405</v>
      </c>
      <c r="J6" t="s">
        <v>1304</v>
      </c>
      <c r="L6" s="16" t="s">
        <v>405</v>
      </c>
      <c r="N6" t="str">
        <f t="shared" si="0"/>
        <v/>
      </c>
    </row>
    <row r="7" spans="1:14" ht="20" x14ac:dyDescent="0.2">
      <c r="A7" s="176">
        <v>75</v>
      </c>
      <c r="B7" s="174" t="s">
        <v>409</v>
      </c>
      <c r="C7" s="176" t="s">
        <v>1310</v>
      </c>
      <c r="D7" s="176" t="s">
        <v>1304</v>
      </c>
      <c r="E7" s="176" t="s">
        <v>374</v>
      </c>
      <c r="F7" s="176" t="s">
        <v>1305</v>
      </c>
      <c r="I7" t="s">
        <v>409</v>
      </c>
      <c r="J7" t="s">
        <v>1304</v>
      </c>
      <c r="L7" s="16" t="s">
        <v>409</v>
      </c>
      <c r="N7" t="str">
        <f t="shared" si="0"/>
        <v/>
      </c>
    </row>
    <row r="8" spans="1:14" ht="20" x14ac:dyDescent="0.2">
      <c r="A8" s="176">
        <v>137</v>
      </c>
      <c r="B8" s="174" t="s">
        <v>412</v>
      </c>
      <c r="C8" s="176" t="s">
        <v>1311</v>
      </c>
      <c r="D8" s="176" t="s">
        <v>1304</v>
      </c>
      <c r="E8" s="176" t="s">
        <v>391</v>
      </c>
      <c r="F8" s="176" t="s">
        <v>1309</v>
      </c>
      <c r="I8" t="s">
        <v>412</v>
      </c>
      <c r="J8" t="s">
        <v>1304</v>
      </c>
      <c r="L8" s="16" t="s">
        <v>412</v>
      </c>
      <c r="N8" t="str">
        <f t="shared" si="0"/>
        <v/>
      </c>
    </row>
    <row r="9" spans="1:14" ht="20" x14ac:dyDescent="0.2">
      <c r="A9" s="176">
        <v>29</v>
      </c>
      <c r="B9" s="174" t="s">
        <v>415</v>
      </c>
      <c r="C9" s="176" t="s">
        <v>1312</v>
      </c>
      <c r="D9" s="176" t="s">
        <v>1304</v>
      </c>
      <c r="E9" s="176" t="s">
        <v>1298</v>
      </c>
      <c r="F9" s="176" t="s">
        <v>1302</v>
      </c>
      <c r="I9" t="s">
        <v>415</v>
      </c>
      <c r="J9" t="s">
        <v>1304</v>
      </c>
      <c r="L9" s="16" t="s">
        <v>415</v>
      </c>
      <c r="N9" t="str">
        <f t="shared" si="0"/>
        <v/>
      </c>
    </row>
    <row r="10" spans="1:14" ht="20" x14ac:dyDescent="0.2">
      <c r="A10" s="176">
        <v>96</v>
      </c>
      <c r="B10" s="174" t="s">
        <v>417</v>
      </c>
      <c r="C10" s="176" t="s">
        <v>1313</v>
      </c>
      <c r="D10" s="176" t="s">
        <v>1314</v>
      </c>
      <c r="E10" s="176" t="s">
        <v>374</v>
      </c>
      <c r="F10" s="176" t="s">
        <v>1315</v>
      </c>
      <c r="I10" t="s">
        <v>417</v>
      </c>
      <c r="J10" t="s">
        <v>1314</v>
      </c>
      <c r="L10" s="16" t="s">
        <v>417</v>
      </c>
      <c r="N10" t="str">
        <f t="shared" si="0"/>
        <v/>
      </c>
    </row>
    <row r="11" spans="1:14" ht="20" x14ac:dyDescent="0.2">
      <c r="A11" s="176">
        <v>59</v>
      </c>
      <c r="B11" s="174" t="s">
        <v>1316</v>
      </c>
      <c r="C11" s="176" t="s">
        <v>1317</v>
      </c>
      <c r="D11" s="176" t="s">
        <v>1318</v>
      </c>
      <c r="E11" s="176" t="s">
        <v>1298</v>
      </c>
      <c r="F11" s="176" t="s">
        <v>1319</v>
      </c>
      <c r="I11" t="s">
        <v>1316</v>
      </c>
      <c r="J11" t="s">
        <v>1318</v>
      </c>
      <c r="L11" t="s">
        <v>1316</v>
      </c>
      <c r="N11" t="str">
        <f t="shared" si="0"/>
        <v/>
      </c>
    </row>
    <row r="12" spans="1:14" ht="20" x14ac:dyDescent="0.2">
      <c r="A12" s="176">
        <v>145</v>
      </c>
      <c r="B12" s="174" t="s">
        <v>419</v>
      </c>
      <c r="C12" s="176" t="s">
        <v>1320</v>
      </c>
      <c r="D12" s="176" t="s">
        <v>1314</v>
      </c>
      <c r="E12" s="176" t="s">
        <v>391</v>
      </c>
      <c r="F12" s="176" t="s">
        <v>1321</v>
      </c>
      <c r="I12" t="s">
        <v>419</v>
      </c>
      <c r="J12" t="s">
        <v>1314</v>
      </c>
      <c r="L12" s="16" t="s">
        <v>419</v>
      </c>
      <c r="N12" t="str">
        <f t="shared" si="0"/>
        <v/>
      </c>
    </row>
    <row r="13" spans="1:14" ht="20" x14ac:dyDescent="0.2">
      <c r="A13" s="176">
        <v>21</v>
      </c>
      <c r="B13" s="174" t="s">
        <v>422</v>
      </c>
      <c r="C13" s="176" t="s">
        <v>1322</v>
      </c>
      <c r="D13" s="176" t="s">
        <v>1314</v>
      </c>
      <c r="E13" s="176" t="s">
        <v>1298</v>
      </c>
      <c r="F13" s="176" t="s">
        <v>1323</v>
      </c>
      <c r="I13" t="s">
        <v>422</v>
      </c>
      <c r="J13" t="s">
        <v>1314</v>
      </c>
      <c r="L13" s="16" t="s">
        <v>422</v>
      </c>
      <c r="N13" t="str">
        <f t="shared" si="0"/>
        <v/>
      </c>
    </row>
    <row r="14" spans="1:14" ht="20" x14ac:dyDescent="0.2">
      <c r="A14" s="176">
        <v>45</v>
      </c>
      <c r="B14" s="174" t="s">
        <v>424</v>
      </c>
      <c r="C14" s="176" t="s">
        <v>1324</v>
      </c>
      <c r="D14" s="176" t="s">
        <v>1304</v>
      </c>
      <c r="E14" s="176" t="s">
        <v>1298</v>
      </c>
      <c r="F14" s="176" t="s">
        <v>1325</v>
      </c>
      <c r="I14" t="s">
        <v>424</v>
      </c>
      <c r="J14" t="s">
        <v>1304</v>
      </c>
      <c r="L14" s="16" t="s">
        <v>424</v>
      </c>
      <c r="N14" t="str">
        <f t="shared" si="0"/>
        <v/>
      </c>
    </row>
    <row r="15" spans="1:14" ht="20" x14ac:dyDescent="0.2">
      <c r="A15" s="176">
        <v>46</v>
      </c>
      <c r="B15" s="174" t="s">
        <v>428</v>
      </c>
      <c r="C15" s="176" t="s">
        <v>1326</v>
      </c>
      <c r="D15" s="176" t="s">
        <v>1304</v>
      </c>
      <c r="E15" s="176" t="s">
        <v>1298</v>
      </c>
      <c r="F15" s="176" t="s">
        <v>1325</v>
      </c>
      <c r="I15" t="s">
        <v>428</v>
      </c>
      <c r="J15" t="s">
        <v>1304</v>
      </c>
      <c r="L15" s="16" t="s">
        <v>428</v>
      </c>
      <c r="N15" t="str">
        <f t="shared" si="0"/>
        <v/>
      </c>
    </row>
    <row r="16" spans="1:14" ht="20" x14ac:dyDescent="0.2">
      <c r="A16" s="176">
        <v>2</v>
      </c>
      <c r="B16" s="177" t="s">
        <v>430</v>
      </c>
      <c r="C16" s="176" t="s">
        <v>1327</v>
      </c>
      <c r="D16" s="176" t="s">
        <v>1304</v>
      </c>
      <c r="E16" s="176" t="s">
        <v>1298</v>
      </c>
      <c r="F16" s="176" t="s">
        <v>1299</v>
      </c>
      <c r="I16" t="s">
        <v>430</v>
      </c>
      <c r="J16" t="s">
        <v>1304</v>
      </c>
      <c r="L16" s="16" t="s">
        <v>430</v>
      </c>
      <c r="N16" t="str">
        <f t="shared" si="0"/>
        <v/>
      </c>
    </row>
    <row r="17" spans="1:14" ht="20" x14ac:dyDescent="0.2">
      <c r="A17" s="176">
        <v>84</v>
      </c>
      <c r="B17" s="174" t="s">
        <v>432</v>
      </c>
      <c r="C17" s="176" t="s">
        <v>1328</v>
      </c>
      <c r="D17" s="176" t="s">
        <v>1301</v>
      </c>
      <c r="E17" s="176" t="s">
        <v>374</v>
      </c>
      <c r="F17" s="176" t="s">
        <v>1315</v>
      </c>
      <c r="I17" t="s">
        <v>432</v>
      </c>
      <c r="J17" t="s">
        <v>1301</v>
      </c>
      <c r="L17" s="16" t="s">
        <v>432</v>
      </c>
      <c r="N17" t="str">
        <f t="shared" si="0"/>
        <v/>
      </c>
    </row>
    <row r="18" spans="1:14" ht="20" x14ac:dyDescent="0.2">
      <c r="A18" s="176">
        <v>99</v>
      </c>
      <c r="B18" s="174" t="s">
        <v>434</v>
      </c>
      <c r="C18" s="176" t="s">
        <v>1329</v>
      </c>
      <c r="D18" s="176" t="s">
        <v>1304</v>
      </c>
      <c r="E18" s="176" t="s">
        <v>374</v>
      </c>
      <c r="F18" s="176" t="s">
        <v>1330</v>
      </c>
      <c r="I18" t="s">
        <v>434</v>
      </c>
      <c r="J18" t="s">
        <v>1304</v>
      </c>
      <c r="L18" s="16" t="s">
        <v>434</v>
      </c>
      <c r="N18" t="str">
        <f t="shared" si="0"/>
        <v/>
      </c>
    </row>
    <row r="19" spans="1:14" ht="20" x14ac:dyDescent="0.2">
      <c r="A19" s="176">
        <v>51</v>
      </c>
      <c r="B19" s="174" t="s">
        <v>436</v>
      </c>
      <c r="C19" s="176" t="s">
        <v>1331</v>
      </c>
      <c r="D19" s="176" t="s">
        <v>1314</v>
      </c>
      <c r="E19" s="176" t="s">
        <v>1298</v>
      </c>
      <c r="F19" s="176" t="s">
        <v>1319</v>
      </c>
      <c r="I19" t="s">
        <v>436</v>
      </c>
      <c r="J19" t="s">
        <v>1314</v>
      </c>
      <c r="L19" s="16" t="s">
        <v>436</v>
      </c>
      <c r="N19" t="str">
        <f t="shared" si="0"/>
        <v/>
      </c>
    </row>
    <row r="20" spans="1:14" ht="20" x14ac:dyDescent="0.2">
      <c r="A20" s="176">
        <v>85</v>
      </c>
      <c r="B20" s="174" t="s">
        <v>438</v>
      </c>
      <c r="C20" s="176" t="s">
        <v>1332</v>
      </c>
      <c r="D20" s="176" t="s">
        <v>1301</v>
      </c>
      <c r="E20" s="176" t="s">
        <v>374</v>
      </c>
      <c r="F20" s="176" t="s">
        <v>1315</v>
      </c>
      <c r="I20" t="s">
        <v>438</v>
      </c>
      <c r="J20" t="s">
        <v>1301</v>
      </c>
      <c r="L20" s="16" t="s">
        <v>438</v>
      </c>
      <c r="N20" t="str">
        <f t="shared" si="0"/>
        <v/>
      </c>
    </row>
    <row r="21" spans="1:14" ht="20" x14ac:dyDescent="0.2">
      <c r="A21" s="176">
        <v>89</v>
      </c>
      <c r="B21" s="174" t="s">
        <v>440</v>
      </c>
      <c r="C21" s="176" t="s">
        <v>1333</v>
      </c>
      <c r="D21" s="176" t="s">
        <v>1304</v>
      </c>
      <c r="E21" s="176" t="s">
        <v>374</v>
      </c>
      <c r="F21" s="176" t="s">
        <v>1315</v>
      </c>
      <c r="I21" t="s">
        <v>440</v>
      </c>
      <c r="J21" t="s">
        <v>1304</v>
      </c>
      <c r="L21" s="16" t="s">
        <v>440</v>
      </c>
      <c r="N21" t="str">
        <f t="shared" si="0"/>
        <v/>
      </c>
    </row>
    <row r="22" spans="1:14" ht="20" x14ac:dyDescent="0.2">
      <c r="A22" s="176">
        <v>90</v>
      </c>
      <c r="B22" s="174" t="s">
        <v>442</v>
      </c>
      <c r="C22" s="176" t="s">
        <v>1334</v>
      </c>
      <c r="D22" s="176" t="s">
        <v>1304</v>
      </c>
      <c r="E22" s="176" t="s">
        <v>374</v>
      </c>
      <c r="F22" s="176" t="s">
        <v>1315</v>
      </c>
      <c r="I22" t="s">
        <v>442</v>
      </c>
      <c r="J22" t="s">
        <v>1304</v>
      </c>
      <c r="L22" s="16" t="s">
        <v>442</v>
      </c>
      <c r="N22" t="str">
        <f t="shared" si="0"/>
        <v/>
      </c>
    </row>
    <row r="23" spans="1:14" ht="20" x14ac:dyDescent="0.2">
      <c r="A23" s="176">
        <v>150</v>
      </c>
      <c r="B23" s="174" t="s">
        <v>443</v>
      </c>
      <c r="C23" s="176" t="s">
        <v>1335</v>
      </c>
      <c r="D23" s="176" t="s">
        <v>1318</v>
      </c>
      <c r="E23" s="176" t="s">
        <v>391</v>
      </c>
      <c r="F23" s="176" t="s">
        <v>1321</v>
      </c>
      <c r="I23" t="s">
        <v>443</v>
      </c>
      <c r="J23" t="s">
        <v>1318</v>
      </c>
      <c r="L23" s="16" t="s">
        <v>443</v>
      </c>
      <c r="N23" t="str">
        <f t="shared" si="0"/>
        <v/>
      </c>
    </row>
    <row r="24" spans="1:14" ht="20" x14ac:dyDescent="0.2">
      <c r="A24" s="176">
        <v>118</v>
      </c>
      <c r="B24" s="174" t="s">
        <v>445</v>
      </c>
      <c r="C24" s="176" t="s">
        <v>1336</v>
      </c>
      <c r="D24" s="176" t="s">
        <v>1304</v>
      </c>
      <c r="E24" s="176" t="s">
        <v>391</v>
      </c>
      <c r="F24" s="176" t="s">
        <v>1337</v>
      </c>
      <c r="I24" t="s">
        <v>445</v>
      </c>
      <c r="J24" t="s">
        <v>1304</v>
      </c>
      <c r="L24" s="16" t="s">
        <v>445</v>
      </c>
      <c r="N24" t="str">
        <f t="shared" si="0"/>
        <v/>
      </c>
    </row>
    <row r="25" spans="1:14" ht="20" x14ac:dyDescent="0.2">
      <c r="A25" s="176">
        <v>15</v>
      </c>
      <c r="B25" s="174" t="s">
        <v>447</v>
      </c>
      <c r="C25" s="176" t="s">
        <v>1338</v>
      </c>
      <c r="D25" s="176" t="s">
        <v>1304</v>
      </c>
      <c r="E25" s="176" t="s">
        <v>1298</v>
      </c>
      <c r="F25" s="176" t="s">
        <v>1323</v>
      </c>
      <c r="I25" t="s">
        <v>447</v>
      </c>
      <c r="J25" t="s">
        <v>1304</v>
      </c>
      <c r="L25" s="16" t="s">
        <v>447</v>
      </c>
      <c r="N25" t="str">
        <f t="shared" si="0"/>
        <v/>
      </c>
    </row>
    <row r="26" spans="1:14" ht="20" x14ac:dyDescent="0.2">
      <c r="A26" s="176">
        <v>16</v>
      </c>
      <c r="B26" s="174" t="s">
        <v>449</v>
      </c>
      <c r="C26" s="176" t="s">
        <v>1339</v>
      </c>
      <c r="D26" s="176" t="s">
        <v>1304</v>
      </c>
      <c r="E26" s="176" t="s">
        <v>1298</v>
      </c>
      <c r="F26" s="176" t="s">
        <v>1323</v>
      </c>
      <c r="I26" t="s">
        <v>449</v>
      </c>
      <c r="J26" t="s">
        <v>1304</v>
      </c>
      <c r="L26" s="16" t="s">
        <v>449</v>
      </c>
      <c r="N26" t="str">
        <f t="shared" si="0"/>
        <v/>
      </c>
    </row>
    <row r="27" spans="1:14" ht="20" x14ac:dyDescent="0.2">
      <c r="A27" s="176">
        <v>119</v>
      </c>
      <c r="B27" s="174" t="s">
        <v>451</v>
      </c>
      <c r="C27" s="176" t="s">
        <v>1340</v>
      </c>
      <c r="D27" s="176" t="s">
        <v>1304</v>
      </c>
      <c r="E27" s="176" t="s">
        <v>391</v>
      </c>
      <c r="F27" s="176" t="s">
        <v>1337</v>
      </c>
      <c r="I27" t="s">
        <v>451</v>
      </c>
      <c r="J27" t="s">
        <v>1304</v>
      </c>
      <c r="L27" s="16" t="s">
        <v>451</v>
      </c>
      <c r="N27" t="str">
        <f t="shared" si="0"/>
        <v/>
      </c>
    </row>
    <row r="28" spans="1:14" ht="20" x14ac:dyDescent="0.2">
      <c r="A28" s="176">
        <v>63</v>
      </c>
      <c r="B28" s="174" t="s">
        <v>453</v>
      </c>
      <c r="C28" s="176" t="s">
        <v>1341</v>
      </c>
      <c r="D28" s="176" t="s">
        <v>1304</v>
      </c>
      <c r="E28" s="176" t="s">
        <v>1298</v>
      </c>
      <c r="F28" s="176" t="s">
        <v>1307</v>
      </c>
      <c r="I28" t="s">
        <v>453</v>
      </c>
      <c r="J28" t="s">
        <v>1304</v>
      </c>
      <c r="L28" s="16" t="s">
        <v>453</v>
      </c>
      <c r="N28" t="str">
        <f t="shared" si="0"/>
        <v/>
      </c>
    </row>
    <row r="29" spans="1:14" ht="20" x14ac:dyDescent="0.2">
      <c r="A29" s="176">
        <v>76</v>
      </c>
      <c r="B29" s="174" t="s">
        <v>454</v>
      </c>
      <c r="C29" s="176" t="s">
        <v>1342</v>
      </c>
      <c r="D29" s="176" t="s">
        <v>1304</v>
      </c>
      <c r="E29" s="176" t="s">
        <v>374</v>
      </c>
      <c r="F29" s="176" t="s">
        <v>1305</v>
      </c>
      <c r="I29" t="s">
        <v>454</v>
      </c>
      <c r="J29" t="s">
        <v>1304</v>
      </c>
      <c r="L29" s="16" t="s">
        <v>454</v>
      </c>
      <c r="N29" t="str">
        <f t="shared" si="0"/>
        <v/>
      </c>
    </row>
    <row r="30" spans="1:14" ht="20" x14ac:dyDescent="0.2">
      <c r="A30" s="176">
        <v>146</v>
      </c>
      <c r="B30" s="174" t="s">
        <v>455</v>
      </c>
      <c r="C30" s="176" t="s">
        <v>1343</v>
      </c>
      <c r="D30" s="176" t="s">
        <v>1314</v>
      </c>
      <c r="E30" s="176" t="s">
        <v>391</v>
      </c>
      <c r="F30" s="176" t="s">
        <v>1321</v>
      </c>
      <c r="I30" t="s">
        <v>455</v>
      </c>
      <c r="J30" t="s">
        <v>1314</v>
      </c>
      <c r="L30" s="16" t="s">
        <v>455</v>
      </c>
      <c r="N30" t="str">
        <f t="shared" si="0"/>
        <v/>
      </c>
    </row>
    <row r="31" spans="1:14" ht="20" x14ac:dyDescent="0.2">
      <c r="A31" s="176">
        <v>64</v>
      </c>
      <c r="B31" s="174" t="s">
        <v>456</v>
      </c>
      <c r="C31" s="176" t="s">
        <v>1344</v>
      </c>
      <c r="D31" s="176" t="s">
        <v>1304</v>
      </c>
      <c r="E31" s="176" t="s">
        <v>1298</v>
      </c>
      <c r="F31" s="176" t="s">
        <v>1307</v>
      </c>
      <c r="I31" t="s">
        <v>456</v>
      </c>
      <c r="J31" t="s">
        <v>1304</v>
      </c>
      <c r="L31" s="16" t="s">
        <v>456</v>
      </c>
      <c r="N31" t="str">
        <f t="shared" si="0"/>
        <v/>
      </c>
    </row>
    <row r="32" spans="1:14" ht="20" x14ac:dyDescent="0.2">
      <c r="A32" s="176">
        <v>65</v>
      </c>
      <c r="B32" s="174" t="s">
        <v>457</v>
      </c>
      <c r="C32" s="176" t="s">
        <v>1345</v>
      </c>
      <c r="D32" s="176" t="s">
        <v>1304</v>
      </c>
      <c r="E32" s="176" t="s">
        <v>1298</v>
      </c>
      <c r="F32" s="176" t="s">
        <v>1307</v>
      </c>
      <c r="I32" t="s">
        <v>457</v>
      </c>
      <c r="J32" t="s">
        <v>1304</v>
      </c>
      <c r="L32" s="16" t="s">
        <v>457</v>
      </c>
      <c r="N32" t="str">
        <f t="shared" si="0"/>
        <v/>
      </c>
    </row>
    <row r="33" spans="1:14" ht="20" x14ac:dyDescent="0.2">
      <c r="A33" s="176">
        <v>66</v>
      </c>
      <c r="B33" s="174" t="s">
        <v>458</v>
      </c>
      <c r="C33" s="176" t="s">
        <v>1346</v>
      </c>
      <c r="D33" s="176" t="s">
        <v>1304</v>
      </c>
      <c r="E33" s="176" t="s">
        <v>1298</v>
      </c>
      <c r="F33" s="176" t="s">
        <v>1307</v>
      </c>
      <c r="I33" t="s">
        <v>458</v>
      </c>
      <c r="J33" t="s">
        <v>1304</v>
      </c>
      <c r="L33" s="16" t="s">
        <v>458</v>
      </c>
      <c r="N33" t="str">
        <f t="shared" si="0"/>
        <v/>
      </c>
    </row>
    <row r="34" spans="1:14" ht="20" x14ac:dyDescent="0.2">
      <c r="A34" s="176">
        <v>67</v>
      </c>
      <c r="B34" s="174" t="s">
        <v>459</v>
      </c>
      <c r="C34" s="176" t="s">
        <v>1347</v>
      </c>
      <c r="D34" s="176" t="s">
        <v>1304</v>
      </c>
      <c r="E34" s="176" t="s">
        <v>1298</v>
      </c>
      <c r="F34" s="176" t="s">
        <v>1307</v>
      </c>
      <c r="I34" t="s">
        <v>459</v>
      </c>
      <c r="J34" t="s">
        <v>1304</v>
      </c>
      <c r="L34" s="16" t="s">
        <v>459</v>
      </c>
      <c r="N34" t="str">
        <f t="shared" si="0"/>
        <v/>
      </c>
    </row>
    <row r="35" spans="1:14" ht="20" x14ac:dyDescent="0.2">
      <c r="A35" s="176">
        <v>91</v>
      </c>
      <c r="B35" s="174" t="s">
        <v>460</v>
      </c>
      <c r="C35" s="176" t="s">
        <v>1348</v>
      </c>
      <c r="D35" s="176" t="s">
        <v>1304</v>
      </c>
      <c r="E35" s="176" t="s">
        <v>374</v>
      </c>
      <c r="F35" s="176" t="s">
        <v>1315</v>
      </c>
      <c r="I35" t="s">
        <v>460</v>
      </c>
      <c r="J35" t="s">
        <v>1304</v>
      </c>
      <c r="L35" s="16" t="s">
        <v>460</v>
      </c>
      <c r="N35" t="str">
        <f t="shared" si="0"/>
        <v/>
      </c>
    </row>
    <row r="36" spans="1:14" ht="20" x14ac:dyDescent="0.2">
      <c r="A36" s="176">
        <v>92</v>
      </c>
      <c r="B36" s="174" t="s">
        <v>461</v>
      </c>
      <c r="C36" s="176" t="s">
        <v>1349</v>
      </c>
      <c r="D36" s="176" t="s">
        <v>1304</v>
      </c>
      <c r="E36" s="176" t="s">
        <v>374</v>
      </c>
      <c r="F36" s="176" t="s">
        <v>1315</v>
      </c>
      <c r="I36" t="s">
        <v>461</v>
      </c>
      <c r="J36" t="s">
        <v>1304</v>
      </c>
      <c r="L36" s="16" t="s">
        <v>461</v>
      </c>
      <c r="N36" t="str">
        <f t="shared" si="0"/>
        <v/>
      </c>
    </row>
    <row r="37" spans="1:14" ht="20" x14ac:dyDescent="0.2">
      <c r="A37" s="176">
        <v>93</v>
      </c>
      <c r="B37" s="174" t="s">
        <v>462</v>
      </c>
      <c r="C37" s="176" t="s">
        <v>1350</v>
      </c>
      <c r="D37" s="176" t="s">
        <v>1304</v>
      </c>
      <c r="E37" s="176" t="s">
        <v>374</v>
      </c>
      <c r="F37" s="176" t="s">
        <v>1315</v>
      </c>
      <c r="I37" t="s">
        <v>462</v>
      </c>
      <c r="J37" t="s">
        <v>1304</v>
      </c>
      <c r="L37" s="16" t="s">
        <v>462</v>
      </c>
      <c r="N37" t="str">
        <f t="shared" si="0"/>
        <v/>
      </c>
    </row>
    <row r="38" spans="1:14" ht="20" x14ac:dyDescent="0.2">
      <c r="A38" s="176">
        <v>23</v>
      </c>
      <c r="B38" s="174" t="s">
        <v>463</v>
      </c>
      <c r="C38" s="176" t="s">
        <v>1351</v>
      </c>
      <c r="D38" s="176" t="s">
        <v>1301</v>
      </c>
      <c r="E38" s="176" t="s">
        <v>1298</v>
      </c>
      <c r="F38" s="176" t="s">
        <v>1302</v>
      </c>
      <c r="I38" t="s">
        <v>463</v>
      </c>
      <c r="J38" t="s">
        <v>1301</v>
      </c>
      <c r="L38" s="16" t="s">
        <v>463</v>
      </c>
      <c r="N38" t="str">
        <f t="shared" si="0"/>
        <v/>
      </c>
    </row>
    <row r="39" spans="1:14" ht="20" x14ac:dyDescent="0.2">
      <c r="A39" s="176">
        <v>97</v>
      </c>
      <c r="B39" s="174" t="s">
        <v>464</v>
      </c>
      <c r="C39" s="176" t="s">
        <v>1352</v>
      </c>
      <c r="D39" s="176" t="s">
        <v>1314</v>
      </c>
      <c r="E39" s="176" t="s">
        <v>374</v>
      </c>
      <c r="F39" s="176" t="s">
        <v>1315</v>
      </c>
      <c r="I39" t="s">
        <v>464</v>
      </c>
      <c r="J39" t="s">
        <v>1314</v>
      </c>
      <c r="L39" s="16" t="s">
        <v>464</v>
      </c>
      <c r="N39" t="str">
        <f t="shared" si="0"/>
        <v/>
      </c>
    </row>
    <row r="40" spans="1:14" ht="20" x14ac:dyDescent="0.2">
      <c r="A40" s="176">
        <v>24</v>
      </c>
      <c r="B40" s="174" t="s">
        <v>465</v>
      </c>
      <c r="C40" s="176" t="s">
        <v>1353</v>
      </c>
      <c r="D40" s="176" t="s">
        <v>1301</v>
      </c>
      <c r="E40" s="176" t="s">
        <v>1298</v>
      </c>
      <c r="F40" s="176" t="s">
        <v>1302</v>
      </c>
      <c r="I40" t="s">
        <v>465</v>
      </c>
      <c r="J40" t="s">
        <v>1301</v>
      </c>
      <c r="L40" s="16" t="s">
        <v>465</v>
      </c>
      <c r="N40" t="str">
        <f t="shared" si="0"/>
        <v/>
      </c>
    </row>
    <row r="41" spans="1:14" ht="20" x14ac:dyDescent="0.2">
      <c r="A41" s="176">
        <v>77</v>
      </c>
      <c r="B41" s="174" t="s">
        <v>466</v>
      </c>
      <c r="C41" s="176" t="s">
        <v>1354</v>
      </c>
      <c r="D41" s="176" t="s">
        <v>1304</v>
      </c>
      <c r="E41" s="176" t="s">
        <v>374</v>
      </c>
      <c r="F41" s="176" t="s">
        <v>1305</v>
      </c>
      <c r="I41" t="s">
        <v>466</v>
      </c>
      <c r="J41" t="s">
        <v>1304</v>
      </c>
      <c r="L41" t="s">
        <v>466</v>
      </c>
      <c r="N41" t="str">
        <f t="shared" si="0"/>
        <v/>
      </c>
    </row>
    <row r="42" spans="1:14" ht="20" x14ac:dyDescent="0.2">
      <c r="A42" s="176">
        <v>9</v>
      </c>
      <c r="B42" s="177" t="s">
        <v>467</v>
      </c>
      <c r="C42" s="176" t="s">
        <v>1355</v>
      </c>
      <c r="D42" s="176" t="s">
        <v>1304</v>
      </c>
      <c r="E42" s="176" t="s">
        <v>1298</v>
      </c>
      <c r="F42" s="176" t="s">
        <v>1356</v>
      </c>
      <c r="I42" t="s">
        <v>467</v>
      </c>
      <c r="J42" t="s">
        <v>1304</v>
      </c>
      <c r="L42" s="16" t="s">
        <v>467</v>
      </c>
      <c r="N42" t="str">
        <f t="shared" si="0"/>
        <v/>
      </c>
    </row>
    <row r="43" spans="1:14" ht="20" x14ac:dyDescent="0.2">
      <c r="A43" s="176">
        <v>116</v>
      </c>
      <c r="B43" s="174" t="s">
        <v>468</v>
      </c>
      <c r="C43" s="176" t="s">
        <v>1357</v>
      </c>
      <c r="D43" s="176" t="s">
        <v>1301</v>
      </c>
      <c r="E43" s="176" t="s">
        <v>391</v>
      </c>
      <c r="F43" s="176" t="s">
        <v>1337</v>
      </c>
      <c r="I43" t="s">
        <v>468</v>
      </c>
      <c r="J43" t="s">
        <v>1301</v>
      </c>
      <c r="L43" s="16" t="s">
        <v>468</v>
      </c>
      <c r="N43" t="str">
        <f t="shared" si="0"/>
        <v/>
      </c>
    </row>
    <row r="44" spans="1:14" ht="20" x14ac:dyDescent="0.2">
      <c r="A44" s="176">
        <v>130</v>
      </c>
      <c r="B44" s="174" t="s">
        <v>469</v>
      </c>
      <c r="C44" s="176" t="s">
        <v>1358</v>
      </c>
      <c r="D44" s="176" t="s">
        <v>1301</v>
      </c>
      <c r="E44" s="176" t="s">
        <v>391</v>
      </c>
      <c r="F44" s="176" t="s">
        <v>1359</v>
      </c>
      <c r="I44" t="s">
        <v>469</v>
      </c>
      <c r="J44" t="s">
        <v>1301</v>
      </c>
      <c r="L44" s="16" t="s">
        <v>469</v>
      </c>
      <c r="N44" t="str">
        <f t="shared" si="0"/>
        <v/>
      </c>
    </row>
    <row r="45" spans="1:14" ht="20" x14ac:dyDescent="0.2">
      <c r="A45" s="176">
        <v>60</v>
      </c>
      <c r="B45" s="174" t="s">
        <v>470</v>
      </c>
      <c r="C45" s="176" t="s">
        <v>1360</v>
      </c>
      <c r="D45" s="176" t="s">
        <v>1318</v>
      </c>
      <c r="E45" s="176" t="s">
        <v>1298</v>
      </c>
      <c r="F45" s="176" t="s">
        <v>1319</v>
      </c>
      <c r="I45" t="s">
        <v>470</v>
      </c>
      <c r="J45" t="s">
        <v>1318</v>
      </c>
      <c r="L45" s="16" t="s">
        <v>470</v>
      </c>
      <c r="N45" t="str">
        <f t="shared" si="0"/>
        <v/>
      </c>
    </row>
    <row r="46" spans="1:14" ht="20" x14ac:dyDescent="0.2">
      <c r="A46" s="176">
        <v>61</v>
      </c>
      <c r="B46" s="174" t="s">
        <v>471</v>
      </c>
      <c r="C46" s="176" t="s">
        <v>1361</v>
      </c>
      <c r="D46" s="176" t="s">
        <v>1318</v>
      </c>
      <c r="E46" s="176" t="s">
        <v>1298</v>
      </c>
      <c r="F46" s="176" t="s">
        <v>1319</v>
      </c>
      <c r="I46" t="s">
        <v>471</v>
      </c>
      <c r="J46" t="s">
        <v>1318</v>
      </c>
      <c r="L46" s="16" t="s">
        <v>471</v>
      </c>
      <c r="N46" t="str">
        <f t="shared" si="0"/>
        <v/>
      </c>
    </row>
    <row r="47" spans="1:14" ht="20" x14ac:dyDescent="0.2">
      <c r="A47" s="176">
        <v>131</v>
      </c>
      <c r="B47" s="174" t="s">
        <v>472</v>
      </c>
      <c r="C47" s="176" t="s">
        <v>1362</v>
      </c>
      <c r="D47" s="176" t="s">
        <v>1304</v>
      </c>
      <c r="E47" s="176" t="s">
        <v>391</v>
      </c>
      <c r="F47" s="176" t="s">
        <v>1359</v>
      </c>
      <c r="I47" t="s">
        <v>472</v>
      </c>
      <c r="J47" t="s">
        <v>1304</v>
      </c>
      <c r="L47" s="16" t="s">
        <v>472</v>
      </c>
      <c r="N47" t="str">
        <f t="shared" si="0"/>
        <v/>
      </c>
    </row>
    <row r="48" spans="1:14" ht="20" x14ac:dyDescent="0.2">
      <c r="A48" s="176">
        <v>132</v>
      </c>
      <c r="B48" s="174" t="s">
        <v>473</v>
      </c>
      <c r="C48" s="176" t="s">
        <v>1363</v>
      </c>
      <c r="D48" s="176" t="s">
        <v>1304</v>
      </c>
      <c r="E48" s="176" t="s">
        <v>391</v>
      </c>
      <c r="F48" s="176" t="s">
        <v>1359</v>
      </c>
      <c r="I48" t="s">
        <v>473</v>
      </c>
      <c r="J48" t="s">
        <v>1304</v>
      </c>
      <c r="L48" s="16" t="s">
        <v>473</v>
      </c>
      <c r="N48" t="str">
        <f t="shared" si="0"/>
        <v/>
      </c>
    </row>
    <row r="49" spans="1:14" ht="20" x14ac:dyDescent="0.2">
      <c r="A49" s="176">
        <v>127</v>
      </c>
      <c r="B49" s="174" t="s">
        <v>474</v>
      </c>
      <c r="C49" s="176" t="s">
        <v>1364</v>
      </c>
      <c r="D49" s="176" t="s">
        <v>1304</v>
      </c>
      <c r="E49" s="176" t="s">
        <v>391</v>
      </c>
      <c r="F49" s="176" t="s">
        <v>1365</v>
      </c>
      <c r="I49" t="s">
        <v>474</v>
      </c>
      <c r="J49" t="s">
        <v>1304</v>
      </c>
      <c r="L49" t="s">
        <v>474</v>
      </c>
      <c r="N49" t="str">
        <f t="shared" si="0"/>
        <v/>
      </c>
    </row>
    <row r="50" spans="1:14" ht="20" x14ac:dyDescent="0.2">
      <c r="A50" s="176">
        <v>128</v>
      </c>
      <c r="B50" s="174" t="s">
        <v>475</v>
      </c>
      <c r="C50" s="176" t="s">
        <v>1366</v>
      </c>
      <c r="D50" s="176" t="s">
        <v>1304</v>
      </c>
      <c r="E50" s="176" t="s">
        <v>391</v>
      </c>
      <c r="F50" s="176" t="s">
        <v>1365</v>
      </c>
      <c r="I50" t="s">
        <v>475</v>
      </c>
      <c r="J50" t="s">
        <v>1304</v>
      </c>
      <c r="L50" s="16" t="s">
        <v>475</v>
      </c>
      <c r="N50" t="str">
        <f t="shared" si="0"/>
        <v/>
      </c>
    </row>
    <row r="51" spans="1:14" ht="20" x14ac:dyDescent="0.2">
      <c r="A51" s="176">
        <v>7</v>
      </c>
      <c r="B51" s="177" t="s">
        <v>476</v>
      </c>
      <c r="C51" s="176" t="s">
        <v>1367</v>
      </c>
      <c r="D51" s="176" t="s">
        <v>1301</v>
      </c>
      <c r="E51" s="176" t="s">
        <v>1298</v>
      </c>
      <c r="F51" s="176" t="s">
        <v>1356</v>
      </c>
      <c r="I51" t="s">
        <v>476</v>
      </c>
      <c r="J51" t="s">
        <v>1301</v>
      </c>
      <c r="L51" s="16" t="s">
        <v>476</v>
      </c>
      <c r="N51" t="str">
        <f t="shared" si="0"/>
        <v/>
      </c>
    </row>
    <row r="52" spans="1:14" ht="20" x14ac:dyDescent="0.2">
      <c r="A52" s="176">
        <v>142</v>
      </c>
      <c r="B52" s="174" t="s">
        <v>477</v>
      </c>
      <c r="C52" s="176" t="s">
        <v>1368</v>
      </c>
      <c r="D52" s="176" t="s">
        <v>1314</v>
      </c>
      <c r="E52" s="176" t="s">
        <v>391</v>
      </c>
      <c r="F52" s="176" t="s">
        <v>1309</v>
      </c>
      <c r="I52" t="s">
        <v>477</v>
      </c>
      <c r="J52" t="s">
        <v>1314</v>
      </c>
      <c r="L52" s="16" t="s">
        <v>477</v>
      </c>
      <c r="N52" t="str">
        <f t="shared" si="0"/>
        <v/>
      </c>
    </row>
    <row r="53" spans="1:14" ht="20" x14ac:dyDescent="0.2">
      <c r="A53" s="176">
        <v>126</v>
      </c>
      <c r="B53" s="174" t="s">
        <v>478</v>
      </c>
      <c r="C53" s="176" t="s">
        <v>1369</v>
      </c>
      <c r="D53" s="176" t="s">
        <v>1301</v>
      </c>
      <c r="E53" s="176" t="s">
        <v>391</v>
      </c>
      <c r="F53" s="176" t="s">
        <v>1365</v>
      </c>
      <c r="I53" t="s">
        <v>478</v>
      </c>
      <c r="J53" t="s">
        <v>1301</v>
      </c>
      <c r="L53" s="16" t="s">
        <v>478</v>
      </c>
      <c r="N53" t="str">
        <f t="shared" si="0"/>
        <v/>
      </c>
    </row>
    <row r="54" spans="1:14" ht="20" x14ac:dyDescent="0.2">
      <c r="A54" s="176">
        <v>129</v>
      </c>
      <c r="B54" s="174" t="s">
        <v>479</v>
      </c>
      <c r="C54" s="176" t="s">
        <v>1370</v>
      </c>
      <c r="D54" s="176" t="s">
        <v>1304</v>
      </c>
      <c r="E54" s="176" t="s">
        <v>391</v>
      </c>
      <c r="F54" s="176" t="s">
        <v>1365</v>
      </c>
      <c r="I54" t="s">
        <v>479</v>
      </c>
      <c r="J54" t="s">
        <v>1304</v>
      </c>
      <c r="L54" s="16" t="s">
        <v>479</v>
      </c>
      <c r="N54" t="str">
        <f t="shared" si="0"/>
        <v/>
      </c>
    </row>
    <row r="55" spans="1:14" ht="20" x14ac:dyDescent="0.2">
      <c r="A55" s="176">
        <v>100</v>
      </c>
      <c r="B55" s="174" t="s">
        <v>480</v>
      </c>
      <c r="C55" s="176" t="s">
        <v>1371</v>
      </c>
      <c r="D55" s="176" t="s">
        <v>1304</v>
      </c>
      <c r="E55" s="176" t="s">
        <v>374</v>
      </c>
      <c r="F55" s="176" t="s">
        <v>1330</v>
      </c>
      <c r="I55" t="s">
        <v>480</v>
      </c>
      <c r="J55" t="s">
        <v>1304</v>
      </c>
      <c r="L55" s="16" t="s">
        <v>480</v>
      </c>
      <c r="N55" t="str">
        <f t="shared" si="0"/>
        <v/>
      </c>
    </row>
    <row r="56" spans="1:14" ht="20" x14ac:dyDescent="0.2">
      <c r="A56" s="176">
        <v>101</v>
      </c>
      <c r="B56" s="174" t="s">
        <v>481</v>
      </c>
      <c r="C56" s="176" t="s">
        <v>1372</v>
      </c>
      <c r="D56" s="176" t="s">
        <v>1304</v>
      </c>
      <c r="E56" s="176" t="s">
        <v>374</v>
      </c>
      <c r="F56" s="176" t="s">
        <v>1330</v>
      </c>
      <c r="I56" t="s">
        <v>481</v>
      </c>
      <c r="J56" t="s">
        <v>1304</v>
      </c>
      <c r="L56" s="16" t="s">
        <v>481</v>
      </c>
      <c r="N56" t="str">
        <f t="shared" si="0"/>
        <v/>
      </c>
    </row>
    <row r="57" spans="1:14" ht="20" x14ac:dyDescent="0.2">
      <c r="A57" s="176">
        <v>50</v>
      </c>
      <c r="B57" s="174" t="s">
        <v>482</v>
      </c>
      <c r="C57" s="176" t="s">
        <v>1373</v>
      </c>
      <c r="D57" s="176" t="s">
        <v>1318</v>
      </c>
      <c r="E57" s="176" t="s">
        <v>1298</v>
      </c>
      <c r="F57" s="176" t="s">
        <v>1325</v>
      </c>
      <c r="I57" t="s">
        <v>482</v>
      </c>
      <c r="J57" t="s">
        <v>1318</v>
      </c>
      <c r="L57" s="16" t="s">
        <v>482</v>
      </c>
      <c r="N57" t="str">
        <f t="shared" si="0"/>
        <v/>
      </c>
    </row>
    <row r="58" spans="1:14" ht="20" x14ac:dyDescent="0.2">
      <c r="A58" s="176">
        <v>120</v>
      </c>
      <c r="B58" s="174" t="s">
        <v>483</v>
      </c>
      <c r="C58" s="176" t="s">
        <v>1374</v>
      </c>
      <c r="D58" s="176" t="s">
        <v>1304</v>
      </c>
      <c r="E58" s="176" t="s">
        <v>391</v>
      </c>
      <c r="F58" s="176" t="s">
        <v>1337</v>
      </c>
      <c r="I58" t="s">
        <v>483</v>
      </c>
      <c r="J58" t="s">
        <v>1304</v>
      </c>
      <c r="L58" s="16" t="s">
        <v>483</v>
      </c>
      <c r="N58" t="str">
        <f t="shared" si="0"/>
        <v/>
      </c>
    </row>
    <row r="59" spans="1:14" ht="20" x14ac:dyDescent="0.2">
      <c r="A59" s="176">
        <v>70</v>
      </c>
      <c r="B59" s="174" t="s">
        <v>484</v>
      </c>
      <c r="C59" s="176" t="s">
        <v>1375</v>
      </c>
      <c r="D59" s="176" t="s">
        <v>1314</v>
      </c>
      <c r="E59" s="176" t="s">
        <v>1298</v>
      </c>
      <c r="F59" s="176" t="s">
        <v>1307</v>
      </c>
      <c r="I59" t="s">
        <v>484</v>
      </c>
      <c r="J59" t="s">
        <v>1314</v>
      </c>
      <c r="L59" s="16" t="s">
        <v>484</v>
      </c>
      <c r="N59" t="str">
        <f t="shared" si="0"/>
        <v/>
      </c>
    </row>
    <row r="60" spans="1:14" ht="20" x14ac:dyDescent="0.2">
      <c r="A60" s="176">
        <v>47</v>
      </c>
      <c r="B60" s="174" t="s">
        <v>485</v>
      </c>
      <c r="C60" s="176" t="s">
        <v>1376</v>
      </c>
      <c r="D60" s="176" t="s">
        <v>1304</v>
      </c>
      <c r="E60" s="176" t="s">
        <v>1298</v>
      </c>
      <c r="F60" s="176" t="s">
        <v>1325</v>
      </c>
      <c r="I60" t="s">
        <v>485</v>
      </c>
      <c r="J60" t="s">
        <v>1304</v>
      </c>
      <c r="L60" s="16" t="s">
        <v>485</v>
      </c>
      <c r="N60" t="str">
        <f t="shared" si="0"/>
        <v/>
      </c>
    </row>
    <row r="61" spans="1:14" ht="20" x14ac:dyDescent="0.2">
      <c r="A61" s="176">
        <v>78</v>
      </c>
      <c r="B61" s="174" t="s">
        <v>486</v>
      </c>
      <c r="C61" s="176" t="s">
        <v>1377</v>
      </c>
      <c r="D61" s="176" t="s">
        <v>1304</v>
      </c>
      <c r="E61" s="176" t="s">
        <v>374</v>
      </c>
      <c r="F61" s="176" t="s">
        <v>1305</v>
      </c>
      <c r="I61" t="s">
        <v>486</v>
      </c>
      <c r="J61" t="s">
        <v>1304</v>
      </c>
      <c r="L61" s="16" t="s">
        <v>486</v>
      </c>
      <c r="N61" t="str">
        <f t="shared" si="0"/>
        <v/>
      </c>
    </row>
    <row r="62" spans="1:14" ht="20" x14ac:dyDescent="0.2">
      <c r="A62" s="176">
        <v>110</v>
      </c>
      <c r="B62" s="174" t="s">
        <v>487</v>
      </c>
      <c r="C62" s="176" t="s">
        <v>1378</v>
      </c>
      <c r="D62" s="176" t="s">
        <v>1379</v>
      </c>
      <c r="E62" s="176" t="s">
        <v>374</v>
      </c>
      <c r="F62" s="176" t="s">
        <v>1330</v>
      </c>
      <c r="I62" t="s">
        <v>487</v>
      </c>
      <c r="J62" t="s">
        <v>1379</v>
      </c>
      <c r="L62" s="16" t="s">
        <v>487</v>
      </c>
      <c r="N62" t="str">
        <f t="shared" si="0"/>
        <v/>
      </c>
    </row>
    <row r="63" spans="1:14" ht="20" x14ac:dyDescent="0.2">
      <c r="A63" s="176">
        <v>44</v>
      </c>
      <c r="B63" s="174" t="s">
        <v>1380</v>
      </c>
      <c r="C63" s="176" t="s">
        <v>1381</v>
      </c>
      <c r="D63" s="176" t="s">
        <v>1301</v>
      </c>
      <c r="E63" s="176" t="s">
        <v>1298</v>
      </c>
      <c r="F63" s="176" t="s">
        <v>1325</v>
      </c>
      <c r="I63" t="s">
        <v>488</v>
      </c>
      <c r="J63" t="s">
        <v>1301</v>
      </c>
      <c r="L63" s="16" t="s">
        <v>488</v>
      </c>
      <c r="N63" t="str">
        <f t="shared" si="0"/>
        <v/>
      </c>
    </row>
    <row r="64" spans="1:14" ht="20" x14ac:dyDescent="0.2">
      <c r="A64" s="176">
        <v>3</v>
      </c>
      <c r="B64" s="177" t="s">
        <v>489</v>
      </c>
      <c r="C64" s="176" t="s">
        <v>1382</v>
      </c>
      <c r="D64" s="176" t="s">
        <v>1304</v>
      </c>
      <c r="E64" s="176" t="s">
        <v>1298</v>
      </c>
      <c r="F64" s="176" t="s">
        <v>1299</v>
      </c>
      <c r="I64" t="s">
        <v>489</v>
      </c>
      <c r="J64" t="s">
        <v>1304</v>
      </c>
      <c r="L64" s="16" t="s">
        <v>489</v>
      </c>
      <c r="N64" t="str">
        <f t="shared" si="0"/>
        <v/>
      </c>
    </row>
    <row r="65" spans="1:14" ht="20" x14ac:dyDescent="0.2">
      <c r="A65" s="176">
        <v>79</v>
      </c>
      <c r="B65" s="174" t="s">
        <v>490</v>
      </c>
      <c r="C65" s="176" t="s">
        <v>1383</v>
      </c>
      <c r="D65" s="176" t="s">
        <v>1304</v>
      </c>
      <c r="E65" s="176" t="s">
        <v>374</v>
      </c>
      <c r="F65" s="176" t="s">
        <v>1305</v>
      </c>
      <c r="I65" t="s">
        <v>490</v>
      </c>
      <c r="J65" t="s">
        <v>1304</v>
      </c>
      <c r="L65" s="16" t="s">
        <v>490</v>
      </c>
      <c r="N65" t="str">
        <f t="shared" si="0"/>
        <v/>
      </c>
    </row>
    <row r="66" spans="1:14" ht="20" x14ac:dyDescent="0.2">
      <c r="A66" s="176">
        <v>80</v>
      </c>
      <c r="B66" s="174" t="s">
        <v>491</v>
      </c>
      <c r="C66" s="176" t="s">
        <v>1384</v>
      </c>
      <c r="D66" s="176" t="s">
        <v>1304</v>
      </c>
      <c r="E66" s="176" t="s">
        <v>374</v>
      </c>
      <c r="F66" s="176" t="s">
        <v>1305</v>
      </c>
      <c r="I66" t="s">
        <v>491</v>
      </c>
      <c r="J66" t="s">
        <v>1304</v>
      </c>
      <c r="L66" s="16" t="s">
        <v>491</v>
      </c>
      <c r="N66" t="str">
        <f t="shared" ref="N66:N129" si="1">IF(I66=L66,"","X")</f>
        <v/>
      </c>
    </row>
    <row r="67" spans="1:14" ht="20" x14ac:dyDescent="0.2">
      <c r="A67" s="176">
        <v>81</v>
      </c>
      <c r="B67" s="174" t="s">
        <v>492</v>
      </c>
      <c r="C67" s="176" t="s">
        <v>1385</v>
      </c>
      <c r="D67" s="176" t="s">
        <v>1304</v>
      </c>
      <c r="E67" s="176" t="s">
        <v>374</v>
      </c>
      <c r="F67" s="176" t="s">
        <v>1305</v>
      </c>
      <c r="I67" t="s">
        <v>492</v>
      </c>
      <c r="J67" t="s">
        <v>1304</v>
      </c>
      <c r="L67" s="16" t="s">
        <v>492</v>
      </c>
      <c r="N67" t="str">
        <f t="shared" si="1"/>
        <v/>
      </c>
    </row>
    <row r="68" spans="1:14" ht="20" x14ac:dyDescent="0.2">
      <c r="A68" s="176">
        <v>117</v>
      </c>
      <c r="B68" s="174" t="s">
        <v>493</v>
      </c>
      <c r="C68" s="176" t="s">
        <v>1386</v>
      </c>
      <c r="D68" s="176" t="s">
        <v>1301</v>
      </c>
      <c r="E68" s="176" t="s">
        <v>391</v>
      </c>
      <c r="F68" s="176" t="s">
        <v>1337</v>
      </c>
      <c r="I68" t="s">
        <v>493</v>
      </c>
      <c r="J68" t="s">
        <v>1301</v>
      </c>
      <c r="L68" s="16" t="s">
        <v>493</v>
      </c>
      <c r="N68" t="str">
        <f t="shared" si="1"/>
        <v/>
      </c>
    </row>
    <row r="69" spans="1:14" ht="20" x14ac:dyDescent="0.2">
      <c r="A69" s="176">
        <v>10</v>
      </c>
      <c r="B69" s="177" t="s">
        <v>494</v>
      </c>
      <c r="C69" s="176" t="s">
        <v>1387</v>
      </c>
      <c r="D69" s="176" t="s">
        <v>1304</v>
      </c>
      <c r="E69" s="176" t="s">
        <v>1298</v>
      </c>
      <c r="F69" s="176" t="s">
        <v>1356</v>
      </c>
      <c r="I69" t="s">
        <v>494</v>
      </c>
      <c r="J69" t="s">
        <v>1304</v>
      </c>
      <c r="L69" s="16" t="s">
        <v>494</v>
      </c>
      <c r="N69" t="str">
        <f t="shared" si="1"/>
        <v/>
      </c>
    </row>
    <row r="70" spans="1:14" ht="20" x14ac:dyDescent="0.2">
      <c r="A70" s="176">
        <v>11</v>
      </c>
      <c r="B70" s="174" t="s">
        <v>495</v>
      </c>
      <c r="C70" s="176" t="s">
        <v>1388</v>
      </c>
      <c r="D70" s="176" t="s">
        <v>1304</v>
      </c>
      <c r="E70" s="176" t="s">
        <v>1298</v>
      </c>
      <c r="F70" s="176" t="s">
        <v>1356</v>
      </c>
      <c r="I70" t="s">
        <v>495</v>
      </c>
      <c r="J70" t="s">
        <v>1304</v>
      </c>
      <c r="L70" s="16" t="s">
        <v>495</v>
      </c>
      <c r="N70" t="str">
        <f t="shared" si="1"/>
        <v/>
      </c>
    </row>
    <row r="71" spans="1:14" ht="20" x14ac:dyDescent="0.2">
      <c r="A71" s="176">
        <v>17</v>
      </c>
      <c r="B71" s="174" t="s">
        <v>496</v>
      </c>
      <c r="C71" s="176" t="s">
        <v>1389</v>
      </c>
      <c r="D71" s="176" t="s">
        <v>1304</v>
      </c>
      <c r="E71" s="176" t="s">
        <v>1298</v>
      </c>
      <c r="F71" s="176" t="s">
        <v>1323</v>
      </c>
      <c r="I71" t="s">
        <v>496</v>
      </c>
      <c r="J71" t="s">
        <v>1304</v>
      </c>
      <c r="L71" s="16" t="s">
        <v>496</v>
      </c>
      <c r="N71" t="str">
        <f t="shared" si="1"/>
        <v/>
      </c>
    </row>
    <row r="72" spans="1:14" ht="20" x14ac:dyDescent="0.2">
      <c r="A72" s="176">
        <v>18</v>
      </c>
      <c r="B72" s="174" t="s">
        <v>497</v>
      </c>
      <c r="C72" s="176" t="s">
        <v>1390</v>
      </c>
      <c r="D72" s="176" t="s">
        <v>1297</v>
      </c>
      <c r="E72" s="176" t="s">
        <v>1298</v>
      </c>
      <c r="F72" s="176" t="s">
        <v>1323</v>
      </c>
      <c r="I72" t="s">
        <v>497</v>
      </c>
      <c r="J72" t="s">
        <v>1297</v>
      </c>
      <c r="L72" s="16" t="s">
        <v>497</v>
      </c>
      <c r="N72" t="str">
        <f t="shared" si="1"/>
        <v/>
      </c>
    </row>
    <row r="73" spans="1:14" ht="20" x14ac:dyDescent="0.2">
      <c r="A73" s="176">
        <v>4</v>
      </c>
      <c r="B73" s="177" t="s">
        <v>498</v>
      </c>
      <c r="C73" s="176" t="s">
        <v>1391</v>
      </c>
      <c r="D73" s="176" t="s">
        <v>1304</v>
      </c>
      <c r="E73" s="176" t="s">
        <v>1298</v>
      </c>
      <c r="F73" s="176" t="s">
        <v>1299</v>
      </c>
      <c r="I73" t="s">
        <v>498</v>
      </c>
      <c r="J73" t="s">
        <v>1304</v>
      </c>
      <c r="L73" s="16" t="s">
        <v>498</v>
      </c>
      <c r="N73" t="str">
        <f t="shared" si="1"/>
        <v/>
      </c>
    </row>
    <row r="74" spans="1:14" ht="20" x14ac:dyDescent="0.2">
      <c r="A74" s="176">
        <v>121</v>
      </c>
      <c r="B74" s="174" t="s">
        <v>499</v>
      </c>
      <c r="C74" s="176" t="s">
        <v>1392</v>
      </c>
      <c r="D74" s="176" t="s">
        <v>1304</v>
      </c>
      <c r="E74" s="176" t="s">
        <v>391</v>
      </c>
      <c r="F74" s="176" t="s">
        <v>1337</v>
      </c>
      <c r="I74" t="s">
        <v>499</v>
      </c>
      <c r="J74" t="s">
        <v>1304</v>
      </c>
      <c r="L74" s="16" t="s">
        <v>499</v>
      </c>
      <c r="N74" t="str">
        <f t="shared" si="1"/>
        <v/>
      </c>
    </row>
    <row r="75" spans="1:14" ht="20" x14ac:dyDescent="0.2">
      <c r="A75" s="176">
        <v>143</v>
      </c>
      <c r="B75" s="174" t="s">
        <v>500</v>
      </c>
      <c r="C75" s="176" t="s">
        <v>1393</v>
      </c>
      <c r="D75" s="176" t="s">
        <v>1304</v>
      </c>
      <c r="E75" s="176" t="s">
        <v>391</v>
      </c>
      <c r="F75" s="176" t="s">
        <v>1321</v>
      </c>
      <c r="I75" t="s">
        <v>500</v>
      </c>
      <c r="J75" t="s">
        <v>1304</v>
      </c>
      <c r="L75" s="16" t="s">
        <v>500</v>
      </c>
      <c r="N75" t="str">
        <f t="shared" si="1"/>
        <v/>
      </c>
    </row>
    <row r="76" spans="1:14" ht="20" x14ac:dyDescent="0.2">
      <c r="A76" s="176">
        <v>102</v>
      </c>
      <c r="B76" s="174" t="s">
        <v>501</v>
      </c>
      <c r="C76" s="176" t="s">
        <v>1394</v>
      </c>
      <c r="D76" s="176" t="s">
        <v>1304</v>
      </c>
      <c r="E76" s="176" t="s">
        <v>374</v>
      </c>
      <c r="F76" s="176" t="s">
        <v>1330</v>
      </c>
      <c r="I76" t="s">
        <v>501</v>
      </c>
      <c r="J76" t="s">
        <v>1304</v>
      </c>
      <c r="L76" s="16" t="s">
        <v>501</v>
      </c>
      <c r="N76" t="str">
        <f t="shared" si="1"/>
        <v/>
      </c>
    </row>
    <row r="77" spans="1:14" ht="20" x14ac:dyDescent="0.2">
      <c r="A77" s="176">
        <v>103</v>
      </c>
      <c r="B77" s="174" t="s">
        <v>502</v>
      </c>
      <c r="C77" s="176" t="s">
        <v>1395</v>
      </c>
      <c r="D77" s="176" t="s">
        <v>1304</v>
      </c>
      <c r="E77" s="176" t="s">
        <v>374</v>
      </c>
      <c r="F77" s="176" t="s">
        <v>1330</v>
      </c>
      <c r="I77" t="s">
        <v>502</v>
      </c>
      <c r="J77" t="s">
        <v>1304</v>
      </c>
      <c r="L77" s="16" t="s">
        <v>502</v>
      </c>
      <c r="N77" t="str">
        <f t="shared" si="1"/>
        <v/>
      </c>
    </row>
    <row r="78" spans="1:14" ht="20" x14ac:dyDescent="0.2">
      <c r="A78" s="176">
        <v>104</v>
      </c>
      <c r="B78" s="174" t="s">
        <v>503</v>
      </c>
      <c r="C78" s="176" t="s">
        <v>1396</v>
      </c>
      <c r="D78" s="176" t="s">
        <v>1304</v>
      </c>
      <c r="E78" s="176" t="s">
        <v>374</v>
      </c>
      <c r="F78" s="176" t="s">
        <v>1330</v>
      </c>
      <c r="I78" t="s">
        <v>503</v>
      </c>
      <c r="J78" t="s">
        <v>1304</v>
      </c>
      <c r="L78" s="16" t="s">
        <v>503</v>
      </c>
      <c r="N78" t="str">
        <f t="shared" si="1"/>
        <v/>
      </c>
    </row>
    <row r="79" spans="1:14" ht="20" x14ac:dyDescent="0.2">
      <c r="A79" s="176">
        <v>105</v>
      </c>
      <c r="B79" s="174" t="s">
        <v>504</v>
      </c>
      <c r="C79" s="176" t="s">
        <v>1397</v>
      </c>
      <c r="D79" s="176" t="s">
        <v>1304</v>
      </c>
      <c r="E79" s="176" t="s">
        <v>374</v>
      </c>
      <c r="F79" s="176" t="s">
        <v>1330</v>
      </c>
      <c r="I79" t="s">
        <v>504</v>
      </c>
      <c r="J79" t="s">
        <v>1304</v>
      </c>
      <c r="L79" s="16" t="s">
        <v>504</v>
      </c>
      <c r="N79" t="str">
        <f t="shared" si="1"/>
        <v/>
      </c>
    </row>
    <row r="80" spans="1:14" ht="20" x14ac:dyDescent="0.2">
      <c r="A80" s="176">
        <v>51</v>
      </c>
      <c r="B80" s="174" t="s">
        <v>505</v>
      </c>
      <c r="C80" s="176" t="s">
        <v>1398</v>
      </c>
      <c r="D80" s="176"/>
      <c r="E80" s="176"/>
      <c r="F80" s="176" t="s">
        <v>1399</v>
      </c>
      <c r="I80" t="s">
        <v>505</v>
      </c>
      <c r="L80" s="16" t="s">
        <v>505</v>
      </c>
      <c r="N80" t="str">
        <f t="shared" si="1"/>
        <v/>
      </c>
    </row>
    <row r="81" spans="1:14" ht="20" x14ac:dyDescent="0.2">
      <c r="A81" s="176">
        <v>52</v>
      </c>
      <c r="B81" s="174" t="s">
        <v>506</v>
      </c>
      <c r="C81" s="176" t="s">
        <v>1400</v>
      </c>
      <c r="D81" s="176" t="s">
        <v>1314</v>
      </c>
      <c r="E81" s="176" t="s">
        <v>1298</v>
      </c>
      <c r="F81" s="176" t="s">
        <v>1319</v>
      </c>
      <c r="I81" t="s">
        <v>506</v>
      </c>
      <c r="J81" t="s">
        <v>1314</v>
      </c>
      <c r="L81" s="16" t="s">
        <v>506</v>
      </c>
      <c r="N81" t="str">
        <f t="shared" si="1"/>
        <v/>
      </c>
    </row>
    <row r="82" spans="1:14" ht="20" x14ac:dyDescent="0.2">
      <c r="A82" s="176">
        <v>8</v>
      </c>
      <c r="B82" s="177" t="s">
        <v>507</v>
      </c>
      <c r="C82" s="176" t="s">
        <v>1401</v>
      </c>
      <c r="D82" s="176" t="s">
        <v>1301</v>
      </c>
      <c r="E82" s="176" t="s">
        <v>1298</v>
      </c>
      <c r="F82" s="176" t="s">
        <v>1356</v>
      </c>
      <c r="I82" t="s">
        <v>507</v>
      </c>
      <c r="J82" t="s">
        <v>1301</v>
      </c>
      <c r="L82" s="16" t="s">
        <v>507</v>
      </c>
      <c r="N82" t="str">
        <f t="shared" si="1"/>
        <v/>
      </c>
    </row>
    <row r="83" spans="1:14" ht="20" x14ac:dyDescent="0.2">
      <c r="A83" s="176">
        <v>12</v>
      </c>
      <c r="B83" s="174" t="s">
        <v>508</v>
      </c>
      <c r="C83" s="176" t="s">
        <v>1402</v>
      </c>
      <c r="D83" s="176" t="s">
        <v>1304</v>
      </c>
      <c r="E83" s="176" t="s">
        <v>1298</v>
      </c>
      <c r="F83" s="176" t="s">
        <v>1356</v>
      </c>
      <c r="I83" t="s">
        <v>508</v>
      </c>
      <c r="J83" t="s">
        <v>1304</v>
      </c>
      <c r="L83" s="16" t="s">
        <v>508</v>
      </c>
      <c r="N83" t="str">
        <f t="shared" si="1"/>
        <v/>
      </c>
    </row>
    <row r="84" spans="1:14" ht="20" x14ac:dyDescent="0.2">
      <c r="A84" s="176">
        <v>144</v>
      </c>
      <c r="B84" s="174" t="s">
        <v>509</v>
      </c>
      <c r="C84" s="176" t="s">
        <v>1403</v>
      </c>
      <c r="D84" s="176" t="s">
        <v>1304</v>
      </c>
      <c r="E84" s="176" t="s">
        <v>391</v>
      </c>
      <c r="F84" s="176" t="s">
        <v>1321</v>
      </c>
      <c r="I84" t="s">
        <v>509</v>
      </c>
      <c r="J84" t="s">
        <v>1304</v>
      </c>
      <c r="L84" s="16" t="s">
        <v>509</v>
      </c>
      <c r="N84" t="str">
        <f t="shared" si="1"/>
        <v/>
      </c>
    </row>
    <row r="85" spans="1:14" ht="20" x14ac:dyDescent="0.2">
      <c r="A85" s="176">
        <v>152</v>
      </c>
      <c r="B85" s="174" t="s">
        <v>510</v>
      </c>
      <c r="C85" s="176" t="s">
        <v>510</v>
      </c>
      <c r="D85" s="176"/>
      <c r="E85" s="176"/>
      <c r="F85" s="176" t="s">
        <v>1399</v>
      </c>
      <c r="I85" t="s">
        <v>510</v>
      </c>
      <c r="L85" s="16" t="s">
        <v>510</v>
      </c>
      <c r="N85" t="str">
        <f t="shared" si="1"/>
        <v/>
      </c>
    </row>
    <row r="86" spans="1:14" ht="20" x14ac:dyDescent="0.2">
      <c r="A86" s="176">
        <v>53</v>
      </c>
      <c r="B86" s="174" t="s">
        <v>511</v>
      </c>
      <c r="C86" s="176" t="s">
        <v>1404</v>
      </c>
      <c r="D86" s="176" t="s">
        <v>1314</v>
      </c>
      <c r="E86" s="176" t="s">
        <v>1298</v>
      </c>
      <c r="F86" s="176" t="s">
        <v>1319</v>
      </c>
      <c r="I86" t="s">
        <v>511</v>
      </c>
      <c r="J86" t="s">
        <v>1314</v>
      </c>
      <c r="L86" s="16" t="s">
        <v>511</v>
      </c>
      <c r="N86" t="str">
        <f t="shared" si="1"/>
        <v/>
      </c>
    </row>
    <row r="87" spans="1:14" ht="20" x14ac:dyDescent="0.2">
      <c r="A87" s="176">
        <v>71</v>
      </c>
      <c r="B87" s="174" t="s">
        <v>512</v>
      </c>
      <c r="C87" s="176" t="s">
        <v>1405</v>
      </c>
      <c r="D87" s="176" t="s">
        <v>1314</v>
      </c>
      <c r="E87" s="176" t="s">
        <v>1298</v>
      </c>
      <c r="F87" s="176" t="s">
        <v>1307</v>
      </c>
      <c r="I87" t="s">
        <v>512</v>
      </c>
      <c r="J87" t="s">
        <v>1314</v>
      </c>
      <c r="L87" s="16" t="s">
        <v>512</v>
      </c>
      <c r="N87" t="str">
        <f t="shared" si="1"/>
        <v/>
      </c>
    </row>
    <row r="88" spans="1:14" ht="20" x14ac:dyDescent="0.2">
      <c r="A88" s="176">
        <v>86</v>
      </c>
      <c r="B88" s="174" t="s">
        <v>513</v>
      </c>
      <c r="C88" s="176" t="s">
        <v>1406</v>
      </c>
      <c r="D88" s="176" t="s">
        <v>1301</v>
      </c>
      <c r="E88" s="176" t="s">
        <v>374</v>
      </c>
      <c r="F88" s="176" t="s">
        <v>1315</v>
      </c>
      <c r="I88" t="s">
        <v>513</v>
      </c>
      <c r="J88" t="s">
        <v>1301</v>
      </c>
      <c r="L88" s="16" t="s">
        <v>513</v>
      </c>
      <c r="N88" t="str">
        <f t="shared" si="1"/>
        <v/>
      </c>
    </row>
    <row r="89" spans="1:14" ht="20" x14ac:dyDescent="0.2">
      <c r="A89" s="176">
        <v>73</v>
      </c>
      <c r="B89" s="174" t="s">
        <v>514</v>
      </c>
      <c r="C89" s="176" t="s">
        <v>1407</v>
      </c>
      <c r="D89" s="176" t="s">
        <v>1301</v>
      </c>
      <c r="E89" s="176" t="s">
        <v>374</v>
      </c>
      <c r="F89" s="176" t="s">
        <v>1305</v>
      </c>
      <c r="I89" t="s">
        <v>514</v>
      </c>
      <c r="J89" t="s">
        <v>1301</v>
      </c>
      <c r="L89" s="16" t="s">
        <v>514</v>
      </c>
      <c r="N89" t="str">
        <f t="shared" si="1"/>
        <v/>
      </c>
    </row>
    <row r="90" spans="1:14" ht="20" x14ac:dyDescent="0.2">
      <c r="A90" s="176">
        <v>1</v>
      </c>
      <c r="B90" s="177" t="s">
        <v>115</v>
      </c>
      <c r="C90" s="176" t="s">
        <v>1408</v>
      </c>
      <c r="D90" s="176" t="s">
        <v>1301</v>
      </c>
      <c r="E90" s="176" t="s">
        <v>1298</v>
      </c>
      <c r="F90" s="176" t="s">
        <v>1409</v>
      </c>
      <c r="I90" t="s">
        <v>115</v>
      </c>
      <c r="J90" t="s">
        <v>1301</v>
      </c>
      <c r="L90" s="16" t="s">
        <v>115</v>
      </c>
      <c r="N90" t="str">
        <f t="shared" si="1"/>
        <v/>
      </c>
    </row>
    <row r="91" spans="1:14" ht="20" x14ac:dyDescent="0.2">
      <c r="A91" s="176">
        <v>87</v>
      </c>
      <c r="B91" s="174" t="s">
        <v>515</v>
      </c>
      <c r="C91" s="176" t="s">
        <v>1410</v>
      </c>
      <c r="D91" s="176" t="s">
        <v>1301</v>
      </c>
      <c r="E91" s="176" t="s">
        <v>374</v>
      </c>
      <c r="F91" s="176" t="s">
        <v>1315</v>
      </c>
      <c r="I91" t="s">
        <v>515</v>
      </c>
      <c r="J91" t="s">
        <v>1301</v>
      </c>
      <c r="L91" s="16" t="s">
        <v>515</v>
      </c>
      <c r="N91" t="str">
        <f t="shared" si="1"/>
        <v/>
      </c>
    </row>
    <row r="92" spans="1:14" ht="20" x14ac:dyDescent="0.2">
      <c r="A92" s="176">
        <v>111</v>
      </c>
      <c r="B92" s="174" t="s">
        <v>516</v>
      </c>
      <c r="C92" s="176" t="s">
        <v>1411</v>
      </c>
      <c r="D92" s="176" t="s">
        <v>1379</v>
      </c>
      <c r="E92" s="176" t="s">
        <v>374</v>
      </c>
      <c r="F92" s="176" t="s">
        <v>1330</v>
      </c>
      <c r="I92" t="s">
        <v>516</v>
      </c>
      <c r="J92" t="s">
        <v>1379</v>
      </c>
      <c r="L92" s="16" t="s">
        <v>516</v>
      </c>
      <c r="N92" t="str">
        <f t="shared" si="1"/>
        <v/>
      </c>
    </row>
    <row r="93" spans="1:14" ht="20" x14ac:dyDescent="0.2">
      <c r="A93" s="176">
        <v>122</v>
      </c>
      <c r="B93" s="174" t="s">
        <v>517</v>
      </c>
      <c r="C93" s="176" t="s">
        <v>1412</v>
      </c>
      <c r="D93" s="176" t="s">
        <v>1304</v>
      </c>
      <c r="E93" s="176" t="s">
        <v>391</v>
      </c>
      <c r="F93" s="176" t="s">
        <v>1337</v>
      </c>
      <c r="I93" t="s">
        <v>517</v>
      </c>
      <c r="J93" t="s">
        <v>1304</v>
      </c>
      <c r="L93" s="16" t="s">
        <v>517</v>
      </c>
      <c r="N93" t="str">
        <f t="shared" si="1"/>
        <v/>
      </c>
    </row>
    <row r="94" spans="1:14" ht="20" x14ac:dyDescent="0.2">
      <c r="A94" s="176">
        <v>123</v>
      </c>
      <c r="B94" s="174" t="s">
        <v>518</v>
      </c>
      <c r="C94" s="176" t="s">
        <v>1413</v>
      </c>
      <c r="D94" s="176" t="s">
        <v>1304</v>
      </c>
      <c r="E94" s="176" t="s">
        <v>391</v>
      </c>
      <c r="F94" s="176" t="s">
        <v>1337</v>
      </c>
      <c r="I94" t="s">
        <v>518</v>
      </c>
      <c r="J94" t="s">
        <v>1304</v>
      </c>
      <c r="L94" s="16" t="s">
        <v>518</v>
      </c>
      <c r="N94" t="str">
        <f t="shared" si="1"/>
        <v/>
      </c>
    </row>
    <row r="95" spans="1:14" ht="20" x14ac:dyDescent="0.2">
      <c r="A95" s="176">
        <v>5</v>
      </c>
      <c r="B95" s="177" t="s">
        <v>519</v>
      </c>
      <c r="C95" s="176" t="s">
        <v>1414</v>
      </c>
      <c r="D95" s="176" t="s">
        <v>1304</v>
      </c>
      <c r="E95" s="176" t="s">
        <v>1298</v>
      </c>
      <c r="F95" s="176" t="s">
        <v>1299</v>
      </c>
      <c r="I95" t="s">
        <v>519</v>
      </c>
      <c r="J95" t="s">
        <v>1304</v>
      </c>
      <c r="L95" s="16" t="s">
        <v>519</v>
      </c>
      <c r="N95" t="str">
        <f t="shared" si="1"/>
        <v/>
      </c>
    </row>
    <row r="96" spans="1:14" ht="20" x14ac:dyDescent="0.2">
      <c r="A96" s="176">
        <v>124</v>
      </c>
      <c r="B96" s="174" t="s">
        <v>520</v>
      </c>
      <c r="C96" s="176" t="s">
        <v>1415</v>
      </c>
      <c r="D96" s="176" t="s">
        <v>1304</v>
      </c>
      <c r="E96" s="176" t="s">
        <v>391</v>
      </c>
      <c r="F96" s="176" t="s">
        <v>1337</v>
      </c>
      <c r="I96" t="s">
        <v>520</v>
      </c>
      <c r="J96" t="s">
        <v>1304</v>
      </c>
      <c r="L96" s="16" t="s">
        <v>520</v>
      </c>
      <c r="N96" t="str">
        <f t="shared" si="1"/>
        <v/>
      </c>
    </row>
    <row r="97" spans="1:15" ht="20" x14ac:dyDescent="0.2">
      <c r="A97" s="176">
        <v>125</v>
      </c>
      <c r="B97" s="174" t="s">
        <v>521</v>
      </c>
      <c r="C97" s="176" t="s">
        <v>1416</v>
      </c>
      <c r="D97" s="176" t="s">
        <v>1304</v>
      </c>
      <c r="E97" s="176" t="s">
        <v>391</v>
      </c>
      <c r="F97" s="176" t="s">
        <v>1337</v>
      </c>
      <c r="I97" t="s">
        <v>521</v>
      </c>
      <c r="J97" t="s">
        <v>1304</v>
      </c>
      <c r="L97" s="16" t="s">
        <v>521</v>
      </c>
      <c r="N97" t="str">
        <f t="shared" si="1"/>
        <v/>
      </c>
    </row>
    <row r="98" spans="1:15" ht="20" x14ac:dyDescent="0.2">
      <c r="A98" s="176">
        <v>30</v>
      </c>
      <c r="B98" s="174" t="s">
        <v>522</v>
      </c>
      <c r="C98" s="176" t="s">
        <v>1417</v>
      </c>
      <c r="D98" s="176" t="s">
        <v>1304</v>
      </c>
      <c r="E98" s="176" t="s">
        <v>1298</v>
      </c>
      <c r="F98" s="176" t="s">
        <v>1302</v>
      </c>
      <c r="I98" t="s">
        <v>522</v>
      </c>
      <c r="J98" t="s">
        <v>1304</v>
      </c>
      <c r="L98" s="16" t="s">
        <v>522</v>
      </c>
      <c r="N98" t="str">
        <f t="shared" si="1"/>
        <v/>
      </c>
    </row>
    <row r="99" spans="1:15" ht="20" x14ac:dyDescent="0.2">
      <c r="A99" s="176">
        <v>31</v>
      </c>
      <c r="B99" s="174" t="s">
        <v>523</v>
      </c>
      <c r="C99" s="176" t="s">
        <v>1418</v>
      </c>
      <c r="D99" s="176" t="s">
        <v>1304</v>
      </c>
      <c r="E99" s="176" t="s">
        <v>1298</v>
      </c>
      <c r="F99" s="176" t="s">
        <v>1302</v>
      </c>
      <c r="I99" t="s">
        <v>523</v>
      </c>
      <c r="J99" t="s">
        <v>1304</v>
      </c>
      <c r="L99" t="s">
        <v>523</v>
      </c>
      <c r="N99" t="str">
        <f t="shared" si="1"/>
        <v/>
      </c>
    </row>
    <row r="100" spans="1:15" ht="20" x14ac:dyDescent="0.2">
      <c r="A100" s="176">
        <v>32</v>
      </c>
      <c r="B100" s="174" t="s">
        <v>524</v>
      </c>
      <c r="C100" s="176" t="s">
        <v>1419</v>
      </c>
      <c r="D100" s="176" t="s">
        <v>1304</v>
      </c>
      <c r="E100" s="176" t="s">
        <v>1298</v>
      </c>
      <c r="F100" s="176" t="s">
        <v>1302</v>
      </c>
      <c r="I100" t="s">
        <v>524</v>
      </c>
      <c r="J100" t="s">
        <v>1304</v>
      </c>
      <c r="L100" t="s">
        <v>524</v>
      </c>
      <c r="N100" t="str">
        <f t="shared" si="1"/>
        <v/>
      </c>
    </row>
    <row r="101" spans="1:15" ht="20" x14ac:dyDescent="0.2">
      <c r="A101" s="176">
        <v>83</v>
      </c>
      <c r="B101" s="174" t="s">
        <v>526</v>
      </c>
      <c r="C101" s="176" t="s">
        <v>1420</v>
      </c>
      <c r="D101" s="176" t="s">
        <v>1297</v>
      </c>
      <c r="E101" s="176" t="s">
        <v>374</v>
      </c>
      <c r="F101" s="176" t="s">
        <v>1305</v>
      </c>
      <c r="L101" s="16" t="s">
        <v>525</v>
      </c>
      <c r="N101" t="str">
        <f t="shared" si="1"/>
        <v>X</v>
      </c>
      <c r="O101" s="16" t="s">
        <v>525</v>
      </c>
    </row>
    <row r="102" spans="1:15" ht="20" x14ac:dyDescent="0.2">
      <c r="A102" s="176">
        <v>82</v>
      </c>
      <c r="B102" s="174" t="s">
        <v>528</v>
      </c>
      <c r="C102" s="176" t="s">
        <v>1421</v>
      </c>
      <c r="D102" s="176" t="s">
        <v>1304</v>
      </c>
      <c r="E102" s="176" t="s">
        <v>374</v>
      </c>
      <c r="F102" s="176" t="s">
        <v>1305</v>
      </c>
      <c r="I102" t="s">
        <v>526</v>
      </c>
      <c r="J102" t="s">
        <v>1297</v>
      </c>
      <c r="L102" s="16" t="s">
        <v>526</v>
      </c>
      <c r="N102" t="str">
        <f t="shared" si="1"/>
        <v/>
      </c>
    </row>
    <row r="103" spans="1:15" ht="20" x14ac:dyDescent="0.2">
      <c r="A103" s="176">
        <v>94</v>
      </c>
      <c r="B103" s="174" t="s">
        <v>529</v>
      </c>
      <c r="C103" s="176" t="s">
        <v>1422</v>
      </c>
      <c r="D103" s="176" t="s">
        <v>1304</v>
      </c>
      <c r="E103" s="176" t="s">
        <v>374</v>
      </c>
      <c r="F103" s="176" t="s">
        <v>1315</v>
      </c>
      <c r="L103" s="16" t="s">
        <v>527</v>
      </c>
      <c r="N103" t="str">
        <f t="shared" si="1"/>
        <v>X</v>
      </c>
      <c r="O103" s="16" t="s">
        <v>527</v>
      </c>
    </row>
    <row r="104" spans="1:15" ht="20" x14ac:dyDescent="0.2">
      <c r="A104" s="176">
        <v>95</v>
      </c>
      <c r="B104" s="174" t="s">
        <v>530</v>
      </c>
      <c r="C104" s="176" t="s">
        <v>1423</v>
      </c>
      <c r="D104" s="176" t="s">
        <v>1297</v>
      </c>
      <c r="E104" s="176" t="s">
        <v>374</v>
      </c>
      <c r="F104" s="176" t="s">
        <v>1315</v>
      </c>
      <c r="I104" t="s">
        <v>528</v>
      </c>
      <c r="J104" t="s">
        <v>1304</v>
      </c>
      <c r="L104" s="16" t="s">
        <v>528</v>
      </c>
      <c r="N104" t="str">
        <f t="shared" si="1"/>
        <v/>
      </c>
    </row>
    <row r="105" spans="1:15" ht="20" x14ac:dyDescent="0.2">
      <c r="A105" s="176">
        <v>106</v>
      </c>
      <c r="B105" s="174" t="s">
        <v>531</v>
      </c>
      <c r="C105" s="176" t="s">
        <v>1424</v>
      </c>
      <c r="D105" s="176" t="s">
        <v>1304</v>
      </c>
      <c r="E105" s="176" t="s">
        <v>374</v>
      </c>
      <c r="F105" s="176" t="s">
        <v>1330</v>
      </c>
      <c r="I105" t="s">
        <v>529</v>
      </c>
      <c r="J105" t="s">
        <v>1304</v>
      </c>
      <c r="L105" s="16" t="s">
        <v>529</v>
      </c>
      <c r="N105" t="str">
        <f t="shared" si="1"/>
        <v/>
      </c>
    </row>
    <row r="106" spans="1:15" ht="20" x14ac:dyDescent="0.2">
      <c r="A106" s="176">
        <v>19</v>
      </c>
      <c r="B106" s="174" t="s">
        <v>532</v>
      </c>
      <c r="C106" s="176" t="s">
        <v>1425</v>
      </c>
      <c r="D106" s="176" t="s">
        <v>1297</v>
      </c>
      <c r="E106" s="176" t="s">
        <v>1298</v>
      </c>
      <c r="F106" s="176" t="s">
        <v>1323</v>
      </c>
      <c r="I106" t="s">
        <v>530</v>
      </c>
      <c r="J106" t="s">
        <v>1297</v>
      </c>
      <c r="L106" s="16" t="s">
        <v>530</v>
      </c>
      <c r="N106" t="str">
        <f t="shared" si="1"/>
        <v/>
      </c>
    </row>
    <row r="107" spans="1:15" ht="20" x14ac:dyDescent="0.2">
      <c r="A107" s="176">
        <v>25</v>
      </c>
      <c r="B107" s="174" t="s">
        <v>533</v>
      </c>
      <c r="C107" s="176" t="s">
        <v>1426</v>
      </c>
      <c r="D107" s="176" t="s">
        <v>1301</v>
      </c>
      <c r="E107" s="176" t="s">
        <v>1298</v>
      </c>
      <c r="F107" s="176" t="s">
        <v>1302</v>
      </c>
      <c r="I107" t="s">
        <v>531</v>
      </c>
      <c r="J107" t="s">
        <v>1304</v>
      </c>
      <c r="L107" s="16" t="s">
        <v>531</v>
      </c>
      <c r="N107" t="str">
        <f t="shared" si="1"/>
        <v/>
      </c>
    </row>
    <row r="108" spans="1:15" ht="20" x14ac:dyDescent="0.2">
      <c r="A108" s="176">
        <v>54</v>
      </c>
      <c r="B108" s="174" t="s">
        <v>534</v>
      </c>
      <c r="C108" s="176" t="s">
        <v>1427</v>
      </c>
      <c r="D108" s="176" t="s">
        <v>1314</v>
      </c>
      <c r="E108" s="176" t="s">
        <v>1298</v>
      </c>
      <c r="F108" s="176" t="s">
        <v>1319</v>
      </c>
      <c r="I108" t="s">
        <v>532</v>
      </c>
      <c r="J108" t="s">
        <v>1297</v>
      </c>
      <c r="L108" s="16" t="s">
        <v>532</v>
      </c>
      <c r="N108" t="str">
        <f t="shared" si="1"/>
        <v/>
      </c>
    </row>
    <row r="109" spans="1:15" ht="20" x14ac:dyDescent="0.2">
      <c r="A109" s="176">
        <v>55</v>
      </c>
      <c r="B109" s="174" t="s">
        <v>535</v>
      </c>
      <c r="C109" s="176" t="s">
        <v>1428</v>
      </c>
      <c r="D109" s="176" t="s">
        <v>1314</v>
      </c>
      <c r="E109" s="176" t="s">
        <v>1298</v>
      </c>
      <c r="F109" s="176" t="s">
        <v>1319</v>
      </c>
      <c r="I109" t="s">
        <v>533</v>
      </c>
      <c r="J109" t="s">
        <v>1301</v>
      </c>
      <c r="L109" s="16" t="s">
        <v>533</v>
      </c>
      <c r="N109" t="str">
        <f t="shared" si="1"/>
        <v/>
      </c>
    </row>
    <row r="110" spans="1:15" ht="20" x14ac:dyDescent="0.2">
      <c r="A110" s="176">
        <v>56</v>
      </c>
      <c r="B110" s="174" t="s">
        <v>536</v>
      </c>
      <c r="C110" s="176" t="s">
        <v>1429</v>
      </c>
      <c r="D110" s="176" t="s">
        <v>1430</v>
      </c>
      <c r="E110" s="176" t="s">
        <v>1298</v>
      </c>
      <c r="F110" s="176" t="s">
        <v>1319</v>
      </c>
      <c r="I110" t="s">
        <v>534</v>
      </c>
      <c r="J110" t="s">
        <v>1314</v>
      </c>
      <c r="L110" s="16" t="s">
        <v>534</v>
      </c>
      <c r="N110" t="str">
        <f t="shared" si="1"/>
        <v/>
      </c>
    </row>
    <row r="111" spans="1:15" ht="20" x14ac:dyDescent="0.2">
      <c r="A111" s="176">
        <v>43</v>
      </c>
      <c r="B111" s="174" t="s">
        <v>537</v>
      </c>
      <c r="C111" s="176" t="s">
        <v>1431</v>
      </c>
      <c r="D111" s="176" t="s">
        <v>1318</v>
      </c>
      <c r="E111" s="176" t="s">
        <v>1298</v>
      </c>
      <c r="F111" s="176" t="s">
        <v>1302</v>
      </c>
      <c r="I111" t="s">
        <v>535</v>
      </c>
      <c r="J111" t="s">
        <v>1314</v>
      </c>
      <c r="L111" s="16" t="s">
        <v>535</v>
      </c>
      <c r="N111" t="str">
        <f t="shared" si="1"/>
        <v/>
      </c>
    </row>
    <row r="112" spans="1:15" ht="20" x14ac:dyDescent="0.2">
      <c r="A112" s="176">
        <v>13</v>
      </c>
      <c r="B112" s="174" t="s">
        <v>538</v>
      </c>
      <c r="C112" s="176" t="s">
        <v>1432</v>
      </c>
      <c r="D112" s="176" t="s">
        <v>1297</v>
      </c>
      <c r="E112" s="176" t="s">
        <v>1298</v>
      </c>
      <c r="F112" s="176" t="s">
        <v>1356</v>
      </c>
      <c r="I112" t="s">
        <v>536</v>
      </c>
      <c r="J112" t="s">
        <v>1430</v>
      </c>
      <c r="L112" s="16" t="s">
        <v>536</v>
      </c>
      <c r="N112" t="str">
        <f t="shared" si="1"/>
        <v/>
      </c>
    </row>
    <row r="113" spans="1:14" ht="20" x14ac:dyDescent="0.2">
      <c r="A113" s="176">
        <v>14</v>
      </c>
      <c r="B113" s="174" t="s">
        <v>539</v>
      </c>
      <c r="C113" s="176" t="s">
        <v>1433</v>
      </c>
      <c r="D113" s="176" t="s">
        <v>1297</v>
      </c>
      <c r="E113" s="176" t="s">
        <v>1298</v>
      </c>
      <c r="F113" s="176" t="s">
        <v>1356</v>
      </c>
      <c r="I113" t="s">
        <v>537</v>
      </c>
      <c r="J113" t="s">
        <v>1318</v>
      </c>
      <c r="L113" s="16" t="s">
        <v>537</v>
      </c>
      <c r="N113" t="str">
        <f t="shared" si="1"/>
        <v/>
      </c>
    </row>
    <row r="114" spans="1:14" ht="20" x14ac:dyDescent="0.2">
      <c r="A114" s="176">
        <v>33</v>
      </c>
      <c r="B114" s="174" t="s">
        <v>540</v>
      </c>
      <c r="C114" s="176" t="s">
        <v>1434</v>
      </c>
      <c r="D114" s="176" t="s">
        <v>1304</v>
      </c>
      <c r="E114" s="176" t="s">
        <v>1298</v>
      </c>
      <c r="F114" s="176" t="s">
        <v>1302</v>
      </c>
      <c r="I114" t="s">
        <v>538</v>
      </c>
      <c r="J114" t="s">
        <v>1297</v>
      </c>
      <c r="L114" s="16" t="s">
        <v>538</v>
      </c>
      <c r="N114" t="str">
        <f t="shared" si="1"/>
        <v/>
      </c>
    </row>
    <row r="115" spans="1:14" ht="20" x14ac:dyDescent="0.2">
      <c r="A115" s="176">
        <v>34</v>
      </c>
      <c r="B115" s="174" t="s">
        <v>541</v>
      </c>
      <c r="C115" s="176" t="s">
        <v>1435</v>
      </c>
      <c r="D115" s="176" t="s">
        <v>1304</v>
      </c>
      <c r="E115" s="176" t="s">
        <v>1298</v>
      </c>
      <c r="F115" s="176" t="s">
        <v>1302</v>
      </c>
      <c r="I115" t="s">
        <v>539</v>
      </c>
      <c r="J115" t="s">
        <v>1297</v>
      </c>
      <c r="L115" s="16" t="s">
        <v>539</v>
      </c>
      <c r="N115" t="str">
        <f t="shared" si="1"/>
        <v/>
      </c>
    </row>
    <row r="116" spans="1:14" ht="20" x14ac:dyDescent="0.2">
      <c r="A116" s="176">
        <v>35</v>
      </c>
      <c r="B116" s="174" t="s">
        <v>542</v>
      </c>
      <c r="C116" s="176" t="s">
        <v>1436</v>
      </c>
      <c r="D116" s="176" t="s">
        <v>1304</v>
      </c>
      <c r="E116" s="176" t="s">
        <v>1298</v>
      </c>
      <c r="F116" s="176" t="s">
        <v>1302</v>
      </c>
      <c r="I116" t="s">
        <v>540</v>
      </c>
      <c r="J116" t="s">
        <v>1304</v>
      </c>
      <c r="L116" s="16" t="s">
        <v>540</v>
      </c>
      <c r="N116" t="str">
        <f t="shared" si="1"/>
        <v/>
      </c>
    </row>
    <row r="117" spans="1:14" ht="20" x14ac:dyDescent="0.2">
      <c r="A117" s="176">
        <v>36</v>
      </c>
      <c r="B117" s="174" t="s">
        <v>543</v>
      </c>
      <c r="C117" s="176" t="s">
        <v>1437</v>
      </c>
      <c r="D117" s="176" t="s">
        <v>1304</v>
      </c>
      <c r="E117" s="176" t="s">
        <v>1298</v>
      </c>
      <c r="F117" s="176" t="s">
        <v>1302</v>
      </c>
      <c r="I117" t="s">
        <v>541</v>
      </c>
      <c r="J117" t="s">
        <v>1304</v>
      </c>
      <c r="L117" s="16" t="s">
        <v>541</v>
      </c>
      <c r="N117" t="str">
        <f t="shared" si="1"/>
        <v/>
      </c>
    </row>
    <row r="118" spans="1:14" ht="20" x14ac:dyDescent="0.2">
      <c r="A118" s="176">
        <v>37</v>
      </c>
      <c r="B118" s="174" t="s">
        <v>544</v>
      </c>
      <c r="C118" s="176" t="s">
        <v>1438</v>
      </c>
      <c r="D118" s="176" t="s">
        <v>1304</v>
      </c>
      <c r="E118" s="176" t="s">
        <v>1298</v>
      </c>
      <c r="F118" s="176" t="s">
        <v>1302</v>
      </c>
      <c r="I118" t="s">
        <v>542</v>
      </c>
      <c r="J118" t="s">
        <v>1304</v>
      </c>
      <c r="L118" s="16" t="s">
        <v>542</v>
      </c>
      <c r="N118" t="str">
        <f t="shared" si="1"/>
        <v/>
      </c>
    </row>
    <row r="119" spans="1:14" ht="20" x14ac:dyDescent="0.2">
      <c r="A119" s="176">
        <v>98</v>
      </c>
      <c r="B119" s="174" t="s">
        <v>545</v>
      </c>
      <c r="C119" s="176" t="s">
        <v>1439</v>
      </c>
      <c r="D119" s="176" t="s">
        <v>1314</v>
      </c>
      <c r="E119" s="176" t="s">
        <v>374</v>
      </c>
      <c r="F119" s="176" t="s">
        <v>1315</v>
      </c>
      <c r="I119" t="s">
        <v>543</v>
      </c>
      <c r="J119" t="s">
        <v>1304</v>
      </c>
      <c r="L119" s="16" t="s">
        <v>543</v>
      </c>
      <c r="N119" t="str">
        <f t="shared" si="1"/>
        <v/>
      </c>
    </row>
    <row r="120" spans="1:14" ht="20" x14ac:dyDescent="0.2">
      <c r="A120" s="176">
        <v>48</v>
      </c>
      <c r="B120" s="174" t="s">
        <v>546</v>
      </c>
      <c r="C120" s="176" t="s">
        <v>1440</v>
      </c>
      <c r="D120" s="176" t="s">
        <v>1304</v>
      </c>
      <c r="E120" s="176" t="s">
        <v>1298</v>
      </c>
      <c r="F120" s="176" t="s">
        <v>1325</v>
      </c>
      <c r="I120" t="s">
        <v>544</v>
      </c>
      <c r="J120" t="s">
        <v>1304</v>
      </c>
      <c r="L120" s="16" t="s">
        <v>544</v>
      </c>
      <c r="N120" t="str">
        <f t="shared" si="1"/>
        <v/>
      </c>
    </row>
    <row r="121" spans="1:14" ht="20" x14ac:dyDescent="0.2">
      <c r="A121" s="176">
        <v>49</v>
      </c>
      <c r="B121" s="174" t="s">
        <v>547</v>
      </c>
      <c r="C121" s="176" t="s">
        <v>1441</v>
      </c>
      <c r="D121" s="176" t="s">
        <v>1304</v>
      </c>
      <c r="E121" s="176" t="s">
        <v>1298</v>
      </c>
      <c r="F121" s="176" t="s">
        <v>1325</v>
      </c>
      <c r="I121" t="s">
        <v>545</v>
      </c>
      <c r="J121" t="s">
        <v>1314</v>
      </c>
      <c r="L121" s="16" t="s">
        <v>545</v>
      </c>
      <c r="N121" t="str">
        <f t="shared" si="1"/>
        <v/>
      </c>
    </row>
    <row r="122" spans="1:14" ht="20" x14ac:dyDescent="0.2">
      <c r="A122" s="176">
        <v>20</v>
      </c>
      <c r="B122" s="174" t="s">
        <v>548</v>
      </c>
      <c r="C122" s="176" t="s">
        <v>1442</v>
      </c>
      <c r="D122" s="176" t="s">
        <v>1297</v>
      </c>
      <c r="E122" s="176" t="s">
        <v>1298</v>
      </c>
      <c r="F122" s="176" t="s">
        <v>1323</v>
      </c>
      <c r="I122" t="s">
        <v>546</v>
      </c>
      <c r="J122" t="s">
        <v>1304</v>
      </c>
      <c r="L122" s="16" t="s">
        <v>546</v>
      </c>
      <c r="N122" t="str">
        <f t="shared" si="1"/>
        <v/>
      </c>
    </row>
    <row r="123" spans="1:14" ht="20" x14ac:dyDescent="0.2">
      <c r="A123" s="176">
        <v>57</v>
      </c>
      <c r="B123" s="174" t="s">
        <v>549</v>
      </c>
      <c r="C123" s="176" t="s">
        <v>1443</v>
      </c>
      <c r="D123" s="176" t="s">
        <v>1314</v>
      </c>
      <c r="E123" s="176" t="s">
        <v>1298</v>
      </c>
      <c r="F123" s="176" t="s">
        <v>1319</v>
      </c>
      <c r="I123" t="s">
        <v>547</v>
      </c>
      <c r="J123" t="s">
        <v>1304</v>
      </c>
      <c r="L123" s="16" t="s">
        <v>547</v>
      </c>
      <c r="N123" t="str">
        <f t="shared" si="1"/>
        <v/>
      </c>
    </row>
    <row r="124" spans="1:14" ht="20" x14ac:dyDescent="0.2">
      <c r="A124" s="176">
        <v>38</v>
      </c>
      <c r="B124" s="174" t="s">
        <v>550</v>
      </c>
      <c r="C124" s="176" t="s">
        <v>1444</v>
      </c>
      <c r="D124" s="176" t="s">
        <v>1304</v>
      </c>
      <c r="E124" s="176" t="s">
        <v>1298</v>
      </c>
      <c r="F124" s="176" t="s">
        <v>1302</v>
      </c>
      <c r="I124" t="s">
        <v>548</v>
      </c>
      <c r="J124" t="s">
        <v>1297</v>
      </c>
      <c r="L124" s="16" t="s">
        <v>548</v>
      </c>
      <c r="N124" t="str">
        <f t="shared" si="1"/>
        <v/>
      </c>
    </row>
    <row r="125" spans="1:14" ht="20" x14ac:dyDescent="0.2">
      <c r="A125" s="176">
        <v>107</v>
      </c>
      <c r="B125" s="174" t="s">
        <v>551</v>
      </c>
      <c r="C125" s="176" t="s">
        <v>1445</v>
      </c>
      <c r="D125" s="176" t="s">
        <v>1304</v>
      </c>
      <c r="E125" s="176" t="s">
        <v>374</v>
      </c>
      <c r="F125" s="176" t="s">
        <v>1330</v>
      </c>
      <c r="I125" t="s">
        <v>549</v>
      </c>
      <c r="J125" t="s">
        <v>1314</v>
      </c>
      <c r="L125" s="16" t="s">
        <v>549</v>
      </c>
      <c r="N125" t="str">
        <f t="shared" si="1"/>
        <v/>
      </c>
    </row>
    <row r="126" spans="1:14" ht="20" x14ac:dyDescent="0.2">
      <c r="A126" s="176">
        <v>108</v>
      </c>
      <c r="B126" s="174" t="s">
        <v>552</v>
      </c>
      <c r="C126" s="176" t="s">
        <v>1446</v>
      </c>
      <c r="D126" s="176" t="s">
        <v>1304</v>
      </c>
      <c r="E126" s="176" t="s">
        <v>374</v>
      </c>
      <c r="F126" s="176" t="s">
        <v>1330</v>
      </c>
      <c r="I126" t="s">
        <v>550</v>
      </c>
      <c r="J126" t="s">
        <v>1304</v>
      </c>
      <c r="L126" s="16" t="s">
        <v>550</v>
      </c>
      <c r="N126" t="str">
        <f t="shared" si="1"/>
        <v/>
      </c>
    </row>
    <row r="127" spans="1:14" ht="20" x14ac:dyDescent="0.2">
      <c r="A127" s="176">
        <v>26</v>
      </c>
      <c r="B127" s="174" t="s">
        <v>553</v>
      </c>
      <c r="C127" s="176" t="s">
        <v>1447</v>
      </c>
      <c r="D127" s="176" t="s">
        <v>1301</v>
      </c>
      <c r="E127" s="176" t="s">
        <v>1298</v>
      </c>
      <c r="F127" s="176" t="s">
        <v>1302</v>
      </c>
      <c r="I127" t="s">
        <v>551</v>
      </c>
      <c r="J127" t="s">
        <v>1304</v>
      </c>
      <c r="L127" s="16" t="s">
        <v>551</v>
      </c>
      <c r="N127" t="str">
        <f t="shared" si="1"/>
        <v/>
      </c>
    </row>
    <row r="128" spans="1:14" ht="20" x14ac:dyDescent="0.2">
      <c r="A128" s="176">
        <v>27</v>
      </c>
      <c r="B128" s="174" t="s">
        <v>554</v>
      </c>
      <c r="C128" s="176" t="s">
        <v>1448</v>
      </c>
      <c r="D128" s="176" t="s">
        <v>1301</v>
      </c>
      <c r="E128" s="176" t="s">
        <v>1298</v>
      </c>
      <c r="F128" s="176" t="s">
        <v>1302</v>
      </c>
      <c r="I128" t="s">
        <v>552</v>
      </c>
      <c r="J128" t="s">
        <v>1304</v>
      </c>
      <c r="L128" s="16" t="s">
        <v>552</v>
      </c>
      <c r="N128" t="str">
        <f t="shared" si="1"/>
        <v/>
      </c>
    </row>
    <row r="129" spans="1:14" ht="20" x14ac:dyDescent="0.2">
      <c r="A129" s="176">
        <v>138</v>
      </c>
      <c r="B129" s="174" t="s">
        <v>555</v>
      </c>
      <c r="C129" s="176" t="s">
        <v>1449</v>
      </c>
      <c r="D129" s="176" t="s">
        <v>1304</v>
      </c>
      <c r="E129" s="176" t="s">
        <v>391</v>
      </c>
      <c r="F129" s="176" t="s">
        <v>1309</v>
      </c>
      <c r="I129" t="s">
        <v>553</v>
      </c>
      <c r="J129" t="s">
        <v>1301</v>
      </c>
      <c r="L129" s="16" t="s">
        <v>553</v>
      </c>
      <c r="N129" t="str">
        <f t="shared" si="1"/>
        <v/>
      </c>
    </row>
    <row r="130" spans="1:14" ht="20" x14ac:dyDescent="0.2">
      <c r="A130" s="176">
        <v>147</v>
      </c>
      <c r="B130" s="174" t="s">
        <v>556</v>
      </c>
      <c r="C130" s="176" t="s">
        <v>1450</v>
      </c>
      <c r="D130" s="176" t="s">
        <v>1314</v>
      </c>
      <c r="E130" s="176" t="s">
        <v>391</v>
      </c>
      <c r="F130" s="176" t="s">
        <v>1321</v>
      </c>
      <c r="I130" t="s">
        <v>554</v>
      </c>
      <c r="J130" t="s">
        <v>1301</v>
      </c>
      <c r="L130" s="16" t="s">
        <v>554</v>
      </c>
      <c r="N130" t="str">
        <f t="shared" ref="N130:N156" si="2">IF(I130=L130,"","X")</f>
        <v/>
      </c>
    </row>
    <row r="131" spans="1:14" ht="20" x14ac:dyDescent="0.2">
      <c r="A131" s="176">
        <v>133</v>
      </c>
      <c r="B131" s="174" t="s">
        <v>557</v>
      </c>
      <c r="C131" s="176" t="s">
        <v>1451</v>
      </c>
      <c r="D131" s="176" t="s">
        <v>1304</v>
      </c>
      <c r="E131" s="176" t="s">
        <v>391</v>
      </c>
      <c r="F131" s="176" t="s">
        <v>1359</v>
      </c>
      <c r="I131" t="s">
        <v>555</v>
      </c>
      <c r="J131" t="s">
        <v>1304</v>
      </c>
      <c r="L131" s="16" t="s">
        <v>555</v>
      </c>
      <c r="N131" t="str">
        <f t="shared" si="2"/>
        <v/>
      </c>
    </row>
    <row r="132" spans="1:14" ht="20" x14ac:dyDescent="0.2">
      <c r="A132" s="176">
        <v>134</v>
      </c>
      <c r="B132" s="174" t="s">
        <v>558</v>
      </c>
      <c r="C132" s="176" t="s">
        <v>1452</v>
      </c>
      <c r="D132" s="176" t="s">
        <v>1304</v>
      </c>
      <c r="E132" s="176" t="s">
        <v>391</v>
      </c>
      <c r="F132" s="176" t="s">
        <v>1359</v>
      </c>
      <c r="I132" t="s">
        <v>556</v>
      </c>
      <c r="J132" t="s">
        <v>1314</v>
      </c>
      <c r="L132" s="16" t="s">
        <v>556</v>
      </c>
      <c r="N132" t="str">
        <f t="shared" si="2"/>
        <v/>
      </c>
    </row>
    <row r="133" spans="1:14" ht="20" x14ac:dyDescent="0.2">
      <c r="A133" s="176">
        <v>109</v>
      </c>
      <c r="B133" s="174" t="s">
        <v>559</v>
      </c>
      <c r="C133" s="176" t="s">
        <v>1453</v>
      </c>
      <c r="D133" s="176" t="s">
        <v>1304</v>
      </c>
      <c r="E133" s="176" t="s">
        <v>374</v>
      </c>
      <c r="F133" s="176" t="s">
        <v>1330</v>
      </c>
      <c r="I133" t="s">
        <v>557</v>
      </c>
      <c r="J133" t="s">
        <v>1304</v>
      </c>
      <c r="L133" s="16" t="s">
        <v>557</v>
      </c>
      <c r="N133" t="str">
        <f t="shared" si="2"/>
        <v/>
      </c>
    </row>
    <row r="134" spans="1:14" ht="20" x14ac:dyDescent="0.2">
      <c r="A134" s="176">
        <v>68</v>
      </c>
      <c r="B134" s="174" t="s">
        <v>560</v>
      </c>
      <c r="C134" s="176" t="s">
        <v>1454</v>
      </c>
      <c r="D134" s="176" t="s">
        <v>1304</v>
      </c>
      <c r="E134" s="176" t="s">
        <v>1298</v>
      </c>
      <c r="F134" s="176" t="s">
        <v>1307</v>
      </c>
      <c r="I134" t="s">
        <v>558</v>
      </c>
      <c r="J134" t="s">
        <v>1304</v>
      </c>
      <c r="L134" s="16" t="s">
        <v>558</v>
      </c>
      <c r="N134" t="str">
        <f t="shared" si="2"/>
        <v/>
      </c>
    </row>
    <row r="135" spans="1:14" ht="20" x14ac:dyDescent="0.2">
      <c r="A135" s="176">
        <v>69</v>
      </c>
      <c r="B135" s="174" t="s">
        <v>561</v>
      </c>
      <c r="C135" s="176" t="s">
        <v>1455</v>
      </c>
      <c r="D135" s="176" t="s">
        <v>1297</v>
      </c>
      <c r="E135" s="176" t="s">
        <v>1298</v>
      </c>
      <c r="F135" s="176" t="s">
        <v>1307</v>
      </c>
      <c r="I135" t="s">
        <v>559</v>
      </c>
      <c r="J135" t="s">
        <v>1304</v>
      </c>
      <c r="L135" s="16" t="s">
        <v>559</v>
      </c>
      <c r="N135" t="str">
        <f t="shared" si="2"/>
        <v/>
      </c>
    </row>
    <row r="136" spans="1:14" ht="20" x14ac:dyDescent="0.2">
      <c r="A136" s="176">
        <v>135</v>
      </c>
      <c r="B136" s="174" t="s">
        <v>562</v>
      </c>
      <c r="C136" s="176" t="s">
        <v>1456</v>
      </c>
      <c r="D136" s="176" t="s">
        <v>1304</v>
      </c>
      <c r="E136" s="176" t="s">
        <v>391</v>
      </c>
      <c r="F136" s="176" t="s">
        <v>1359</v>
      </c>
      <c r="I136" t="s">
        <v>560</v>
      </c>
      <c r="J136" t="s">
        <v>1304</v>
      </c>
      <c r="L136" s="16" t="s">
        <v>560</v>
      </c>
      <c r="N136" t="str">
        <f t="shared" si="2"/>
        <v/>
      </c>
    </row>
    <row r="137" spans="1:14" ht="20" x14ac:dyDescent="0.2">
      <c r="A137" s="176">
        <v>148</v>
      </c>
      <c r="B137" s="174" t="s">
        <v>563</v>
      </c>
      <c r="C137" s="176" t="s">
        <v>1457</v>
      </c>
      <c r="D137" s="176" t="s">
        <v>1314</v>
      </c>
      <c r="E137" s="176" t="s">
        <v>391</v>
      </c>
      <c r="F137" s="176" t="s">
        <v>1321</v>
      </c>
      <c r="I137" t="s">
        <v>561</v>
      </c>
      <c r="J137" t="s">
        <v>1297</v>
      </c>
      <c r="L137" s="16" t="s">
        <v>561</v>
      </c>
      <c r="N137" t="str">
        <f t="shared" si="2"/>
        <v/>
      </c>
    </row>
    <row r="138" spans="1:14" ht="20" x14ac:dyDescent="0.2">
      <c r="A138" s="176">
        <v>139</v>
      </c>
      <c r="B138" s="174" t="s">
        <v>564</v>
      </c>
      <c r="C138" s="176" t="s">
        <v>1458</v>
      </c>
      <c r="D138" s="176" t="s">
        <v>1304</v>
      </c>
      <c r="E138" s="176" t="s">
        <v>391</v>
      </c>
      <c r="F138" s="176" t="s">
        <v>1309</v>
      </c>
      <c r="I138" t="s">
        <v>562</v>
      </c>
      <c r="J138" t="s">
        <v>1304</v>
      </c>
      <c r="L138" s="16" t="s">
        <v>562</v>
      </c>
      <c r="N138" t="str">
        <f t="shared" si="2"/>
        <v/>
      </c>
    </row>
    <row r="139" spans="1:14" ht="20" x14ac:dyDescent="0.2">
      <c r="A139" s="176">
        <v>140</v>
      </c>
      <c r="B139" s="174" t="s">
        <v>565</v>
      </c>
      <c r="C139" s="176" t="s">
        <v>1459</v>
      </c>
      <c r="D139" s="176" t="s">
        <v>1304</v>
      </c>
      <c r="E139" s="176" t="s">
        <v>391</v>
      </c>
      <c r="F139" s="176" t="s">
        <v>1309</v>
      </c>
      <c r="I139" t="s">
        <v>563</v>
      </c>
      <c r="J139" t="s">
        <v>1314</v>
      </c>
      <c r="L139" s="16" t="s">
        <v>563</v>
      </c>
      <c r="N139" t="str">
        <f t="shared" si="2"/>
        <v/>
      </c>
    </row>
    <row r="140" spans="1:14" ht="20" x14ac:dyDescent="0.2">
      <c r="A140" s="176">
        <v>41</v>
      </c>
      <c r="B140" s="174" t="s">
        <v>566</v>
      </c>
      <c r="C140" s="176" t="s">
        <v>1460</v>
      </c>
      <c r="D140" s="176" t="s">
        <v>1304</v>
      </c>
      <c r="E140" s="176" t="s">
        <v>391</v>
      </c>
      <c r="F140" s="176" t="s">
        <v>1309</v>
      </c>
      <c r="I140" t="s">
        <v>564</v>
      </c>
      <c r="J140" t="s">
        <v>1304</v>
      </c>
      <c r="L140" s="16" t="s">
        <v>564</v>
      </c>
      <c r="N140" t="str">
        <f t="shared" si="2"/>
        <v/>
      </c>
    </row>
    <row r="141" spans="1:14" ht="20" x14ac:dyDescent="0.2">
      <c r="A141" s="176">
        <v>39</v>
      </c>
      <c r="B141" s="174" t="s">
        <v>567</v>
      </c>
      <c r="C141" s="176" t="s">
        <v>1461</v>
      </c>
      <c r="D141" s="176" t="s">
        <v>1304</v>
      </c>
      <c r="E141" s="176" t="s">
        <v>1298</v>
      </c>
      <c r="F141" s="176" t="s">
        <v>1302</v>
      </c>
      <c r="I141" t="s">
        <v>565</v>
      </c>
      <c r="J141" t="s">
        <v>1304</v>
      </c>
      <c r="L141" s="16" t="s">
        <v>565</v>
      </c>
      <c r="N141" t="str">
        <f t="shared" si="2"/>
        <v/>
      </c>
    </row>
    <row r="142" spans="1:14" ht="20" x14ac:dyDescent="0.2">
      <c r="A142" s="176">
        <v>40</v>
      </c>
      <c r="B142" s="174" t="s">
        <v>568</v>
      </c>
      <c r="C142" s="176" t="s">
        <v>1462</v>
      </c>
      <c r="D142" s="176" t="s">
        <v>1304</v>
      </c>
      <c r="E142" s="176" t="s">
        <v>1298</v>
      </c>
      <c r="F142" s="176" t="s">
        <v>1302</v>
      </c>
      <c r="I142" t="s">
        <v>566</v>
      </c>
      <c r="J142" t="s">
        <v>1304</v>
      </c>
      <c r="L142" s="16" t="s">
        <v>566</v>
      </c>
      <c r="N142" t="str">
        <f t="shared" si="2"/>
        <v/>
      </c>
    </row>
    <row r="143" spans="1:14" ht="20" x14ac:dyDescent="0.2">
      <c r="A143" s="176">
        <v>149</v>
      </c>
      <c r="B143" s="174" t="s">
        <v>569</v>
      </c>
      <c r="C143" s="176" t="s">
        <v>1463</v>
      </c>
      <c r="D143" s="176" t="s">
        <v>1314</v>
      </c>
      <c r="E143" s="176" t="s">
        <v>391</v>
      </c>
      <c r="F143" s="176" t="s">
        <v>1321</v>
      </c>
      <c r="I143" t="s">
        <v>567</v>
      </c>
      <c r="J143" t="s">
        <v>1304</v>
      </c>
      <c r="L143" s="16" t="s">
        <v>567</v>
      </c>
      <c r="N143" t="str">
        <f t="shared" si="2"/>
        <v/>
      </c>
    </row>
    <row r="144" spans="1:14" ht="20" x14ac:dyDescent="0.2">
      <c r="A144" s="176">
        <v>28</v>
      </c>
      <c r="B144" s="174" t="s">
        <v>570</v>
      </c>
      <c r="C144" s="176" t="s">
        <v>1464</v>
      </c>
      <c r="D144" s="176" t="s">
        <v>1301</v>
      </c>
      <c r="E144" s="176" t="s">
        <v>1298</v>
      </c>
      <c r="F144" s="176" t="s">
        <v>1302</v>
      </c>
      <c r="I144" t="s">
        <v>568</v>
      </c>
      <c r="J144" t="s">
        <v>1304</v>
      </c>
      <c r="L144" s="16" t="s">
        <v>568</v>
      </c>
      <c r="N144" t="str">
        <f t="shared" si="2"/>
        <v/>
      </c>
    </row>
    <row r="145" spans="1:14" ht="20" x14ac:dyDescent="0.2">
      <c r="A145" s="176">
        <v>58</v>
      </c>
      <c r="B145" s="174" t="s">
        <v>571</v>
      </c>
      <c r="C145" s="176" t="s">
        <v>1465</v>
      </c>
      <c r="D145" s="176" t="s">
        <v>1314</v>
      </c>
      <c r="E145" s="176" t="s">
        <v>1298</v>
      </c>
      <c r="F145" s="176" t="s">
        <v>1319</v>
      </c>
      <c r="I145" t="s">
        <v>569</v>
      </c>
      <c r="J145" t="s">
        <v>1314</v>
      </c>
      <c r="L145" s="16" t="s">
        <v>569</v>
      </c>
      <c r="N145" t="str">
        <f t="shared" si="2"/>
        <v/>
      </c>
    </row>
    <row r="146" spans="1:14" ht="20" x14ac:dyDescent="0.2">
      <c r="A146" s="176">
        <v>72</v>
      </c>
      <c r="B146" s="174" t="s">
        <v>572</v>
      </c>
      <c r="C146" s="176" t="s">
        <v>1466</v>
      </c>
      <c r="D146" s="176" t="s">
        <v>1314</v>
      </c>
      <c r="E146" s="176" t="s">
        <v>1298</v>
      </c>
      <c r="F146" s="176" t="s">
        <v>1307</v>
      </c>
      <c r="I146" t="s">
        <v>570</v>
      </c>
      <c r="J146" t="s">
        <v>1301</v>
      </c>
      <c r="L146" s="16" t="s">
        <v>570</v>
      </c>
      <c r="N146" t="str">
        <f t="shared" si="2"/>
        <v/>
      </c>
    </row>
    <row r="147" spans="1:14" ht="20" x14ac:dyDescent="0.2">
      <c r="A147" s="176">
        <v>88</v>
      </c>
      <c r="B147" s="174" t="s">
        <v>573</v>
      </c>
      <c r="C147" s="176" t="s">
        <v>1467</v>
      </c>
      <c r="D147" s="176" t="s">
        <v>1301</v>
      </c>
      <c r="E147" s="176" t="s">
        <v>374</v>
      </c>
      <c r="F147" s="176" t="s">
        <v>1315</v>
      </c>
      <c r="I147" t="s">
        <v>571</v>
      </c>
      <c r="J147" t="s">
        <v>1314</v>
      </c>
      <c r="L147" s="16" t="s">
        <v>571</v>
      </c>
      <c r="N147" t="str">
        <f t="shared" si="2"/>
        <v/>
      </c>
    </row>
    <row r="148" spans="1:14" ht="20" x14ac:dyDescent="0.2">
      <c r="A148" s="176">
        <v>112</v>
      </c>
      <c r="B148" s="174" t="s">
        <v>574</v>
      </c>
      <c r="C148" s="176" t="s">
        <v>1468</v>
      </c>
      <c r="D148" s="176" t="s">
        <v>1304</v>
      </c>
      <c r="E148" s="176" t="s">
        <v>391</v>
      </c>
      <c r="F148" s="176" t="s">
        <v>1469</v>
      </c>
      <c r="I148" t="s">
        <v>572</v>
      </c>
      <c r="J148" t="s">
        <v>1314</v>
      </c>
      <c r="L148" s="16" t="s">
        <v>572</v>
      </c>
      <c r="N148" t="str">
        <f t="shared" si="2"/>
        <v/>
      </c>
    </row>
    <row r="149" spans="1:14" ht="20" x14ac:dyDescent="0.2">
      <c r="A149" s="176">
        <v>41</v>
      </c>
      <c r="B149" s="174" t="s">
        <v>575</v>
      </c>
      <c r="C149" s="176" t="s">
        <v>1470</v>
      </c>
      <c r="D149" s="176" t="s">
        <v>1304</v>
      </c>
      <c r="E149" s="176" t="s">
        <v>1298</v>
      </c>
      <c r="F149" s="176" t="s">
        <v>1302</v>
      </c>
      <c r="I149" t="s">
        <v>573</v>
      </c>
      <c r="J149" t="s">
        <v>1301</v>
      </c>
      <c r="L149" s="16" t="s">
        <v>573</v>
      </c>
      <c r="N149" t="str">
        <f t="shared" si="2"/>
        <v/>
      </c>
    </row>
    <row r="150" spans="1:14" ht="20" x14ac:dyDescent="0.2">
      <c r="A150" s="176">
        <v>42</v>
      </c>
      <c r="B150" s="174" t="s">
        <v>576</v>
      </c>
      <c r="C150" s="176" t="s">
        <v>1471</v>
      </c>
      <c r="D150" s="176" t="s">
        <v>1304</v>
      </c>
      <c r="E150" s="176" t="s">
        <v>1298</v>
      </c>
      <c r="F150" s="176" t="s">
        <v>1302</v>
      </c>
      <c r="I150" t="s">
        <v>574</v>
      </c>
      <c r="J150" t="s">
        <v>1304</v>
      </c>
      <c r="L150" s="16" t="s">
        <v>574</v>
      </c>
      <c r="N150" t="str">
        <f t="shared" si="2"/>
        <v/>
      </c>
    </row>
    <row r="151" spans="1:14" ht="20" x14ac:dyDescent="0.2">
      <c r="A151" s="176">
        <v>113</v>
      </c>
      <c r="B151" s="174" t="s">
        <v>577</v>
      </c>
      <c r="C151" s="176" t="s">
        <v>1472</v>
      </c>
      <c r="D151" s="176" t="s">
        <v>1304</v>
      </c>
      <c r="E151" s="176" t="s">
        <v>391</v>
      </c>
      <c r="F151" s="176" t="s">
        <v>1469</v>
      </c>
      <c r="I151" t="s">
        <v>575</v>
      </c>
      <c r="J151" t="s">
        <v>1304</v>
      </c>
      <c r="L151" s="16" t="s">
        <v>575</v>
      </c>
      <c r="N151" t="str">
        <f t="shared" si="2"/>
        <v/>
      </c>
    </row>
    <row r="152" spans="1:14" ht="20" x14ac:dyDescent="0.2">
      <c r="A152" s="176">
        <v>114</v>
      </c>
      <c r="B152" s="174" t="s">
        <v>578</v>
      </c>
      <c r="C152" s="176" t="s">
        <v>1473</v>
      </c>
      <c r="D152" s="176" t="s">
        <v>1304</v>
      </c>
      <c r="E152" s="176" t="s">
        <v>391</v>
      </c>
      <c r="F152" s="176" t="s">
        <v>1469</v>
      </c>
      <c r="I152" t="s">
        <v>576</v>
      </c>
      <c r="J152" t="s">
        <v>1304</v>
      </c>
      <c r="L152" s="16" t="s">
        <v>576</v>
      </c>
      <c r="N152" t="str">
        <f t="shared" si="2"/>
        <v/>
      </c>
    </row>
    <row r="153" spans="1:14" ht="20" x14ac:dyDescent="0.2">
      <c r="A153" s="176">
        <v>115</v>
      </c>
      <c r="B153" s="174" t="s">
        <v>579</v>
      </c>
      <c r="C153" s="176" t="s">
        <v>1474</v>
      </c>
      <c r="D153" s="176" t="s">
        <v>1304</v>
      </c>
      <c r="E153" s="176" t="s">
        <v>391</v>
      </c>
      <c r="F153" s="176" t="s">
        <v>1469</v>
      </c>
      <c r="I153" t="s">
        <v>577</v>
      </c>
      <c r="J153" t="s">
        <v>1304</v>
      </c>
      <c r="L153" s="16" t="s">
        <v>577</v>
      </c>
      <c r="N153" t="str">
        <f t="shared" si="2"/>
        <v/>
      </c>
    </row>
    <row r="154" spans="1:14" x14ac:dyDescent="0.2">
      <c r="I154" t="s">
        <v>578</v>
      </c>
      <c r="J154" t="s">
        <v>1304</v>
      </c>
      <c r="L154" s="16" t="s">
        <v>578</v>
      </c>
      <c r="N154" t="str">
        <f t="shared" si="2"/>
        <v/>
      </c>
    </row>
    <row r="155" spans="1:14" x14ac:dyDescent="0.2">
      <c r="I155" t="s">
        <v>579</v>
      </c>
      <c r="J155" t="s">
        <v>1304</v>
      </c>
      <c r="L155" s="16" t="s">
        <v>579</v>
      </c>
      <c r="N155" t="str">
        <f t="shared" si="2"/>
        <v/>
      </c>
    </row>
    <row r="156" spans="1:14" x14ac:dyDescent="0.2">
      <c r="L156" s="16" t="s">
        <v>195</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1475</v>
      </c>
      <c r="C1" s="1" t="s">
        <v>1476</v>
      </c>
      <c r="D1" s="7" t="s">
        <v>1477</v>
      </c>
    </row>
    <row r="2" spans="1:5" ht="304" x14ac:dyDescent="0.2">
      <c r="A2" s="4" t="s">
        <v>1478</v>
      </c>
      <c r="B2" s="4" t="s">
        <v>1479</v>
      </c>
      <c r="C2" t="s">
        <v>1480</v>
      </c>
      <c r="D2" s="6" t="s">
        <v>1481</v>
      </c>
      <c r="E2" s="4" t="s">
        <v>1482</v>
      </c>
    </row>
    <row r="3" spans="1:5" ht="144" x14ac:dyDescent="0.2">
      <c r="A3" s="4" t="s">
        <v>159</v>
      </c>
      <c r="B3" s="4" t="s">
        <v>1483</v>
      </c>
      <c r="C3" s="8" t="s">
        <v>1484</v>
      </c>
      <c r="D3" s="6" t="s">
        <v>1485</v>
      </c>
    </row>
    <row r="4" spans="1:5" ht="272" x14ac:dyDescent="0.2">
      <c r="A4" s="4" t="s">
        <v>161</v>
      </c>
      <c r="B4" s="4" t="s">
        <v>1486</v>
      </c>
      <c r="C4" t="s">
        <v>1487</v>
      </c>
      <c r="D4" s="7" t="s">
        <v>1488</v>
      </c>
    </row>
    <row r="5" spans="1:5" ht="208" x14ac:dyDescent="0.2">
      <c r="A5" s="4" t="s">
        <v>162</v>
      </c>
      <c r="B5" s="4" t="s">
        <v>1489</v>
      </c>
      <c r="D5" s="6" t="s">
        <v>1490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2025-09-15T10:05:11Z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