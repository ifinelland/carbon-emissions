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Ozamiz Branch/"/>
    </mc:Choice>
  </mc:AlternateContent>
  <xr:revisionPtr revIDLastSave="0" documentId="13_ncr:1_{0153EE4C-59F2-ED4B-8A24-9A747B7A6B62}"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806" r:id="rId19"/>
    <pivotCache cacheId="807" r:id="rId20"/>
    <pivotCache cacheId="808" r:id="rId21"/>
    <pivotCache cacheId="809" r:id="rId22"/>
    <pivotCache cacheId="810" r:id="rId23"/>
    <pivotCache cacheId="818"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N11" i="34"/>
  <c r="N12" i="34"/>
  <c r="N13" i="34"/>
  <c r="N14" i="34"/>
  <c r="N15" i="34"/>
  <c r="N16" i="34"/>
  <c r="N17" i="34"/>
  <c r="N18" i="34"/>
  <c r="E49" i="37"/>
  <c r="E48" i="37"/>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23" i="40"/>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11" i="40"/>
  <c r="I12" i="40" s="1"/>
  <c r="I13" i="40" s="1"/>
  <c r="I14" i="40" s="1"/>
  <c r="I15" i="40" s="1"/>
  <c r="I16" i="40" s="1"/>
  <c r="I17" i="40" s="1"/>
  <c r="I18" i="40" s="1"/>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s="1"/>
  <c r="P15" i="41"/>
  <c r="P16" i="41"/>
  <c r="P17" i="41"/>
  <c r="P18" i="41"/>
  <c r="P19" i="41" s="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13" i="34"/>
  <c r="I14" i="34"/>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2" i="38" l="1"/>
  <c r="E12" i="38"/>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1" i="34" l="1"/>
  <c r="G11" i="34"/>
  <c r="E11" i="34"/>
  <c r="D11" i="34"/>
  <c r="E14" i="34"/>
  <c r="F14" i="34"/>
  <c r="D14" i="34"/>
  <c r="G14" i="34"/>
  <c r="E13" i="34"/>
  <c r="F13" i="34"/>
  <c r="D13" i="34"/>
  <c r="G13" i="34"/>
  <c r="G12" i="34"/>
  <c r="E12" i="34"/>
  <c r="F12" i="34"/>
  <c r="D12" i="34"/>
  <c r="F15" i="34"/>
  <c r="D15" i="34"/>
  <c r="G15" i="34"/>
  <c r="E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<sst xmlns="http://schemas.openxmlformats.org/spreadsheetml/2006/main" count="12238" uniqueCount="2114">
  <si>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</si>
  <si>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</si>
  <si>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</si>
  <si>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</si>
  <si>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</si>
  <si>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</si>
  <si>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</si>
  <si>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</si>
  <si>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</si>
  <si>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</si>
  <si>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</si>
  <si>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</si>
  <si>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</si>
  <si>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</si>
  <si>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</si>
  <si>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</si>
  <si>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</si>
  <si>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</si>
  <si>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</si>
  <si>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</si>
  <si>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</si>
  <si>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</si>
  <si>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</si>
  <si>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</si>
  <si>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</si>
  <si>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</si>
  <si>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</si>
  <si>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</si>
  <si>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</si>
  <si>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</si>
  <si>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</si>
  <si>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</si>
  <si>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</si>
  <si>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</si>
  <si>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</si>
  <si>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</si>
  <si>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</si>
  <si>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</si>
  <si>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</si>
  <si>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</si>
  <si>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</si>
  <si>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</si>
  <si>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</si>
  <si>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</si>
  <si>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</si>
  <si>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</si>
  <si>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</si>
  <si>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</si>
  <si>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</si>
  <si>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</si>
  <si>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</si>
  <si>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</si>
  <si>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</si>
  <si>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</si>
  <si>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</si>
  <si>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</si>
  <si>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</si>
  <si>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</si>
  <si>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</si>
  <si>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</si>
  <si>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</si>
  <si>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</si>
  <si>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</si>
  <si>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</si>
  <si>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</si>
  <si>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</si>
  <si>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</si>
  <si>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</si>
  <si>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</si>
  <si>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</si>
  <si>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</si>
  <si>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</si>
  <si>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</si>
  <si>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</si>
  <si>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</si>
  <si>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</si>
  <si>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</si>
  <si>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</si>
  <si>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</si>
  <si>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</si>
  <si>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</si>
  <si>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</si>
  <si>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</si>
  <si>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</si>
  <si>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</si>
  <si>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</si>
  <si>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</si>
  <si>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</si>
  <si>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</si>
  <si>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</si>
  <si>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</si>
  <si>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</si>
  <si>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</si>
  <si>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</si>
  <si>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</si>
  <si>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</si>
  <si>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</si>
  <si>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</si>
  <si>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</si>
  <si>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</si>
  <si>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</si>
  <si>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</si>
  <si>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</si>
  <si>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</si>
  <si>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</si>
  <si>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</si>
  <si>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</si>
  <si>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</si>
  <si>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</si>
  <si>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</si>
  <si>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</si>
  <si>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</si>
  <si>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</si>
  <si>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</si>
  <si>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</si>
  <si>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</si>
  <si>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</si>
  <si>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</si>
  <si>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</si>
  <si>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</si>
  <si>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</si>
  <si>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</si>
  <si>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</si>
  <si>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</si>
  <si>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</si>
  <si>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</si>
  <si>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</si>
  <si>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</si>
  <si>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</si>
  <si>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</si>
  <si>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</si>
  <si>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</si>
  <si>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</si>
  <si>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</si>
  <si>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</si>
  <si>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</si>
  <si>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</si>
  <si>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</si>
  <si>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</si>
  <si>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</si>
  <si>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</si>
  <si>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</si>
  <si>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</si>
  <si>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</si>
  <si>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</si>
  <si>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</si>
  <si>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</si>
  <si>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</si>
  <si>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</si>
  <si>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</si>
  <si>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</si>
  <si>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</si>
  <si>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</si>
  <si>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</si>
  <si>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</si>
  <si>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</si>
  <si>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</si>
  <si>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</si>
  <si>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</si>
  <si>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</si>
  <si>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</si>
  <si>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</si>
  <si>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</si>
  <si>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</si>
  <si>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</si>
  <si>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</si>
  <si>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</si>
  <si>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</si>
  <si>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</si>
  <si>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</si>
  <si>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</si>
  <si>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</si>
  <si>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</si>
  <si>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</si>
  <si>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</si>
  <si>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</si>
  <si>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</si>
  <si>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</si>
  <si>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</si>
  <si>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</si>
  <si>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</si>
  <si>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</si>
  <si>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</si>
  <si>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</si>
  <si>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</si>
  <si>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</si>
  <si>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</si>
  <si>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</si>
  <si>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</si>
  <si>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</si>
  <si>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</si>
  <si>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</si>
  <si>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</si>
  <si>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</si>
  <si>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</si>
  <si>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</si>
  <si>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</si>
  <si>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</si>
  <si>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</si>
  <si>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</si>
  <si>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</si>
  <si>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</si>
  <si>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</si>
  <si>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</si>
  <si>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</si>
  <si>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</si>
  <si>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</si>
  <si>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</si>
  <si>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</si>
  <si>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</si>
  <si>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</si>
  <si>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</si>
  <si>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</si>
  <si>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</si>
  <si>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</si>
  <si>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</si>
  <si>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</si>
  <si>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</si>
  <si>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</si>
  <si>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</si>
  <si>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</si>
  <si>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</si>
  <si>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</si>
  <si>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</si>
  <si>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</si>
  <si>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</si>
  <si>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</si>
  <si>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</si>
  <si>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</si>
  <si>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</si>
  <si>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</si>
  <si>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</si>
  <si>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</si>
  <si>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</si>
  <si>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</si>
  <si>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</si>
  <si>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</si>
  <si>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</si>
  <si>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</si>
  <si>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</si>
  <si>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</si>
  <si>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</si>
  <si>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</si>
  <si>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</si>
  <si>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</si>
  <si>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</si>
  <si>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</si>
  <si>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</si>
  <si>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</si>
  <si>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</si>
  <si>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</si>
  <si>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</si>
  <si>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</si>
  <si>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</si>
  <si>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</si>
  <si>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</si>
  <si>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</si>
  <si>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</si>
  <si>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</si>
  <si>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</si>
  <si>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</si>
  <si>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</si>
  <si>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</si>
  <si>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</si>
  <si>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</si>
  <si>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</si>
  <si>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</si>
  <si>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</si>
  <si>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</si>
  <si>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</si>
  <si>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</si>
  <si>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</si>
  <si>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</si>
  <si>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</si>
  <si>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</si>
  <si>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</si>
  <si>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</si>
  <si>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</si>
  <si>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</si>
  <si>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</si>
  <si>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</si>
  <si>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</si>
  <si>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</si>
  <si>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</si>
  <si>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</si>
  <si>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</si>
  <si>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</si>
  <si>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</si>
  <si>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</si>
  <si>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</si>
  <si>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</si>
  <si>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</si>
  <si>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</si>
  <si>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</si>
  <si>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</si>
  <si>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</si>
  <si>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</si>
  <si>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</si>
  <si>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</si>
  <si>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</si>
  <si>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</si>
  <si>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</si>
  <si>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</si>
  <si>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</si>
  <si>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</si>
  <si>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</si>
  <si>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</si>
  <si>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</si>
  <si>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</si>
  <si>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</si>
  <si>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</si>
  <si>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</si>
  <si>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</si>
  <si>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</si>
  <si>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</si>
  <si>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</si>
  <si>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</si>
  <si>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</si>
  <si>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</si>
  <si>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</si>
  <si>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</si>
  <si>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</si>
  <si>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</si>
  <si>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</si>
  <si>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</si>
  <si>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</si>
  <si>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</si>
  <si>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</si>
  <si>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</si>
  <si>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</si>
  <si>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</si>
  <si>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</si>
  <si>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</si>
  <si>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</si>
  <si>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</si>
  <si>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</si>
  <si>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</si>
  <si>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</si>
  <si>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</si>
  <si>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</si>
  <si>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</si>
  <si>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</si>
  <si>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</si>
  <si>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</si>
  <si>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</si>
  <si>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</si>
  <si>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</si>
  <si>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</si>
  <si>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</si>
  <si>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</si>
  <si>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</si>
  <si>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</si>
  <si>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</si>
  <si>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</si>
  <si>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</si>
  <si>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</si>
  <si>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</si>
  <si>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</si>
  <si>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</si>
  <si>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</si>
  <si>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</si>
  <si>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</si>
  <si>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</si>
  <si>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</si>
  <si>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</si>
  <si>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</si>
  <si>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</si>
  <si>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</si>
  <si>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</si>
  <si>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</si>
  <si>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</si>
  <si>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</si>
  <si>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</si>
  <si>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</si>
  <si>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</si>
  <si>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</si>
  <si>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</si>
  <si>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</si>
  <si>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</si>
  <si>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</si>
  <si>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</si>
  <si>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</si>
  <si>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</si>
  <si>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</si>
  <si>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</si>
  <si>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</si>
  <si>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</si>
  <si>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</si>
  <si>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</si>
  <si>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</si>
  <si>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</si>
  <si>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</si>
  <si>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</si>
  <si>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</si>
  <si>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</si>
  <si>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</si>
  <si>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</si>
  <si>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</si>
  <si>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</si>
  <si>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</si>
  <si>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</si>
  <si>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</si>
  <si>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</si>
  <si>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</si>
  <si>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</si>
  <si>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</si>
  <si>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</si>
  <si>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</si>
  <si>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</si>
  <si>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</si>
  <si>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</si>
  <si>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</si>
  <si>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</si>
  <si>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</si>
  <si>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</si>
  <si>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</si>
  <si>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</si>
  <si>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</si>
  <si>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</si>
  <si>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</si>
  <si>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</si>
  <si>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</si>
  <si>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</si>
  <si>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</si>
  <si>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</si>
  <si>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</si>
  <si>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</si>
  <si>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</si>
  <si>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</si>
  <si>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</si>
  <si>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</si>
  <si>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</si>
  <si>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</si>
  <si>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</si>
  <si>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</si>
  <si>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</si>
  <si>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</si>
  <si>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</si>
  <si>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</si>
  <si>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</si>
  <si>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</si>
  <si>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</si>
  <si>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</si>
  <si>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</si>
  <si>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</si>
  <si>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</si>
  <si>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</si>
  <si>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</si>
  <si>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</si>
  <si>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</si>
  <si>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</si>
  <si>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</si>
  <si>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</si>
  <si>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</si>
  <si>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</si>
  <si>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</si>
  <si>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</si>
  <si>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</si>
  <si>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</si>
  <si>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</si>
  <si>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</si>
  <si>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</si>
  <si>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</si>
  <si>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</si>
  <si>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</si>
  <si>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</si>
  <si>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</si>
  <si>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</si>
  <si>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</si>
  <si>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</si>
  <si>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</si>
  <si>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</si>
  <si>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</si>
  <si>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</si>
  <si>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</si>
  <si>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</si>
  <si>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</si>
  <si>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</si>
  <si>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</si>
  <si>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</si>
  <si>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</si>
  <si>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</si>
  <si>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</si>
  <si>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</si>
  <si>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</si>
  <si>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</si>
  <si>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</si>
  <si>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</si>
  <si>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</si>
  <si>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</si>
  <si>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</si>
  <si>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</si>
  <si>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</si>
  <si>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</si>
  <si>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</si>
  <si>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</si>
  <si>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</si>
  <si>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</si>
  <si>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</si>
  <si>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</si>
  <si>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</si>
  <si>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</si>
  <si>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</si>
  <si>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</si>
  <si>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</si>
  <si>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</si>
  <si>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</si>
  <si>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</si>
  <si>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</si>
  <si>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</si>
  <si>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</si>
  <si>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</si>
  <si>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</si>
  <si>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</si>
  <si>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</si>
  <si>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</si>
  <si>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</si>
  <si>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</si>
  <si>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</si>
  <si>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</si>
  <si>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</si>
  <si>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</si>
  <si>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</si>
  <si>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</si>
  <si>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</si>
  <si>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</si>
  <si>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</si>
  <si>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</si>
  <si>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</si>
  <si>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</si>
  <si>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</si>
  <si>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</si>
  <si>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</si>
  <si>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</si>
  <si>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</si>
  <si>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</si>
  <si>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</si>
  <si>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</si>
  <si>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</si>
  <si>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</si>
  <si>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</si>
  <si>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</si>
  <si>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</si>
  <si>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</si>
  <si>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</si>
  <si>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</si>
  <si>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</si>
  <si>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</si>
  <si>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</si>
  <si>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</si>
  <si>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</si>
  <si>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</si>
  <si>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</si>
  <si>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</si>
  <si>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</si>
  <si>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</si>
  <si>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</si>
  <si>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</si>
  <si>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</si>
  <si>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</si>
  <si>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</si>
  <si>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</si>
  <si>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</si>
  <si>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</si>
  <si>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</si>
  <si>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</si>
  <si>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</si>
  <si>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</si>
  <si>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</si>
  <si>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</si>
  <si>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</si>
  <si>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</si>
  <si>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</si>
  <si>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</si>
  <si>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</si>
  <si>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</si>
  <si>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</si>
  <si>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</si>
  <si>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</si>
  <si>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</si>
  <si>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</si>
  <si>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</si>
  <si>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</si>
  <si>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</si>
  <si>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</si>
  <si>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</si>
  <si>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</si>
  <si>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</si>
  <si>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</si>
  <si>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</si>
  <si>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</si>
  <si>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</si>
  <si>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</si>
  <si>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</si>
  <si>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</si>
  <si>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</si>
  <si>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</si>
  <si>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</si>
  <si>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</si>
  <si>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</si>
  <si>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</si>
  <si>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</si>
  <si>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</si>
  <si>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</si>
  <si>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</si>
  <si>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</si>
  <si>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</si>
  <si>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</si>
  <si>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</si>
  <si>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</si>
  <si>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</si>
  <si>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</si>
  <si>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</si>
  <si>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</si>
  <si>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</si>
  <si>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</si>
  <si>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</si>
  <si>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</si>
  <si>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</si>
  <si>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</si>
  <si>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</si>
  <si>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</si>
  <si>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</si>
  <si>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</si>
  <si>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</si>
  <si>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</si>
  <si>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</si>
  <si>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</si>
  <si>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</si>
  <si>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</si>
  <si>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</si>
  <si>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</si>
  <si>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</si>
  <si>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</si>
  <si>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</si>
  <si>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</si>
  <si>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</si>
  <si>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</si>
  <si>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</si>
  <si>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</si>
  <si>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</si>
  <si>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</si>
  <si>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</si>
  <si>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</si>
  <si>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</si>
  <si>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</si>
  <si>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</si>
  <si>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</si>
  <si>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</si>
  <si>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</si>
  <si>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</si>
  <si>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</si>
  <si>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</si>
  <si>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</si>
  <si>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</si>
  <si>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</si>
  <si>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</si>
  <si>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</si>
  <si>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</si>
  <si>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</si>
  <si>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</si>
  <si>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</si>
  <si>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</si>
  <si>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</si>
  <si>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</si>
  <si>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</si>
  <si>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</si>
  <si>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</si>
  <si>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</si>
  <si>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</si>
  <si>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</si>
  <si>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</si>
  <si>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</si>
  <si>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</si>
  <si>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</si>
  <si>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</si>
  <si>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</si>
  <si>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</si>
  <si>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</si>
  <si>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</si>
  <si>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</si>
  <si>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</si>
  <si>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</si>
  <si>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</si>
  <si>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</si>
  <si>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</si>
  <si>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</si>
  <si>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</si>
  <si>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</si>
  <si>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</si>
  <si>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</si>
  <si>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</si>
  <si>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</si>
  <si>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</si>
  <si>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</si>
  <si>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</si>
  <si>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</si>
  <si>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</si>
  <si>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</si>
  <si>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</si>
  <si>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</si>
  <si>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</si>
  <si>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</si>
  <si>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</si>
  <si>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</si>
  <si>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</si>
  <si>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</si>
  <si>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</si>
  <si>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</si>
  <si>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</si>
  <si>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</si>
  <si>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</si>
  <si>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</si>
  <si>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</si>
  <si>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</si>
  <si>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</si>
  <si>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</si>
  <si>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</si>
  <si>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</si>
  <si>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</si>
  <si>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</si>
  <si>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</si>
  <si>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</si>
  <si>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</si>
  <si>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</si>
  <si>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</si>
  <si>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</si>
  <si>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</si>
  <si>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</si>
  <si>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</si>
  <si>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</si>
  <si>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</si>
  <si>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</si>
  <si>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</si>
  <si>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</si>
  <si>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</si>
  <si>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</si>
  <si>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</si>
  <si>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</si>
  <si>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</si>
  <si>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</si>
  <si>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</si>
  <si>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</si>
  <si>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</si>
  <si>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</si>
  <si>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</si>
  <si>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</si>
  <si>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</si>
  <si>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</si>
  <si>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</si>
  <si>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</si>
  <si>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</si>
  <si>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</si>
  <si>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</si>
  <si>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</si>
  <si>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</si>
  <si>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</si>
  <si>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</si>
  <si>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</si>
  <si>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</si>
  <si>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</si>
  <si>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</si>
  <si>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</si>
  <si>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</si>
  <si>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</si>
  <si>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</si>
  <si>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</si>
  <si>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</si>
  <si>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</si>
  <si>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</si>
  <si>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</si>
  <si>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</si>
  <si>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</si>
  <si>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</si>
  <si>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</si>
  <si>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</si>
  <si>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</si>
  <si>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</si>
  <si>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</si>
  <si>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</si>
  <si>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</si>
  <si>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</si>
  <si>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</si>
  <si>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</si>
  <si>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</si>
  <si>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</si>
  <si>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</si>
  <si>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</si>
  <si>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</si>
  <si>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</si>
  <si>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</si>
  <si>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</si>
  <si>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</si>
  <si>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</si>
  <si>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</si>
  <si>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</si>
  <si>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</si>
  <si>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</si>
  <si>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</si>
  <si>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</si>
  <si>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</si>
  <si>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</si>
  <si>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</si>
  <si>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</si>
  <si>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</si>
  <si>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</si>
  <si>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</si>
  <si>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</si>
  <si>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</si>
  <si>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</si>
  <si>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</si>
  <si>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</si>
  <si>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</si>
  <si>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</si>
  <si>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</si>
  <si>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</si>
  <si>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</si>
  <si>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</si>
  <si>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</si>
  <si>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</si>
  <si>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</si>
  <si>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</si>
  <si>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</si>
  <si>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</si>
  <si>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</si>
  <si>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</si>
  <si>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</si>
  <si>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</si>
  <si>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</si>
  <si>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</si>
  <si>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</si>
  <si>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</si>
  <si>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</si>
  <si>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</si>
  <si>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</si>
  <si>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</si>
  <si>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</si>
  <si>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</si>
  <si>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</si>
  <si>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</si>
  <si>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</si>
  <si>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</si>
  <si>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</si>
  <si>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</si>
  <si>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</si>
  <si>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</si>
  <si>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</si>
  <si>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</si>
  <si>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</si>
  <si>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</si>
  <si>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</si>
  <si>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</si>
  <si>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</si>
  <si>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</si>
  <si>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</si>
  <si>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</si>
  <si>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</si>
  <si>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</si>
  <si>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</si>
  <si>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</si>
  <si>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</si>
  <si>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</si>
  <si>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</si>
  <si>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</si>
  <si>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</si>
  <si>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</si>
  <si>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</si>
  <si>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</si>
  <si>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</si>
  <si>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</si>
  <si>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</si>
  <si>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</si>
  <si>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</si>
  <si>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</si>
  <si>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</si>
  <si>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</si>
  <si>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</si>
  <si>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</si>
  <si>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</si>
  <si>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</si>
  <si>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</si>
  <si>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</si>
  <si>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</si>
  <si>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</si>
  <si>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</si>
  <si>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</si>
  <si>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</si>
  <si>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</si>
  <si>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</si>
  <si>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</si>
  <si>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</si>
  <si>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</si>
  <si>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</si>
  <si>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</si>
  <si>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</si>
  <si>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</si>
  <si>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</si>
  <si>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</si>
  <si>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</si>
  <si>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</si>
  <si>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</si>
  <si>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</si>
  <si>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</si>
  <si>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</si>
  <si>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</si>
  <si>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</si>
  <si>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</si>
  <si>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</si>
  <si>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</si>
  <si>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</si>
  <si>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</si>
  <si>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</si>
  <si>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</si>
  <si>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</si>
  <si>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</si>
  <si>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</si>
  <si>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</si>
  <si>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</si>
  <si>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</si>
  <si>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</si>
  <si>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</si>
  <si>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</si>
  <si>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</si>
  <si>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</si>
  <si>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</si>
  <si>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</si>
  <si>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</si>
  <si>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</si>
  <si>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</si>
  <si>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</si>
  <si>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</si>
  <si>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</si>
  <si>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</si>
  <si>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</si>
  <si>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</si>
  <si>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</si>
  <si>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</si>
  <si>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</si>
  <si>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</si>
  <si>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</si>
  <si>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</si>
  <si>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</si>
  <si>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</si>
  <si>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</si>
  <si>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</si>
  <si>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</si>
  <si>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</si>
  <si>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</si>
  <si>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</si>
  <si>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</si>
  <si>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</si>
  <si>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</si>
  <si>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</si>
  <si>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</si>
  <si>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</si>
  <si>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</si>
  <si>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</si>
  <si>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</si>
  <si>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</si>
  <si>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</si>
  <si>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</si>
  <si>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</si>
  <si>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</si>
  <si>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</si>
  <si>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</si>
  <si>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</si>
  <si>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</si>
  <si>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</si>
  <si>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</si>
  <si>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</si>
  <si>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</si>
  <si>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</si>
  <si>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</si>
  <si>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</si>
  <si>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</si>
  <si>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</si>
  <si>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</si>
  <si>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</si>
  <si>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</si>
  <si>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</si>
  <si>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</si>
  <si>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</si>
  <si>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</si>
  <si>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</si>
  <si>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</si>
  <si>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</si>
  <si>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</si>
  <si>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</si>
  <si>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</si>
  <si>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</si>
  <si>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</si>
  <si>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</si>
  <si>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</si>
  <si>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</si>
  <si>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</si>
  <si>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</si>
  <si>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</si>
  <si>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</si>
  <si>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</si>
  <si>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</si>
  <si>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</si>
  <si>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</si>
  <si>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</si>
  <si>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</si>
  <si>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</si>
  <si>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</si>
  <si>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</si>
  <si>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</si>
  <si>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</si>
  <si>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</si>
  <si>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</si>
  <si>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</si>
  <si>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</si>
  <si>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</si>
  <si>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</si>
  <si>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</si>
  <si>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</si>
  <si>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</si>
  <si>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</si>
  <si>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</si>
  <si>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</si>
  <si>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</si>
  <si>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</si>
  <si>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</si>
  <si>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</si>
  <si>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</si>
  <si>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</si>
  <si>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</si>
  <si>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</si>
  <si>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</si>
  <si>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</si>
  <si>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</si>
  <si>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</si>
  <si>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</si>
  <si>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</si>
  <si>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</si>
  <si>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</si>
  <si>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</si>
  <si>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</si>
  <si>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</si>
  <si>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</si>
  <si>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</si>
  <si>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</si>
  <si>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</si>
  <si>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</si>
  <si>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</si>
  <si>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</si>
  <si>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</si>
  <si>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</si>
  <si>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</si>
  <si>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</si>
  <si>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</si>
  <si>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</si>
  <si>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</si>
  <si>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</si>
  <si>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</si>
  <si>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</si>
  <si>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</si>
  <si>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</si>
  <si>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</si>
  <si>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</si>
  <si>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</si>
  <si>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</si>
  <si>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</si>
  <si>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</si>
  <si>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</si>
  <si>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</si>
  <si>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</si>
  <si>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</si>
  <si>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</si>
  <si>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</si>
  <si>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</si>
  <si>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</si>
  <si>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</si>
  <si>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</si>
  <si>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</si>
  <si>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</si>
  <si>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</si>
  <si>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</si>
  <si>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</si>
  <si>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</si>
  <si>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</si>
  <si>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</si>
  <si>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</si>
  <si>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</si>
  <si>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</si>
  <si>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</si>
  <si>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</si>
  <si>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</si>
  <si>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</si>
  <si>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</si>
  <si>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</si>
  <si>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</si>
  <si>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</si>
  <si>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</si>
  <si>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</si>
  <si>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</si>
  <si>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</si>
  <si>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</si>
  <si>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</si>
  <si>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</si>
  <si>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</si>
  <si>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</si>
  <si>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</si>
  <si>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</si>
  <si>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</si>
  <si>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</si>
  <si>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</si>
  <si>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</si>
  <si>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</si>
  <si>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</si>
  <si>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</si>
  <si>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</si>
  <si>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</si>
  <si>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</si>
  <si>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</si>
  <si>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</si>
  <si>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</si>
  <si>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</si>
  <si>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</si>
  <si>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</si>
  <si>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</si>
  <si>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</si>
  <si>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</si>
  <si>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</si>
  <si>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</si>
  <si>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</si>
  <si>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</si>
  <si>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</si>
  <si>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</si>
  <si>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</si>
  <si>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</si>
  <si>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</si>
  <si>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</si>
  <si>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</si>
  <si>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</si>
  <si>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</si>
  <si>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</si>
  <si>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</si>
  <si>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</si>
  <si>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</si>
  <si>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</si>
  <si>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</si>
  <si>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</si>
  <si>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</si>
  <si>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</si>
  <si>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</si>
  <si>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</si>
  <si>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</si>
  <si>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</si>
  <si>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</si>
  <si>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</si>
  <si>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</si>
  <si>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</si>
  <si>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</si>
  <si>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</si>
  <si>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</si>
  <si>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</si>
  <si>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</si>
  <si>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</si>
  <si>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</si>
  <si>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</si>
  <si>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</si>
  <si>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</si>
  <si>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</si>
  <si>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</si>
  <si>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</si>
  <si>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</si>
  <si>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</si>
  <si>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</si>
  <si>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</si>
  <si>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</si>
  <si>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</si>
  <si>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</si>
  <si>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</si>
  <si>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</si>
  <si>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</si>
  <si>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</si>
  <si>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</si>
  <si>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</si>
  <si>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</si>
  <si>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</si>
  <si>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</si>
  <si>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</si>
  <si>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</si>
  <si>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</si>
  <si>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</si>
  <si>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</si>
  <si>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</si>
  <si>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</si>
  <si>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</si>
  <si>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</si>
  <si>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</si>
  <si>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</si>
  <si>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</si>
  <si>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</si>
  <si>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</si>
  <si>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</si>
  <si>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</si>
  <si>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</si>
  <si>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</si>
  <si>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</si>
  <si>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</si>
  <si>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</si>
  <si>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</si>
  <si>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</si>
  <si>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</si>
  <si>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</si>
  <si>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</si>
  <si>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</si>
  <si>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</si>
  <si>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</si>
  <si>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</si>
  <si>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</si>
  <si>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</si>
  <si>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</si>
  <si>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</si>
  <si>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</si>
  <si>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</si>
  <si>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</si>
  <si>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</si>
  <si>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</si>
  <si>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</si>
  <si>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</si>
  <si>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</si>
  <si>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</si>
  <si>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</si>
  <si>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</si>
  <si>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</si>
  <si>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</si>
  <si>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</si>
  <si>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</si>
  <si>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</si>
  <si>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</si>
  <si>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</si>
  <si>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</si>
  <si>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</si>
  <si>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</si>
  <si>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</si>
  <si>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</si>
  <si>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</si>
  <si>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</si>
  <si>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</si>
  <si>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</si>
  <si>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</si>
  <si>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</si>
  <si>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</si>
  <si>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</si>
  <si>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</si>
  <si>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</si>
  <si>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</si>
  <si>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</si>
  <si>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</si>
  <si>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</si>
  <si>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</si>
  <si>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</si>
  <si>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</si>
  <si>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</si>
  <si>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</si>
  <si>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</si>
  <si>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</si>
  <si>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</si>
  <si>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</si>
  <si>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</si>
  <si>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</si>
  <si>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</si>
  <si>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</si>
  <si>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</si>
  <si>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</si>
  <si>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</si>
  <si>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</si>
  <si>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</si>
  <si>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</si>
  <si>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</si>
  <si>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</si>
  <si>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</si>
  <si>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</si>
  <si>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</si>
  <si>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</si>
  <si>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</si>
  <si>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</si>
  <si>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</si>
  <si>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</si>
  <si>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</si>
  <si>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</si>
  <si>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</si>
  <si>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</si>
  <si>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</si>
  <si>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</si>
  <si>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</si>
  <si>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</si>
  <si>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</si>
  <si>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</si>
  <si>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</si>
  <si>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</si>
  <si>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</si>
  <si>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</si>
  <si>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</si>
  <si>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</si>
  <si>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</si>
  <si>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</si>
  <si>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</si>
  <si>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</si>
  <si>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</si>
  <si>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</si>
  <si>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</si>
  <si>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</si>
  <si>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</si>
  <si>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</si>
  <si>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</si>
  <si>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</si>
  <si>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</si>
  <si>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</si>
  <si>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</si>
  <si>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</si>
  <si>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</si>
  <si>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</si>
  <si>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</si>
  <si>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</si>
  <si>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</si>
  <si>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</si>
  <si>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</si>
  <si>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</si>
  <si>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</si>
  <si>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</si>
  <si>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</si>
  <si>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</si>
  <si>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</si>
  <si>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</si>
  <si>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</si>
  <si>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</si>
  <si>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</si>
  <si>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</si>
  <si>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</si>
  <si>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</si>
  <si>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</si>
  <si>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</si>
  <si>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</si>
  <si>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</si>
  <si>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</si>
  <si>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</si>
  <si>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</si>
  <si>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</si>
  <si>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</si>
  <si>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</si>
  <si>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</si>
  <si>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</si>
  <si>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</si>
  <si>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</si>
  <si>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</si>
  <si>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</si>
  <si>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</si>
  <si>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</si>
  <si>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</si>
  <si>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</si>
  <si>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</si>
  <si>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</si>
  <si>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</si>
  <si>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</si>
  <si>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</si>
  <si>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</si>
  <si>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</si>
  <si>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</si>
  <si>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</si>
  <si>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</si>
  <si>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</si>
  <si>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</si>
  <si>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</si>
  <si>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</si>
  <si>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</si>
  <si>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</si>
  <si>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</si>
  <si>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</si>
  <si>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</si>
  <si>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</si>
  <si>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</si>
  <si>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</si>
  <si>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</si>
  <si>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</si>
  <si>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</si>
  <si>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</si>
  <si>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</si>
  <si>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</si>
  <si>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</si>
  <si>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</si>
  <si>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</si>
  <si>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</si>
  <si>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</si>
  <si>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</si>
  <si>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</si>
  <si>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</si>
  <si>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</si>
  <si>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</si>
  <si>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</si>
  <si>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</si>
  <si>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</si>
  <si>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</si>
  <si>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</si>
  <si>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</si>
  <si>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</si>
  <si>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</si>
  <si>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</si>
  <si>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</si>
  <si>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</si>
  <si>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</si>
  <si>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</si>
  <si>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</si>
  <si>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</si>
  <si>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</si>
  <si>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</si>
  <si>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</si>
  <si>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</si>
  <si>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</si>
  <si>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</si>
  <si>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</si>
  <si>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</si>
  <si>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</si>
  <si>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</si>
  <si>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</si>
  <si>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</si>
  <si>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</si>
  <si>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</si>
  <si>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</si>
  <si>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</si>
  <si>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</si>
  <si>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</si>
  <si>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</si>
  <si>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</si>
  <si>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</si>
  <si>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Alger E. Entira Jr.</t>
  </si>
  <si>
    <t>$G$6</t>
  </si>
  <si>
    <t>$G$7</t>
  </si>
  <si>
    <t>Select the appropriate fuel type from the dropdown list:
1. Diesel - Standby generator sets
2. Diesel - Others
3. Gasoline - Others
4. LPG - Heating and cooking
5. Compressed natural gas</t>
  </si>
  <si>
    <t>$D$2</t>
  </si>
  <si>
    <t>$D$3</t>
  </si>
  <si>
    <t>$G$19</t>
  </si>
  <si>
    <t xml:space="preserve">1. Stamford Cummins / KDG150-SSC , 120KE Diesel </t>
  </si>
  <si>
    <t>$G$21</t>
  </si>
  <si>
    <t xml:space="preserve">1. Stamford Cummins / KDG150-SSC , 120kw Diesel Engine Generator Set No. 1 </t>
  </si>
  <si>
    <t>1. Stamford Cummins / KDG150-SSC , 120kw Diesel Engine Generator Set No. 1
2. Dieselec Kohler / DK25S, 20kw Diesel Engine Generator Set No. 2
3. Dongfeng Cummins / DIYC165R5</t>
  </si>
  <si>
    <t>1. Stamford Cummins / KDG150-SSC , 120kw Diesel Engine Generator Set No. 1
2. Dieselec Kohler / DK25S, 20kw Diesel Engine Generator Set No. 2
3. Dongfeng Cummins / DIYC165R5, 145kw Engine Generator Set No. 3</t>
  </si>
  <si>
    <t>1. Armored vehicles
2. Multi-purpose vehicles</t>
  </si>
  <si>
    <t>Armored vehicles
Multi-purpose vehicles</t>
  </si>
  <si>
    <t>Stamford Cummins / KDG150-SSC , 120kw Diesel Engine Generator Set No. 1
Dieselec Kohler / DK25S, 20kw Diesel Engine Generator Set No. 2
Dongfeng Cummins / DIYC165R5, 145kw Engine Generator Set No. 3</t>
  </si>
  <si>
    <t>$G$29</t>
  </si>
  <si>
    <t>$G$30</t>
  </si>
  <si>
    <t>$G$32</t>
  </si>
  <si>
    <t>$F$44</t>
  </si>
  <si>
    <t>Select the appropriate equipment category: 
1. Domestic Refrigeration - e.g., Pantry refrigerator in executive lounge or staff pantry
2. Chillers - e.g., Chillers in HVAC systems
3. Residential and Commercial Airconditioning, incl. Heat Pumps - e.g., Split-type or centralized AC in BSP offices, meeting rooms, data centers
4. Mobile Air Conditioners - e.g., Vehicle A/C in BSP armored vans or service vehicles
5. Others</t>
  </si>
  <si>
    <t xml:space="preserve"> Residential and Commercial Airconditioning, incl. Heat Pumps - e.g., Split-type or centralized AC in BSP offices, meeting rooms, data centers</t>
  </si>
  <si>
    <t>$G$44</t>
  </si>
  <si>
    <t xml:space="preserve"> Residential and Commercial Airconditioning, incl. Heat Pumps</t>
  </si>
  <si>
    <t>$G$45</t>
  </si>
  <si>
    <t>R-410A
R-32</t>
  </si>
  <si>
    <t>$G$46</t>
  </si>
  <si>
    <t>$G$47</t>
  </si>
  <si>
    <t>$G$48</t>
  </si>
  <si>
    <t>$G$50</t>
  </si>
  <si>
    <t>Samsung VRF, Window and Split type ACU</t>
  </si>
  <si>
    <t>$G$56</t>
  </si>
  <si>
    <t>Samsung VRF Sytem and Window and Split type ACU</t>
  </si>
  <si>
    <t>$G$63</t>
  </si>
  <si>
    <t>MOELCI-II</t>
  </si>
  <si>
    <t>$G$67</t>
  </si>
  <si>
    <t>$G$88:$L$95</t>
  </si>
  <si>
    <t>$G$88</t>
  </si>
  <si>
    <t>$G$90</t>
  </si>
  <si>
    <t>$J$8</t>
  </si>
  <si>
    <t>$J$13</t>
  </si>
  <si>
    <t>$J$14</t>
  </si>
  <si>
    <t>$J$15</t>
  </si>
  <si>
    <t>$L$15</t>
  </si>
  <si>
    <t>$L$16</t>
  </si>
  <si>
    <t>$L$17</t>
  </si>
  <si>
    <t>$L$18</t>
  </si>
  <si>
    <t>$L$19</t>
  </si>
  <si>
    <t>$M$8</t>
  </si>
  <si>
    <t>$M$15</t>
  </si>
  <si>
    <t>$M$17</t>
  </si>
  <si>
    <t>$M$18</t>
  </si>
  <si>
    <t>$M$19</t>
  </si>
  <si>
    <t>$N$11</t>
  </si>
  <si>
    <t>$N$12</t>
  </si>
  <si>
    <t>$N$13</t>
  </si>
  <si>
    <t>$N$14</t>
  </si>
  <si>
    <t>$N$15</t>
  </si>
  <si>
    <t>$N$16</t>
  </si>
  <si>
    <t>$N$17</t>
  </si>
  <si>
    <t>$N$18</t>
  </si>
  <si>
    <t>$N$19</t>
  </si>
  <si>
    <t>ALGER E. ENTIRA, JR.</t>
  </si>
  <si>
    <t>$C$6</t>
  </si>
  <si>
    <t xml:space="preserve">Billing Period </t>
  </si>
  <si>
    <t>Billing Period Dec 26, 2023 - Jan 26, 2024</t>
  </si>
  <si>
    <t>$O$1:$O$109</t>
  </si>
  <si>
    <t>Jan 26 - Feb 27</t>
  </si>
  <si>
    <t>$O$9</t>
  </si>
  <si>
    <t>Feb 27 - Mar 26</t>
  </si>
  <si>
    <t>Mar 26 - Apr 26</t>
  </si>
  <si>
    <t>$O$11</t>
  </si>
  <si>
    <t>Apr 26 - May 26</t>
  </si>
  <si>
    <t>May 26 - Jun 26</t>
  </si>
  <si>
    <t>$O$13</t>
  </si>
  <si>
    <t>Jun 26 - Jul 26</t>
  </si>
  <si>
    <t>$O$14</t>
  </si>
  <si>
    <t>Jul 26 - Aug 26</t>
  </si>
  <si>
    <t>$O$15</t>
  </si>
  <si>
    <t>Aug 26 - Sep 26</t>
  </si>
  <si>
    <t>$O$16</t>
  </si>
  <si>
    <t>Sep 26 - Oct 26</t>
  </si>
  <si>
    <t>$O$17</t>
  </si>
  <si>
    <t>Oct 26 - Nov 26</t>
  </si>
  <si>
    <t>$O$18</t>
  </si>
  <si>
    <t>Nov 26- Dec 26</t>
  </si>
  <si>
    <t>$O$19</t>
  </si>
  <si>
    <t>Jan 26 - Feb 26</t>
  </si>
  <si>
    <t>Feb 26 - Mar 26</t>
  </si>
  <si>
    <t>Jan 03 - Feb 02</t>
  </si>
  <si>
    <t>Feb 02 - Mar 03</t>
  </si>
  <si>
    <t>Mar 03 -Apr 02</t>
  </si>
  <si>
    <t>Apr 02 - May 02</t>
  </si>
  <si>
    <t>May 02 - Jun 01</t>
  </si>
  <si>
    <t>Jun 01 - Jul 01</t>
  </si>
  <si>
    <t>Jul 01 - Jul 31</t>
  </si>
  <si>
    <t>Aug 01 - Sep 01</t>
  </si>
  <si>
    <t>Sep 01 - Oct 01</t>
  </si>
  <si>
    <t>Oct 01 - Nov 03</t>
  </si>
  <si>
    <t>Nov 03 - Dec 03</t>
  </si>
  <si>
    <t>Dec 03 - Jan 03, 2024</t>
  </si>
  <si>
    <t>$Q$9</t>
  </si>
  <si>
    <t>$Q$10</t>
  </si>
  <si>
    <t>$Q$11</t>
  </si>
  <si>
    <t>$Q$12</t>
  </si>
  <si>
    <t>$Q$13</t>
  </si>
  <si>
    <t>$Q$14</t>
  </si>
  <si>
    <t>$Q$15</t>
  </si>
  <si>
    <t>$Q$16</t>
  </si>
  <si>
    <t>$Q$17</t>
  </si>
  <si>
    <t>$Q$18</t>
  </si>
  <si>
    <t>$Q$19</t>
  </si>
  <si>
    <t>$S$9</t>
  </si>
  <si>
    <t>$S$10</t>
  </si>
  <si>
    <t>$S$11</t>
  </si>
  <si>
    <t>$S$12</t>
  </si>
  <si>
    <t>$S$13</t>
  </si>
  <si>
    <t>$S$14</t>
  </si>
  <si>
    <t>$S$15</t>
  </si>
  <si>
    <t>$S$17</t>
  </si>
  <si>
    <t>$S$18</t>
  </si>
  <si>
    <t>$S$19</t>
  </si>
  <si>
    <t>$K$8</t>
  </si>
  <si>
    <t>$K$13</t>
  </si>
  <si>
    <t>$K$14</t>
  </si>
  <si>
    <t>$K$15</t>
  </si>
  <si>
    <t>$K$16</t>
  </si>
  <si>
    <t>$K$17</t>
  </si>
  <si>
    <t>$K$18</t>
  </si>
  <si>
    <t xml:space="preserve">Consumption </t>
  </si>
  <si>
    <t>Total generated for three generator sets</t>
  </si>
  <si>
    <t>$O$8:$O$18</t>
  </si>
  <si>
    <t>$N$7</t>
  </si>
  <si>
    <t>Armored vehicles
Vans</t>
  </si>
  <si>
    <t>Total consumption for 3- Service Vehicles</t>
  </si>
  <si>
    <t>$P$8</t>
  </si>
  <si>
    <t>Total consumption for 3- Armored</t>
  </si>
  <si>
    <t>$P$11</t>
  </si>
  <si>
    <t>$P$12</t>
  </si>
  <si>
    <t>$P$14</t>
  </si>
  <si>
    <t>$P$15</t>
  </si>
  <si>
    <t>$P$17</t>
  </si>
  <si>
    <t>$P$18</t>
  </si>
  <si>
    <t>$R$8:$R$18</t>
  </si>
  <si>
    <t>$J$22</t>
  </si>
  <si>
    <t>$J$23</t>
  </si>
  <si>
    <t>$J$24</t>
  </si>
  <si>
    <t>$J$25</t>
  </si>
  <si>
    <t>$J$26</t>
  </si>
  <si>
    <t>$J$27</t>
  </si>
  <si>
    <t>$J$28</t>
  </si>
  <si>
    <t>$J$29</t>
  </si>
  <si>
    <t>$J$30</t>
  </si>
  <si>
    <t>$K$19</t>
  </si>
  <si>
    <t>$K$20</t>
  </si>
  <si>
    <t>$K$21</t>
  </si>
  <si>
    <t>$K$22</t>
  </si>
  <si>
    <t>$K$23</t>
  </si>
  <si>
    <t>$K$24</t>
  </si>
  <si>
    <t>$K$25</t>
  </si>
  <si>
    <t>$K$26</t>
  </si>
  <si>
    <t>$K$27</t>
  </si>
  <si>
    <t>$K$28</t>
  </si>
  <si>
    <t>$K$29</t>
  </si>
  <si>
    <t>$K$30</t>
  </si>
  <si>
    <t>$L$20</t>
  </si>
  <si>
    <t>$L$21</t>
  </si>
  <si>
    <t>$L$22</t>
  </si>
  <si>
    <t>$L$23</t>
  </si>
  <si>
    <t>$L$24</t>
  </si>
  <si>
    <t>$L$25</t>
  </si>
  <si>
    <t>$L$26</t>
  </si>
  <si>
    <t>$L$27</t>
  </si>
  <si>
    <t>$L$28</t>
  </si>
  <si>
    <t>$L$29</t>
  </si>
  <si>
    <t>$L$30</t>
  </si>
  <si>
    <t>$N$20</t>
  </si>
  <si>
    <t>$N$21</t>
  </si>
  <si>
    <t>$N$22</t>
  </si>
  <si>
    <t>$N$23</t>
  </si>
  <si>
    <t>$N$24</t>
  </si>
  <si>
    <t>$N$25</t>
  </si>
  <si>
    <t>$N$26</t>
  </si>
  <si>
    <t>$N$27</t>
  </si>
  <si>
    <t>$N$28</t>
  </si>
  <si>
    <t>$N$29</t>
  </si>
  <si>
    <t>$N$30</t>
  </si>
  <si>
    <t>$P$19</t>
  </si>
  <si>
    <t>$P$20</t>
  </si>
  <si>
    <t>$P$21</t>
  </si>
  <si>
    <t>$P$22</t>
  </si>
  <si>
    <t>$P$23</t>
  </si>
  <si>
    <t>$P$24</t>
  </si>
  <si>
    <t>$P$25</t>
  </si>
  <si>
    <t>$P$26</t>
  </si>
  <si>
    <t>$P$27</t>
  </si>
  <si>
    <t>$P$28</t>
  </si>
  <si>
    <t>$P$29</t>
  </si>
  <si>
    <t>$P$30</t>
  </si>
  <si>
    <t>$R$19</t>
  </si>
  <si>
    <t>$R$18</t>
  </si>
  <si>
    <t>$R$20:$R$30</t>
  </si>
  <si>
    <t>Samsung VRF System</t>
  </si>
  <si>
    <t>GF and 2F Area</t>
  </si>
  <si>
    <t>Lobby</t>
  </si>
  <si>
    <t>COD Paying Teller</t>
  </si>
  <si>
    <t>COD Hallway</t>
  </si>
  <si>
    <t>Ground Floor</t>
  </si>
  <si>
    <t>COD Mngr's Office</t>
  </si>
  <si>
    <t>COD BOIV Office</t>
  </si>
  <si>
    <t>COD Waiting Area</t>
  </si>
  <si>
    <t>COD Receiving Area</t>
  </si>
  <si>
    <t>COD Releasing Area</t>
  </si>
  <si>
    <t>COD Money Counter</t>
  </si>
  <si>
    <t>GF Lobby</t>
  </si>
  <si>
    <t>GF COD Hallway</t>
  </si>
  <si>
    <t>GF COD Paying Teller</t>
  </si>
  <si>
    <t>GF COD Mngr's Office</t>
  </si>
  <si>
    <t>GF COD BOIV Office</t>
  </si>
  <si>
    <t>GF COD Waiting Area</t>
  </si>
  <si>
    <t>GF COD Receiving Area</t>
  </si>
  <si>
    <t>GF COD Releasing Area</t>
  </si>
  <si>
    <t>GF COD Money Counter</t>
  </si>
  <si>
    <t xml:space="preserve">GF </t>
  </si>
  <si>
    <t>GF COD Money Counter Area</t>
  </si>
  <si>
    <t>GF ABM Area</t>
  </si>
  <si>
    <t>GF COO Area</t>
  </si>
  <si>
    <t>SF Multipurpose Room</t>
  </si>
  <si>
    <t>SF Conference/EFLC Area</t>
  </si>
  <si>
    <t>SF Multipurpose Area</t>
  </si>
  <si>
    <t>COA Office</t>
  </si>
  <si>
    <t>SF COA Office</t>
  </si>
  <si>
    <t>SF CCTV Control Room</t>
  </si>
  <si>
    <t>SF CCTV Server Room</t>
  </si>
  <si>
    <t>OSD/FSS Area</t>
  </si>
  <si>
    <t>OAD</t>
  </si>
  <si>
    <t>PSD Office</t>
  </si>
  <si>
    <t>$M$20</t>
  </si>
  <si>
    <t>$M$21</t>
  </si>
  <si>
    <t>$M$22</t>
  </si>
  <si>
    <t>$M$23</t>
  </si>
  <si>
    <t>$M$24</t>
  </si>
  <si>
    <t>$M$25</t>
  </si>
  <si>
    <t>$M$26</t>
  </si>
  <si>
    <t>$M$27</t>
  </si>
  <si>
    <t>residential and Commercial A/C, including Heat Pumps</t>
  </si>
  <si>
    <t>SF OSD/FSS Area</t>
  </si>
  <si>
    <t>$M$28</t>
  </si>
  <si>
    <t>$M$30</t>
  </si>
  <si>
    <t>$M$29</t>
  </si>
  <si>
    <t xml:space="preserve">SF OAD </t>
  </si>
  <si>
    <t>$J$31</t>
  </si>
  <si>
    <t>$K$31</t>
  </si>
  <si>
    <t>$L$31</t>
  </si>
  <si>
    <t>$M$31</t>
  </si>
  <si>
    <t>$N$31</t>
  </si>
  <si>
    <t>$W$10</t>
  </si>
  <si>
    <t>$W$11</t>
  </si>
  <si>
    <t>$W$12</t>
  </si>
  <si>
    <t>$W$13</t>
  </si>
  <si>
    <t>Samsung VRF System - Floor Mounted</t>
  </si>
  <si>
    <t>Samsung VRF System - Wall Mount</t>
  </si>
  <si>
    <t xml:space="preserve">Samsung VRF System - </t>
  </si>
  <si>
    <t>Samsung VRF System - Ceiling Mounted</t>
  </si>
  <si>
    <t>Samsung VRF System - Wall Mounted</t>
  </si>
  <si>
    <t>Samsung VRF System - wall Mounted</t>
  </si>
  <si>
    <t>$W$14</t>
  </si>
  <si>
    <t>$W$15</t>
  </si>
  <si>
    <t>$W$16</t>
  </si>
  <si>
    <t>$W$17</t>
  </si>
  <si>
    <t>$W$18</t>
  </si>
  <si>
    <t>$W$19</t>
  </si>
  <si>
    <t>$W$20</t>
  </si>
  <si>
    <t>$W$21</t>
  </si>
  <si>
    <t>$W$22</t>
  </si>
  <si>
    <t>$W$23</t>
  </si>
  <si>
    <t>$W$24</t>
  </si>
  <si>
    <t>$W$25</t>
  </si>
  <si>
    <t>$W$26</t>
  </si>
  <si>
    <t>$W$27</t>
  </si>
  <si>
    <t>$W$28</t>
  </si>
  <si>
    <t>$W$29</t>
  </si>
  <si>
    <t>Daikin Split type - Wall mounted</t>
  </si>
  <si>
    <t>$W$31</t>
  </si>
  <si>
    <t>Daikin Split type - Ceiling Mounted</t>
  </si>
  <si>
    <t>$W$30</t>
  </si>
  <si>
    <t>Carrier Split ype - Wall mounted</t>
  </si>
  <si>
    <t>mar</t>
  </si>
  <si>
    <t>$Q$20</t>
  </si>
  <si>
    <t>$Q$21</t>
  </si>
  <si>
    <t>$Q$23</t>
  </si>
  <si>
    <t>$Q$22</t>
  </si>
  <si>
    <t>$Q$24</t>
  </si>
  <si>
    <t>$Q$25</t>
  </si>
  <si>
    <t>$Q$26</t>
  </si>
  <si>
    <t>$Q$27</t>
  </si>
  <si>
    <t>GF Lobby System 1 &amp; 2</t>
  </si>
  <si>
    <t>GF Lobby System</t>
  </si>
  <si>
    <t>$J$32:$J$50</t>
  </si>
  <si>
    <t>$L$32:$L$50</t>
  </si>
  <si>
    <t>$M$32:$M$50</t>
  </si>
  <si>
    <t>$N$32:$N$50</t>
  </si>
  <si>
    <t>$K$32</t>
  </si>
  <si>
    <t>$K$33</t>
  </si>
  <si>
    <t>$K$34</t>
  </si>
  <si>
    <t>$K$35</t>
  </si>
  <si>
    <t>$K$36</t>
  </si>
  <si>
    <t>$K$37</t>
  </si>
  <si>
    <t>$K$38</t>
  </si>
  <si>
    <t>$K$39</t>
  </si>
  <si>
    <t>$K$41</t>
  </si>
  <si>
    <t>$K$42</t>
  </si>
  <si>
    <t>$K$43</t>
  </si>
  <si>
    <t>$K$44</t>
  </si>
  <si>
    <t>$K$45</t>
  </si>
  <si>
    <t>$K$46</t>
  </si>
  <si>
    <t>$K$47</t>
  </si>
  <si>
    <t>$K$48</t>
  </si>
  <si>
    <t>$K$49</t>
  </si>
  <si>
    <t>$K$50</t>
  </si>
  <si>
    <t>$Q$32</t>
  </si>
  <si>
    <t>$Q$33</t>
  </si>
  <si>
    <t>$Q$34</t>
  </si>
  <si>
    <t>$Q$35</t>
  </si>
  <si>
    <t>$Q$36</t>
  </si>
  <si>
    <t>$Q$37</t>
  </si>
  <si>
    <t>nov</t>
  </si>
  <si>
    <t>$Q$38</t>
  </si>
  <si>
    <t>$Q$39</t>
  </si>
  <si>
    <t>$Q$40</t>
  </si>
  <si>
    <t>$Q$41</t>
  </si>
  <si>
    <t>$Q$42</t>
  </si>
  <si>
    <t>$Q$43</t>
  </si>
  <si>
    <t>$Q$44</t>
  </si>
  <si>
    <t>$Q$45</t>
  </si>
  <si>
    <t>$Q$46</t>
  </si>
  <si>
    <t>$Q$47</t>
  </si>
  <si>
    <t>$Q$48</t>
  </si>
  <si>
    <t>$Q$49</t>
  </si>
  <si>
    <t>$Q$50</t>
  </si>
  <si>
    <t>$R$32</t>
  </si>
  <si>
    <t>$J$11:$J$13</t>
  </si>
  <si>
    <t>$J$14:$J$16</t>
  </si>
  <si>
    <t>$J$20:$J$22</t>
  </si>
  <si>
    <t>$J$23:$J$25</t>
  </si>
  <si>
    <t>$J$29:$J$31</t>
  </si>
  <si>
    <t>$J$32:$J$34</t>
  </si>
  <si>
    <t>$J$35</t>
  </si>
  <si>
    <t>$J$36</t>
  </si>
  <si>
    <t>$J$37</t>
  </si>
  <si>
    <t>$J$38:$J$40</t>
  </si>
  <si>
    <t>$J$41:$J$43</t>
  </si>
  <si>
    <t>$L$17:$L$19</t>
  </si>
  <si>
    <t>$L$26:$L$28</t>
  </si>
  <si>
    <t>$L$35:$L$37</t>
  </si>
  <si>
    <t>$L$20:$L$22</t>
  </si>
  <si>
    <t>$L$29:$L$31</t>
  </si>
  <si>
    <t>$L$38:$L$40</t>
  </si>
  <si>
    <t>$L$23:$L$25</t>
  </si>
  <si>
    <t>$L$32:$L$34</t>
  </si>
  <si>
    <t>$L$41:$L$43</t>
  </si>
  <si>
    <t>$N$20:$N$31</t>
  </si>
  <si>
    <t>$N$32:$N$43</t>
  </si>
  <si>
    <t>$A$27:$G$37</t>
  </si>
  <si>
    <t>$J$51</t>
  </si>
  <si>
    <t>$K$51</t>
  </si>
  <si>
    <t>$L$51</t>
  </si>
  <si>
    <t>$M$51</t>
  </si>
  <si>
    <t>$N$51</t>
  </si>
  <si>
    <t>$Q$51</t>
  </si>
  <si>
    <t>$W$32:$W$51</t>
  </si>
  <si>
    <t>$J$32:$J$51</t>
  </si>
  <si>
    <t>$K$32:$K$51</t>
  </si>
  <si>
    <t>$L$32:$M$51</t>
  </si>
  <si>
    <t>$J$31:$J$49</t>
  </si>
  <si>
    <t>$L$32</t>
  </si>
  <si>
    <t>$L$33</t>
  </si>
  <si>
    <t>$L$34</t>
  </si>
  <si>
    <t>$L$35</t>
  </si>
  <si>
    <t>$L$36</t>
  </si>
  <si>
    <t>$L$37</t>
  </si>
  <si>
    <t>$L$38</t>
  </si>
  <si>
    <t>$L$39</t>
  </si>
  <si>
    <t>$L$40</t>
  </si>
  <si>
    <t>$L$41</t>
  </si>
  <si>
    <t>$L$42</t>
  </si>
  <si>
    <t>$L$43</t>
  </si>
  <si>
    <t>$L$44</t>
  </si>
  <si>
    <t>$L$45</t>
  </si>
  <si>
    <t>$L$46</t>
  </si>
  <si>
    <t>$L$47</t>
  </si>
  <si>
    <t>$L$48</t>
  </si>
  <si>
    <t>$L$49</t>
  </si>
  <si>
    <t>$M$32</t>
  </si>
  <si>
    <t>$M$33</t>
  </si>
  <si>
    <t>$M$34</t>
  </si>
  <si>
    <t>$M$35</t>
  </si>
  <si>
    <t>$M$36</t>
  </si>
  <si>
    <t>$M$37</t>
  </si>
  <si>
    <t>$M$38</t>
  </si>
  <si>
    <t>$M$39</t>
  </si>
  <si>
    <t>$M$40</t>
  </si>
  <si>
    <t>$M$41</t>
  </si>
  <si>
    <t>$M$42</t>
  </si>
  <si>
    <t>$M$43</t>
  </si>
  <si>
    <t>$M$44</t>
  </si>
  <si>
    <t>$M$45</t>
  </si>
  <si>
    <t>$M$46</t>
  </si>
  <si>
    <t>$M$47</t>
  </si>
  <si>
    <t>$M$48</t>
  </si>
  <si>
    <t>$M$49</t>
  </si>
  <si>
    <t>$N$49</t>
  </si>
  <si>
    <t>$N$50</t>
  </si>
  <si>
    <t>$J$50</t>
  </si>
  <si>
    <t>$L$50</t>
  </si>
  <si>
    <t>$M$50</t>
  </si>
  <si>
    <t>$W$32:$W$42</t>
  </si>
  <si>
    <t>$W$43:$W$50</t>
  </si>
  <si>
    <t>$Q$31</t>
  </si>
  <si>
    <t>$W$32:$W$50</t>
  </si>
  <si>
    <t>$W$31:$W$49</t>
  </si>
  <si>
    <t>$W$50</t>
  </si>
  <si>
    <t>Shredded Notes</t>
  </si>
  <si>
    <t>$O$12:$O$13</t>
  </si>
  <si>
    <t>$L$18:$L$22</t>
  </si>
  <si>
    <t>$J$17:$J$23</t>
  </si>
  <si>
    <t>$L$23:$L$32</t>
  </si>
  <si>
    <t>$L$33:$L$42</t>
  </si>
  <si>
    <t>$J$24:$J$42</t>
  </si>
  <si>
    <t>$J$43</t>
  </si>
  <si>
    <t>$O$20</t>
  </si>
  <si>
    <t>Waste materials collected from the office consist primarily of recyclable items plastic containers</t>
  </si>
  <si>
    <t>$O$9:$O$10</t>
  </si>
  <si>
    <t>Waste consists of shredded currency notes generated from retirement of currency.</t>
  </si>
  <si>
    <t>Waste collected from the office includes non-recyclable and non-hazardous materials such as food wrappers, used tissue paper, and other mixed waste.</t>
  </si>
  <si>
    <t>$O$15:$O$16</t>
  </si>
  <si>
    <t>Hazardous waste generated consist of toner and drum cartridges (WEEE) temporarily stored in the branch HW scheduled to be disposal by 3rd quarter of 2025</t>
  </si>
  <si>
    <t>Hazardous waste generated includes toner and drum cartridges classified as WEEE. These items are temporarily stored at the branch’s hazardous waster oom and are scheduled for proper disposal within the third quarter of 2025.</t>
  </si>
  <si>
    <t>Hazardous waste generated includes toner and drum cartridges classified as D402. These items are temporarily stored at the branch’s hazardous waste oom and are scheduled for proper disposal within the third quarter of 2025.</t>
  </si>
  <si>
    <t>Hazardous waste generated includes toner and drum cartridges classified as WEEE. These items are temporarily stored at the branch’s hazardous waste oom and are scheduled for proper disposal within the third quarter of 2025.</t>
  </si>
  <si>
    <t>Hazardous waste generated includes toner and drum cartridges classified as WEEE. These items are temporarily stored at the branch’s hazardous waste Room and are scheduled for proper disposal within the third quarter of 2025.</t>
  </si>
  <si>
    <t>Hazardous waste generated includes toner and drum cartridges classified as WEEE. These items are temporarily stored at the branch’s hazardous waste room and are scheduled for proper disposal within the third quarter of 2025.</t>
  </si>
  <si>
    <t>Hazardous waste generated includes toner and drum cartridges classified as D402. These items are temporarily stored at the branch’s hazardous waste room and are scheduled for proper disposal within the third quarter of 2025.</t>
  </si>
  <si>
    <t>$O$21</t>
  </si>
  <si>
    <t>$O$28</t>
  </si>
  <si>
    <t>Hazardous waste generated includes toner and drum cartridges classified as WEEE (M506), I104, D406 . These items are temporarily stored at the branch’s hazardous waste room and are scheduled for proper disposal within the third quarter of 2025.</t>
  </si>
  <si>
    <t>Hazardous waste generated includes toner and drum cartridges classified as WEEE (M506), I104, D406 and D402. These items are temporarily stored at the branch’s hazardous waste room and are scheduled for proper disposal within the third quarter of 2025.</t>
  </si>
  <si>
    <t>$O$29</t>
  </si>
  <si>
    <t>Hazardous waste generated includes toner and drum cartridges classified as WEEE (M506) and I104. These items are temporarily stored at the branch’s hazardous waste room and are scheduled for proper disposal within the third quarter of 2025.</t>
  </si>
  <si>
    <t>$O$30</t>
  </si>
  <si>
    <t>Hazardous waste generated includes M506, I104, D406 and D402. These items are temporarily stored at the branch’s hazardous waste room and are scheduled for proper disposal within the third quarter of 2025.</t>
  </si>
  <si>
    <t>Hazardous waste generated includes M506 and I104. These items are temporarily stored at the branch’s hazardous waste room and are scheduled for proper disposal within the third quarter of 2025.</t>
  </si>
  <si>
    <t>Hazardous waste generated includes M506 and D402. These items are temporarily stored at the branch’s hazardous waste room and are scheduled for proper disposal within the third quarter of 2025.</t>
  </si>
  <si>
    <t>Hazardous waste generated includes toner and drum cartridges classified as WEEE (M506). These items are temporarily stored at the branch’s hazardous waste room and are scheduled for proper disposal within the third quarter of 2025.</t>
  </si>
  <si>
    <t>Hazardous waste generated includes D402. These items are temporarily stored at the branch’s hazardous waste room and are scheduled for proper disposal within the third quarter of 2025.</t>
  </si>
  <si>
    <t>$J$32</t>
  </si>
  <si>
    <t>$J$33</t>
  </si>
  <si>
    <t>$J$34</t>
  </si>
  <si>
    <t>$J$38</t>
  </si>
  <si>
    <t>$J$39</t>
  </si>
  <si>
    <t>$J$40</t>
  </si>
  <si>
    <t>$J$41</t>
  </si>
  <si>
    <t>$J$42</t>
  </si>
  <si>
    <t>$O$41</t>
  </si>
  <si>
    <t>Hazardous waste generated includes M506. These items are temporarily stored at the branch’s hazardous waste room and are scheduled for proper disposal within the third quarter of 2025.</t>
  </si>
  <si>
    <t>$J$44</t>
  </si>
  <si>
    <t>$J$45</t>
  </si>
  <si>
    <t>$N$44</t>
  </si>
  <si>
    <t>$N$45</t>
  </si>
  <si>
    <t>$J$46</t>
  </si>
  <si>
    <t>$J$47</t>
  </si>
  <si>
    <t>$J$48</t>
  </si>
  <si>
    <t>$N$46</t>
  </si>
  <si>
    <t>$N$47</t>
  </si>
  <si>
    <t>$N$48</t>
  </si>
  <si>
    <t>$J$49</t>
  </si>
  <si>
    <t>$J$52</t>
  </si>
  <si>
    <t>$J$53</t>
  </si>
  <si>
    <t>$J$54</t>
  </si>
  <si>
    <t>$L$52</t>
  </si>
  <si>
    <t>$L$53</t>
  </si>
  <si>
    <t>$L$54</t>
  </si>
  <si>
    <t>$M$52</t>
  </si>
  <si>
    <t>$M$53</t>
  </si>
  <si>
    <t>$O$53</t>
  </si>
  <si>
    <t>Hazardous waste generated includes . These items are temporarily stored at the branch’s hazardous waste room and are scheduled for proper disposal within the third quarter of 2025.</t>
  </si>
  <si>
    <t>$P$53</t>
  </si>
  <si>
    <t>Hazardous waste generated includes I101, I104. These items are temporarily stored at the branch’s hazardous waste room and are scheduled for proper disposal within the third quarter of 2025.</t>
  </si>
  <si>
    <t>$M$54</t>
  </si>
  <si>
    <t>$O$54</t>
  </si>
  <si>
    <t>Hazardous waste generated includes D402, . These items are temporarily stored at the branch’s hazardous waste room and are scheduled for proper disposal within the third quarter of 2025.</t>
  </si>
  <si>
    <t>Hazardous waste generated includes D402, I104. These items are temporarily stored at the branch’s hazardous waste room and are scheduled for proper disposal within the third quarter of 2025.</t>
  </si>
  <si>
    <t>$O$31</t>
  </si>
  <si>
    <t>$O$32</t>
  </si>
  <si>
    <t>$O$33</t>
  </si>
  <si>
    <t>$O$43</t>
  </si>
  <si>
    <t>$O$44</t>
  </si>
  <si>
    <t>$O$45</t>
  </si>
  <si>
    <t>$O$22</t>
  </si>
  <si>
    <t>$O$23</t>
  </si>
  <si>
    <t>$O$24</t>
  </si>
  <si>
    <t>No waste generated and disposed in this month</t>
  </si>
  <si>
    <t>$O$25</t>
  </si>
  <si>
    <t>$O$26</t>
  </si>
  <si>
    <t>$O$27</t>
  </si>
  <si>
    <t>$O$37</t>
  </si>
  <si>
    <t>$O$38</t>
  </si>
  <si>
    <t>$O$39</t>
  </si>
  <si>
    <t>$O$49</t>
  </si>
  <si>
    <t>$O$50</t>
  </si>
  <si>
    <t>$O$51</t>
  </si>
  <si>
    <t>$O$34</t>
  </si>
  <si>
    <t>$O$35</t>
  </si>
  <si>
    <t>$O$36</t>
  </si>
  <si>
    <t>No hazardous waste generated in this month</t>
  </si>
  <si>
    <t>$O$40</t>
  </si>
  <si>
    <t>$O$42</t>
  </si>
  <si>
    <t>$O$46</t>
  </si>
  <si>
    <t>$O$47</t>
  </si>
  <si>
    <t>$O$48</t>
  </si>
  <si>
    <t>$O$52</t>
  </si>
  <si>
    <t>Hazardous waste generated includes I101 and I104. These items are temporarily stored at the branch’s hazardous waste room and are scheduled for proper disposal within the third quarter of 2025.</t>
  </si>
  <si>
    <t>Hazardous waste generated includes D402 and I104. These items are temporarily stored at the branch’s hazardous waste room and are scheduled for proper disposal within the third quarter of 2025.</t>
  </si>
  <si>
    <t>$N$43</t>
  </si>
  <si>
    <t>$N$42</t>
  </si>
  <si>
    <t>$N$53</t>
  </si>
  <si>
    <t>$N$54</t>
  </si>
  <si>
    <t>$J$55</t>
  </si>
  <si>
    <t>$J$56</t>
  </si>
  <si>
    <t>$J$57</t>
  </si>
  <si>
    <t>$J$58</t>
  </si>
  <si>
    <t>$J$59</t>
  </si>
  <si>
    <t>$J$60</t>
  </si>
  <si>
    <t>$J$61</t>
  </si>
  <si>
    <t>$J$62</t>
  </si>
  <si>
    <t>$J$63</t>
  </si>
  <si>
    <t>$J$64</t>
  </si>
  <si>
    <t>$J$65</t>
  </si>
  <si>
    <t>$J$66</t>
  </si>
  <si>
    <t>$L$55</t>
  </si>
  <si>
    <t>$L$56</t>
  </si>
  <si>
    <t>$L$57</t>
  </si>
  <si>
    <t>$L$58</t>
  </si>
  <si>
    <t>$L$59</t>
  </si>
  <si>
    <t>$L$60</t>
  </si>
  <si>
    <t>$L$61</t>
  </si>
  <si>
    <t>$L$62</t>
  </si>
  <si>
    <t>$L$63</t>
  </si>
  <si>
    <t>$L$64</t>
  </si>
  <si>
    <t>$L$65</t>
  </si>
  <si>
    <t>$L$66</t>
  </si>
  <si>
    <t>$N$55</t>
  </si>
  <si>
    <t>$N$56</t>
  </si>
  <si>
    <t>$N$57</t>
  </si>
  <si>
    <t>$N$58</t>
  </si>
  <si>
    <t>$N$59</t>
  </si>
  <si>
    <t>$N$60</t>
  </si>
  <si>
    <t>$N$61</t>
  </si>
  <si>
    <t>$N$62</t>
  </si>
  <si>
    <t>$N$63</t>
  </si>
  <si>
    <t>$N$64</t>
  </si>
  <si>
    <t>$N$65</t>
  </si>
  <si>
    <t>$N$66</t>
  </si>
  <si>
    <t>$M$55</t>
  </si>
  <si>
    <t>$M$56</t>
  </si>
  <si>
    <t>$M$57</t>
  </si>
  <si>
    <t>$M$58</t>
  </si>
  <si>
    <t>$M$59</t>
  </si>
  <si>
    <t>$M$60</t>
  </si>
  <si>
    <t>$M$61</t>
  </si>
  <si>
    <t>$M$62</t>
  </si>
  <si>
    <t>$M$63</t>
  </si>
  <si>
    <t>$M$64</t>
  </si>
  <si>
    <t>$M$65</t>
  </si>
  <si>
    <t>$M$66</t>
  </si>
  <si>
    <t>Estimated waste generated for the month as per daily collection of inhouse janitorial personnel</t>
  </si>
  <si>
    <t>$O$55</t>
  </si>
  <si>
    <t>$O$56</t>
  </si>
  <si>
    <t>$O$57</t>
  </si>
  <si>
    <t>$O$58</t>
  </si>
  <si>
    <t>$O$59</t>
  </si>
  <si>
    <t>$O$60</t>
  </si>
  <si>
    <t>$O$61</t>
  </si>
  <si>
    <t>$O$62</t>
  </si>
  <si>
    <t>$O$63</t>
  </si>
  <si>
    <t>$O$64</t>
  </si>
  <si>
    <t>$O$65</t>
  </si>
  <si>
    <t>$O$66</t>
  </si>
  <si>
    <t>Estimated Waste generated fof the month as per daily collection of janitorial personnel, materials collected from the office consist primarily of recyclable items plastic containers</t>
  </si>
  <si>
    <t>Estimated Waste generated for the month as per daily collection of janitorial personnel, materials collected from the office consist primarily of recyclable items plastic containers</t>
  </si>
  <si>
    <t xml:space="preserve">Waste consists of shredded currency notes generated from retirement of currency, base on number of bags @20kg/bag collected by LGU </t>
  </si>
  <si>
    <t>septic tank with two chambers is generally considered a form of in-house (on-site) wastewater treatment system.</t>
  </si>
  <si>
    <t>Septic tank with two chambers in-house wastewater treatment system.</t>
  </si>
  <si>
    <t>Septic tank with two chambers onsite wastewater treatment system.</t>
  </si>
  <si>
    <t>$T$10</t>
  </si>
  <si>
    <t>$U$8</t>
  </si>
  <si>
    <t>$U$10</t>
  </si>
  <si>
    <t>$U$11</t>
  </si>
  <si>
    <t>$U$12</t>
  </si>
  <si>
    <t>$U$13</t>
  </si>
  <si>
    <t>Siphoning conducted by DENR accredited service provider with treatment facility</t>
  </si>
  <si>
    <t>$U$14</t>
  </si>
  <si>
    <t>$U$19</t>
  </si>
  <si>
    <t>$T$14</t>
  </si>
  <si>
    <t>$T$19</t>
  </si>
  <si>
    <t>$T$11</t>
  </si>
  <si>
    <t>$T$12</t>
  </si>
  <si>
    <t>$T$13</t>
  </si>
  <si>
    <t>$T$8:$T$13</t>
  </si>
  <si>
    <t>$U$15</t>
  </si>
  <si>
    <t>$U$16</t>
  </si>
  <si>
    <t>$U$17</t>
  </si>
  <si>
    <t>$U$18</t>
  </si>
  <si>
    <t>Septic vault and catch basin with two chambers in-house wastewater treatment system.</t>
  </si>
  <si>
    <t>$T$15</t>
  </si>
  <si>
    <t>$T$17</t>
  </si>
  <si>
    <t>$T$18</t>
  </si>
  <si>
    <t>Number (2 decimal points)</t>
  </si>
  <si>
    <t>Total generated for three generator sets, Stamford Cummins / KDG150-SSC , 120kw Diesel Engine Generator Set No. 1
Dieselec Kohler / DK25S, 20kw Diesel Engine Generator Set No. 2
Dongfeng Cummins / DIYC165R5, 145kw Engine Generator Set No. 3</t>
  </si>
  <si>
    <t>Total generated for three generator sets, 
Stamford Cummins / KDG150-SSC , 120kw Diesel Engine Generator Set No. 1
Dieselec Kohler / DK25S, 20kw Diesel Engine Generator Set No. 2
Dongfeng Cummins / DIYC165R5, 145kw Engine Generator Set No. 3</t>
  </si>
  <si>
    <t>Total generated for three generator sets, Stamford Cummins / KDG150-SSC , 120kw Diesel Engine Generator Set No. 1, Dieselec Kohler / DK25S, 20kw Diesel Engine Generator Set No. 2, Dongfeng Cummins / DIYC165R5, 145kw Engine Generator Set No. 3</t>
  </si>
  <si>
    <t>$E$48</t>
  </si>
  <si>
    <t>Billing Period: Dec 26, 2023 - Jan 26, 2024</t>
  </si>
  <si>
    <t>Billing Period: Jan 26 - Feb 26</t>
  </si>
  <si>
    <t>Billing Period: Feb 26 - Mar 26</t>
  </si>
  <si>
    <t>Billing Period: Mar 26 - Apr 26</t>
  </si>
  <si>
    <t>Billing Period: Apr 26 - May 26</t>
  </si>
  <si>
    <t>Billing Period: May 26 - Jun 26</t>
  </si>
  <si>
    <t>Billing Period: Jun 26 - Jul 26</t>
  </si>
  <si>
    <t>Billing Period: Jul 26 - Aug 26</t>
  </si>
  <si>
    <t>Billing Period: Aug 26 - Sep 26</t>
  </si>
  <si>
    <t>Billing Period: Sep 26 - Oct 26</t>
  </si>
  <si>
    <t>Billing Period: Oct 26 - Nov 26</t>
  </si>
  <si>
    <t>Billing Period: Nov 26- Dec 26</t>
  </si>
  <si>
    <t>Billing Period: Jan 03 - Feb 02</t>
  </si>
  <si>
    <t>Billing Period: Feb 02 - Mar 03</t>
  </si>
  <si>
    <t>Billing Period: Mar 03 -Apr 02</t>
  </si>
  <si>
    <t>Billing Period: Apr 02 - May 02</t>
  </si>
  <si>
    <t>Billing Period: May 02 - Jun 01</t>
  </si>
  <si>
    <t>Billing Period: Jun 01 - Jul 01</t>
  </si>
  <si>
    <t>Billing Period: Jul 01 - Jul 31</t>
  </si>
  <si>
    <t>Billing Period: Aug 01 - Sep 01</t>
  </si>
  <si>
    <t>Billing Period: Sep 01 - Oct 01</t>
  </si>
  <si>
    <t>Billing Period: Oct 01 - Nov 03</t>
  </si>
  <si>
    <t>Billing Period: Nov 03 - Dec 03</t>
  </si>
  <si>
    <t>Billing Period: Dec 03 - Jan 03, 2024</t>
  </si>
  <si>
    <t>2units-14kw Samsung VRF System - Floor Mounted</t>
  </si>
  <si>
    <t>2units - 14kw Samsung VRF System - Floor Mounted</t>
  </si>
  <si>
    <t>2units - 5.6kw Samsung VRF System - Wall Mounted</t>
  </si>
  <si>
    <t>2units - 14kw Samsung VRF System - Ceiling Mounted</t>
  </si>
  <si>
    <t>1unit - 3.6kw Samsung VRF System - Wall Mounted</t>
  </si>
  <si>
    <t>1unit - 3.6kw Samsung VRF System - wall Mounted</t>
  </si>
  <si>
    <t>1unit - 10.5kw Samsung VRF System - Ceiling Mounted</t>
  </si>
  <si>
    <t>2 units - 11.2kw Samsung VRF System - Ceiling Mounted</t>
  </si>
  <si>
    <t>2 units - 14kw Samsung VRF System - Floor Mounted</t>
  </si>
  <si>
    <t>2 units - 5.6kw Samsung VRF System - Wall Mounted</t>
  </si>
  <si>
    <t>2 units - 14kw Samsung VRF System - Ceiling Mounted</t>
  </si>
  <si>
    <t>1 unit - 3.6kw Samsung VRF System - Wall Mounted</t>
  </si>
  <si>
    <t>1 unit - 3.6kw Samsung VRF System - wall Mounted</t>
  </si>
  <si>
    <t>1 unit - 10.5kw Samsung VRF System - Ceiling Mounted</t>
  </si>
  <si>
    <t>2 units - 10.5kw Samsung VRF System - Ceiling Mounted</t>
  </si>
  <si>
    <t>1 unit - 14kw Samsung VRF System - Ceiling Mounted</t>
  </si>
  <si>
    <t>1 unit - 10.5kw 1 unit - 3.6kw Samsung VRF System - Wall Mounted</t>
  </si>
  <si>
    <t>1 unit - 11.2kw Samsung VRF System - Ceiling Mounted</t>
  </si>
  <si>
    <t>2 units - 3.6kw Samsung VRF System - Wall Mounted</t>
  </si>
  <si>
    <t>2 units - 2.5hp Carrier Split ype - Wall mounted</t>
  </si>
  <si>
    <t>1 unit - 4tr Daikin Split type - Ceiling Mounted</t>
  </si>
  <si>
    <t>1 unit - 2.5hp Daikin Split type - Wall mounted</t>
  </si>
  <si>
    <t>2 units - 2.5hp Extreme window type</t>
  </si>
  <si>
    <t>$W$51</t>
  </si>
  <si>
    <t>2 units - 2.5hp Extreme window type, no refrigrant refill in this period</t>
  </si>
  <si>
    <t>$W$31:$W$40</t>
  </si>
  <si>
    <t>$R$31</t>
  </si>
  <si>
    <t>$W$31:$W$47</t>
  </si>
  <si>
    <t>$W$31:$W$41</t>
  </si>
  <si>
    <t>$W$42:$W$49</t>
  </si>
  <si>
    <t>$W$43:$W$49</t>
  </si>
  <si>
    <t>$W$52</t>
  </si>
  <si>
    <t>2 units - 2.5hp Carrier Split ype - Wall mounted, No refrigerant refill conducted</t>
  </si>
  <si>
    <t>1 unit - 4tr Daikin Split type - Ceiling Mounted, No refrigerant refill conducted</t>
  </si>
  <si>
    <t>1 unit - 2.5hp Daikin Split type - Wall mounted, No refrigerant refill conducted</t>
  </si>
  <si>
    <t>$K$52</t>
  </si>
  <si>
    <t>$N$52</t>
  </si>
  <si>
    <t>$N$7:$N$10</t>
  </si>
  <si>
    <t>$N$7:$N$18</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</si>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</sst>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quot;₱&quot;#,##0.00"/>
    <numFmt numFmtId="165" formatCode="_-* #,##0.00\ _€_-;\-* #,##0.00\ _€_-;_-* &quot;-&quot;??\ _€_-;_-@_-"/>
    <numFmt numFmtId="166" formatCode="&quot;₱&quot;#,##0.00"/>
    <numFmt numFmtId="167" formatCode="0.0000"/>
    <numFmt numFmtId="168" formatCode="#,##0.0000"/>
    <numFmt numFmtId="169"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6" fontId="8" fillId="3" borderId="0" xfId="0" applyNumberFormat="1" applyFont="1" applyFill="1" applyProtection="1">
      <protection locked="0"/>
    </xf>
    <xf numFmtId="166"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6" fontId="8" fillId="3" borderId="0" xfId="0" applyNumberFormat="1" applyFont="1" applyFill="1" applyAlignment="1" applyProtection="1">
      <alignment horizontal="center" vertical="center"/>
      <protection locked="0"/>
    </xf>
    <xf numFmtId="166"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6" fontId="12" fillId="25" borderId="6" xfId="0" applyNumberFormat="1" applyFont="1" applyFill="1" applyBorder="1" applyAlignment="1" applyProtection="1">
      <alignment horizontal="center" vertical="center"/>
      <protection locked="0"/>
    </xf>
    <xf numFmtId="166"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7" fontId="8" fillId="9" borderId="4" xfId="0" applyNumberFormat="1" applyFont="1" applyFill="1" applyBorder="1" applyProtection="1">
      <protection locked="0"/>
    </xf>
    <xf numFmtId="166"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8"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6"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6" fontId="8" fillId="3" borderId="7" xfId="0" applyNumberFormat="1" applyFont="1" applyFill="1" applyBorder="1" applyProtection="1">
      <protection locked="0"/>
    </xf>
    <xf numFmtId="166"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6" fontId="12" fillId="28" borderId="6" xfId="0" applyNumberFormat="1" applyFont="1" applyFill="1" applyBorder="1" applyAlignment="1" applyProtection="1">
      <alignment horizontal="center" vertical="center"/>
      <protection locked="0"/>
    </xf>
    <xf numFmtId="166"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6" fontId="8" fillId="13" borderId="26" xfId="0" applyNumberFormat="1" applyFont="1" applyFill="1" applyBorder="1" applyProtection="1">
      <protection locked="0"/>
    </xf>
    <xf numFmtId="166"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6" fontId="8" fillId="3" borderId="40" xfId="0" applyNumberFormat="1" applyFont="1" applyFill="1" applyBorder="1" applyProtection="1">
      <protection locked="0"/>
    </xf>
    <xf numFmtId="166"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6" fontId="8" fillId="3" borderId="45" xfId="0" applyNumberFormat="1" applyFont="1" applyFill="1" applyBorder="1" applyProtection="1">
      <protection locked="0"/>
    </xf>
    <xf numFmtId="166"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9"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6" fontId="8" fillId="13" borderId="50" xfId="0" applyNumberFormat="1" applyFont="1" applyFill="1" applyBorder="1" applyProtection="1">
      <protection locked="0"/>
    </xf>
    <xf numFmtId="166"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0" fontId="8" fillId="3" borderId="4" xfId="0" applyFont="1" applyFill="1" applyBorder="1" applyAlignment="1" applyProtection="1">
      <alignment wrapText="1"/>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6"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6">
      <sharedItems containsString="0" containsBlank="1" containsNumber="1" containsInteger="1" minValue="100" maxValue="8000"/>
    </cacheField>
    <cacheField name="Utility Provider" numFmtId="166">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2561273148"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24"/>
    </cacheField>
    <cacheField name="Vehicle Type" numFmtId="0">
      <sharedItems containsBlank="1" count="10">
        <s v="Van  "/>
        <s v="Armored Vehicle"/>
        <m/>
        <s v="Armored Vehicles" u="1"/>
        <s v="Motorbike" u="1"/>
        <s v="Passenger Car" u="1"/>
        <s v="Service Vehicles" u="1"/>
        <s v="Large Truck" u="1"/>
        <s v="Small Truck" u="1"/>
        <s v="Large Bu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237.96209999999999"/>
    </cacheField>
    <cacheField name="Unit" numFmtId="0">
      <sharedItems containsBlank="1"/>
    </cacheField>
    <cacheField name="Total kilometers travelled (all vehicles)" numFmtId="4">
      <sharedItems containsString="0" containsBlank="1" containsNumber="1" minValue="0.32" maxValue="2540"/>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60.25"/>
    <s v="Liters"/>
    <n v="1588"/>
    <s v="Kilometers"/>
    <s v="Total consumption for 3- Service Vehicles"/>
  </r>
  <r>
    <n v="2"/>
    <x v="0"/>
    <x v="0"/>
    <x v="1"/>
    <x v="0"/>
    <n v="184.56"/>
    <m/>
    <n v="2527"/>
    <s v="Kilometers"/>
    <s v="Total consumption for 3- Service Vehicles"/>
  </r>
  <r>
    <n v="3"/>
    <x v="0"/>
    <x v="0"/>
    <x v="2"/>
    <x v="0"/>
    <n v="210.32"/>
    <s v="Liters"/>
    <n v="1563"/>
    <s v="Kilometers"/>
    <s v="Total consumption for 3- Service Vehicles"/>
  </r>
  <r>
    <n v="4"/>
    <x v="0"/>
    <x v="0"/>
    <x v="3"/>
    <x v="1"/>
    <n v="20.57"/>
    <s v="Liters"/>
    <n v="1817"/>
    <s v="Kilometers"/>
    <s v="Total consumption for 3- Service Vehicles"/>
  </r>
  <r>
    <n v="5"/>
    <x v="0"/>
    <x v="0"/>
    <x v="4"/>
    <x v="1"/>
    <n v="144.01"/>
    <s v="Liters"/>
    <n v="638"/>
    <s v="Kilometers"/>
    <s v="Total consumption for 3- Service Vehicles"/>
  </r>
  <r>
    <n v="6"/>
    <x v="0"/>
    <x v="0"/>
    <x v="5"/>
    <x v="1"/>
    <n v="150.33000000000001"/>
    <s v="Liters"/>
    <n v="1287"/>
    <s v="Kilometers"/>
    <s v="Total consumption for 3- Service Vehicles"/>
  </r>
  <r>
    <n v="7"/>
    <x v="0"/>
    <x v="0"/>
    <x v="6"/>
    <x v="2"/>
    <n v="170.24"/>
    <s v="Liters"/>
    <n v="2247"/>
    <s v="Kilometers"/>
    <s v="Total consumption for 3- Service Vehicles"/>
  </r>
  <r>
    <n v="8"/>
    <x v="0"/>
    <x v="0"/>
    <x v="7"/>
    <x v="2"/>
    <n v="112.56"/>
    <s v="Liters"/>
    <n v="881"/>
    <s v="Kilometers"/>
    <s v="Total consumption for 3- Service Vehicles"/>
  </r>
  <r>
    <n v="9"/>
    <x v="0"/>
    <x v="0"/>
    <x v="8"/>
    <x v="2"/>
    <n v="188.48"/>
    <s v="Liters"/>
    <n v="1286"/>
    <s v="Kilometers"/>
    <s v="Total consumption for 3- Service Vehicles"/>
  </r>
  <r>
    <n v="10"/>
    <x v="0"/>
    <x v="0"/>
    <x v="9"/>
    <x v="3"/>
    <n v="171.93"/>
    <s v="Liters"/>
    <n v="2540"/>
    <s v="Kilometers"/>
    <s v="Total consumption for 3- Service Vehicles"/>
  </r>
  <r>
    <n v="11"/>
    <x v="0"/>
    <x v="0"/>
    <x v="10"/>
    <x v="3"/>
    <n v="54.28"/>
    <s v="Liters"/>
    <n v="693"/>
    <s v="Kilometers"/>
    <s v="Total consumption for 3- Service Vehicles"/>
  </r>
  <r>
    <n v="12"/>
    <x v="0"/>
    <x v="0"/>
    <x v="11"/>
    <x v="3"/>
    <n v="183.99"/>
    <s v="Liters"/>
    <n v="942"/>
    <s v="Kilometers"/>
    <s v="Total consumption for 3- Service Vehicles"/>
  </r>
  <r>
    <n v="13"/>
    <x v="1"/>
    <x v="0"/>
    <x v="0"/>
    <x v="0"/>
    <n v="72.857799999999997"/>
    <s v="Liters"/>
    <n v="28.65"/>
    <s v="Kilometers"/>
    <s v="Total consumption for 3- Armored"/>
  </r>
  <r>
    <n v="14"/>
    <x v="1"/>
    <x v="0"/>
    <x v="1"/>
    <x v="0"/>
    <n v="11.4199"/>
    <s v="Liters"/>
    <n v="4.83"/>
    <s v="Kilometers"/>
    <s v="Total consumption for 3- Armored"/>
  </r>
  <r>
    <n v="15"/>
    <x v="1"/>
    <x v="0"/>
    <x v="2"/>
    <x v="0"/>
    <n v="153.08959999999999"/>
    <s v="Liters"/>
    <n v="234.64"/>
    <s v="Kilometers"/>
    <s v="Total consumption for 3- Armored"/>
  </r>
  <r>
    <n v="16"/>
    <x v="1"/>
    <x v="0"/>
    <x v="3"/>
    <x v="1"/>
    <n v="59.997500000000002"/>
    <s v="Liters"/>
    <n v="29.13"/>
    <s v="Kilometers"/>
    <s v="Total consumption for 3- Armored"/>
  </r>
  <r>
    <n v="17"/>
    <x v="1"/>
    <x v="0"/>
    <x v="4"/>
    <x v="1"/>
    <n v="115.67919999999999"/>
    <s v="Liters"/>
    <n v="55.04"/>
    <s v="Kilometers"/>
    <s v="Total consumption for 3- Armored"/>
  </r>
  <r>
    <n v="18"/>
    <x v="1"/>
    <x v="0"/>
    <x v="5"/>
    <x v="1"/>
    <n v="18.7"/>
    <s v="Liters"/>
    <n v="30.09"/>
    <s v="Kilometers"/>
    <s v="Total consumption for 3- Armored"/>
  </r>
  <r>
    <n v="19"/>
    <x v="1"/>
    <x v="0"/>
    <x v="6"/>
    <x v="2"/>
    <n v="18.5"/>
    <s v="Liters"/>
    <n v="29.77"/>
    <s v="Kilometers"/>
    <s v="Total consumption for 3- Armored"/>
  </r>
  <r>
    <n v="20"/>
    <x v="1"/>
    <x v="0"/>
    <x v="7"/>
    <x v="2"/>
    <n v="0"/>
    <s v="Liters"/>
    <n v="0.32"/>
    <s v="Kilometers"/>
    <s v="Total consumption for 3- Armored"/>
  </r>
  <r>
    <n v="21"/>
    <x v="1"/>
    <x v="0"/>
    <x v="8"/>
    <x v="2"/>
    <n v="237.96209999999999"/>
    <s v="Liters"/>
    <n v="39.270000000000003"/>
    <s v="Kilometers"/>
    <s v="Total consumption for 3- Armored"/>
  </r>
  <r>
    <n v="22"/>
    <x v="1"/>
    <x v="0"/>
    <x v="9"/>
    <x v="3"/>
    <n v="17"/>
    <s v="Liters"/>
    <n v="27.36"/>
    <s v="Kilometers"/>
    <s v="Total consumption for 3- Armored"/>
  </r>
  <r>
    <n v="23"/>
    <x v="1"/>
    <x v="0"/>
    <x v="10"/>
    <x v="3"/>
    <n v="143.61420000000001"/>
    <s v="Liters"/>
    <n v="399.28"/>
    <s v="Kilometers"/>
    <s v="Total consumption for 3- Armored"/>
  </r>
  <r>
    <n v="24"/>
    <x v="1"/>
    <x v="0"/>
    <x v="11"/>
    <x v="3"/>
    <n v="61.873199999999997"/>
    <s v="Liters"/>
    <n v="40.72"/>
    <s v="Kilometers"/>
    <s v="Total consumption for 3- Armored"/>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r>
    <s v=""/>
    <x v="2"/>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8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8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7" firstHeaderRow="1" firstDataRow="2" firstDataCol="1" rowPageCount="1" colPageCount="1"/>
  <pivotFields count="10">
    <pivotField showAll="0"/>
    <pivotField axis="axisRow" showAll="0">
      <items count="11">
        <item m="1" x="3"/>
        <item m="1" x="6"/>
        <item x="2"/>
        <item m="1" x="5"/>
        <item m="1" x="8"/>
        <item m="1" x="9"/>
        <item m="1" x="7"/>
        <item m="1" x="4"/>
        <item x="1"/>
        <item x="0"/>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7">
    <i>
      <x v="2"/>
    </i>
    <i r="1">
      <x v="2"/>
    </i>
    <i>
      <x v="8"/>
    </i>
    <i r="1">
      <x/>
    </i>
    <i>
      <x v="9"/>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9"/>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8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9"/>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8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8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9"/>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8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0">
        <i x="1" s="1"/>
        <i x="0" s="1"/>
        <i x="3" s="1" nd="1"/>
        <i x="9" s="1" nd="1"/>
        <i x="7" s="1" nd="1"/>
        <i x="4" s="1" nd="1"/>
        <i x="5" s="1" nd="1"/>
        <i x="6" s="1" nd="1"/>
        <i x="8" s="1" nd="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2464" totalsRowShown="0" headerRowDxfId="8">
  <autoFilter ref="A1:E2464"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47" zoomScale="69" zoomScaleNormal="69" workbookViewId="0">
      <selection activeCell="H63" sqref="H63"/>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26</v>
      </c>
      <c r="D6" s="86">
        <v>1</v>
      </c>
      <c r="E6" s="90" t="s">
        <v>8</v>
      </c>
      <c r="F6" s="91" t="s">
        <v>9</v>
      </c>
      <c r="G6" s="92" t="s">
        <v>417</v>
      </c>
      <c r="H6" s="93" t="s">
        <v>11</v>
      </c>
    </row>
    <row r="7" spans="2:8" ht="16" x14ac:dyDescent="0.2">
      <c r="B7" s="437" t="s">
        <v>56</v>
      </c>
      <c r="D7" s="86">
        <f>D6+1</f>
        <v>2</v>
      </c>
      <c r="E7" s="90" t="s">
        <v>12</v>
      </c>
      <c r="F7" s="91" t="s">
        <v>13</v>
      </c>
      <c r="G7" s="93">
        <v>2024</v>
      </c>
      <c r="H7" s="93">
        <v>2024</v>
      </c>
    </row>
    <row r="8" spans="2:8" ht="16" x14ac:dyDescent="0.2">
      <c r="B8" s="438" t="s">
        <v>14</v>
      </c>
      <c r="D8" s="383">
        <f>D7+1</f>
        <v>3</v>
      </c>
      <c r="E8" s="389" t="s">
        <v>15</v>
      </c>
      <c r="F8" s="390" t="s">
        <v>16</v>
      </c>
      <c r="G8" s="384" t="s">
        <v>17</v>
      </c>
      <c r="H8" s="385" t="s">
        <v>18</v>
      </c>
    </row>
    <row r="9" spans="2:8" ht="16" x14ac:dyDescent="0.2">
      <c r="B9" s="439" t="s">
        <v>19</v>
      </c>
      <c r="D9" s="86">
        <f>D8+1</f>
        <v>4</v>
      </c>
      <c r="E9" s="91" t="s">
        <v>20</v>
      </c>
      <c r="F9" s="91" t="s">
        <v>21</v>
      </c>
      <c r="G9" s="158" t="s">
        <v>22</v>
      </c>
      <c r="H9" s="159" t="s">
        <v>23</v>
      </c>
    </row>
    <row r="10" spans="2:8" x14ac:dyDescent="0.2">
      <c r="B10" s="439" t="s">
        <v>24</v>
      </c>
      <c r="D10" s="386"/>
      <c r="E10" s="387"/>
      <c r="F10" s="387"/>
      <c r="G10" s="174"/>
      <c r="H10" s="388"/>
    </row>
    <row r="11" spans="2:8" ht="16" x14ac:dyDescent="0.2">
      <c r="B11" s="440" t="s">
        <v>25</v>
      </c>
      <c r="D11" s="84" t="s">
        <v>26</v>
      </c>
      <c r="E11" s="96"/>
      <c r="F11" s="97"/>
      <c r="G11" s="96"/>
      <c r="H11" s="98"/>
    </row>
    <row r="12" spans="2:8" ht="16" x14ac:dyDescent="0.2">
      <c r="B12" s="441" t="s">
        <v>27</v>
      </c>
      <c r="D12" s="153" t="s">
        <v>3</v>
      </c>
      <c r="E12" s="154" t="s">
        <v>4</v>
      </c>
      <c r="F12" s="155" t="s">
        <v>5</v>
      </c>
      <c r="G12" s="154" t="s">
        <v>6</v>
      </c>
      <c r="H12" s="156" t="s">
        <v>7</v>
      </c>
    </row>
    <row r="13" spans="2:8" ht="16" x14ac:dyDescent="0.2">
      <c r="D13" s="86">
        <v>1</v>
      </c>
      <c r="E13" s="90" t="s">
        <v>28</v>
      </c>
      <c r="F13" s="91" t="s">
        <v>29</v>
      </c>
      <c r="G13" s="158" t="s">
        <v>30</v>
      </c>
      <c r="H13" s="159" t="s">
        <v>31</v>
      </c>
    </row>
    <row r="14" spans="2:8" ht="16" x14ac:dyDescent="0.2">
      <c r="D14" s="86">
        <f t="shared" ref="D14:D21" si="0">D13+1</f>
        <v>2</v>
      </c>
      <c r="E14" s="91" t="s">
        <v>32</v>
      </c>
      <c r="F14" s="91" t="s">
        <v>21</v>
      </c>
      <c r="G14" s="158" t="s">
        <v>22</v>
      </c>
      <c r="H14" s="159" t="s">
        <v>23</v>
      </c>
    </row>
    <row r="15" spans="2:8" ht="16" x14ac:dyDescent="0.2">
      <c r="D15" s="86">
        <f t="shared" si="0"/>
        <v>3</v>
      </c>
      <c r="E15" s="90" t="s">
        <v>33</v>
      </c>
      <c r="F15" s="91" t="s">
        <v>21</v>
      </c>
      <c r="G15" s="158" t="s">
        <v>22</v>
      </c>
      <c r="H15" s="159">
        <v>1</v>
      </c>
    </row>
    <row r="16" spans="2:8" ht="112" x14ac:dyDescent="0.2">
      <c r="D16" s="86">
        <f t="shared" si="0"/>
        <v>4</v>
      </c>
      <c r="E16" s="90" t="s">
        <v>34</v>
      </c>
      <c r="F16" s="91" t="s">
        <v>35</v>
      </c>
      <c r="G16" s="92" t="s">
        <v>10</v>
      </c>
      <c r="H16" s="99" t="s">
        <v>36</v>
      </c>
    </row>
    <row r="17" spans="2:8" ht="16" x14ac:dyDescent="0.2">
      <c r="B17" s="82" t="s">
        <v>37</v>
      </c>
      <c r="D17" s="86">
        <f t="shared" si="0"/>
        <v>5</v>
      </c>
      <c r="E17" s="90" t="s">
        <v>38</v>
      </c>
      <c r="F17" s="91" t="s">
        <v>39</v>
      </c>
      <c r="G17" s="92" t="s">
        <v>10</v>
      </c>
      <c r="H17" s="93" t="s">
        <v>40</v>
      </c>
    </row>
    <row r="18" spans="2:8" ht="16" x14ac:dyDescent="0.2">
      <c r="B18" s="157" t="s">
        <v>41</v>
      </c>
      <c r="D18" s="86">
        <f t="shared" si="0"/>
        <v>6</v>
      </c>
      <c r="E18" s="90" t="s">
        <v>42</v>
      </c>
      <c r="F18" s="91" t="s">
        <v>43</v>
      </c>
      <c r="G18" s="158" t="s">
        <v>17</v>
      </c>
      <c r="H18" s="158" t="s">
        <v>44</v>
      </c>
    </row>
    <row r="19" spans="2:8" ht="16" x14ac:dyDescent="0.2">
      <c r="B19" s="81" t="s">
        <v>45</v>
      </c>
      <c r="D19" s="86">
        <f t="shared" si="0"/>
        <v>7</v>
      </c>
      <c r="E19" s="90" t="s">
        <v>46</v>
      </c>
      <c r="F19" s="91" t="s">
        <v>47</v>
      </c>
      <c r="G19" s="90" t="s">
        <v>2045</v>
      </c>
      <c r="H19" s="89">
        <v>400.24</v>
      </c>
    </row>
    <row r="20" spans="2:8" ht="16" x14ac:dyDescent="0.2">
      <c r="B20" s="160" t="s">
        <v>48</v>
      </c>
      <c r="D20" s="86">
        <f t="shared" si="0"/>
        <v>8</v>
      </c>
      <c r="E20" s="90" t="s">
        <v>49</v>
      </c>
      <c r="F20" s="91" t="s">
        <v>50</v>
      </c>
      <c r="G20" s="158" t="s">
        <v>17</v>
      </c>
      <c r="H20" s="159" t="s">
        <v>51</v>
      </c>
    </row>
    <row r="21" spans="2:8" ht="32" x14ac:dyDescent="0.2">
      <c r="D21" s="86">
        <f t="shared" si="0"/>
        <v>9</v>
      </c>
      <c r="E21" s="90" t="s">
        <v>52</v>
      </c>
      <c r="F21" s="91" t="s">
        <v>53</v>
      </c>
      <c r="G21" s="90" t="s">
        <v>54</v>
      </c>
      <c r="H21" s="100" t="s">
        <v>55</v>
      </c>
    </row>
    <row r="22" spans="2:8" x14ac:dyDescent="0.2">
      <c r="D22" s="143"/>
      <c r="E22" s="144"/>
      <c r="F22" s="145"/>
      <c r="G22" s="144"/>
      <c r="H22" s="146"/>
    </row>
    <row r="23" spans="2:8" ht="16" x14ac:dyDescent="0.2">
      <c r="D23" s="84" t="s">
        <v>56</v>
      </c>
      <c r="E23" s="96"/>
      <c r="F23" s="97"/>
      <c r="G23" s="96"/>
      <c r="H23" s="98"/>
    </row>
    <row r="24" spans="2:8" ht="16" x14ac:dyDescent="0.2">
      <c r="D24" s="153" t="s">
        <v>3</v>
      </c>
      <c r="E24" s="154" t="s">
        <v>4</v>
      </c>
      <c r="F24" s="155" t="s">
        <v>5</v>
      </c>
      <c r="G24" s="154" t="s">
        <v>6</v>
      </c>
      <c r="H24" s="156" t="s">
        <v>7</v>
      </c>
    </row>
    <row r="25" spans="2:8" ht="16" x14ac:dyDescent="0.2">
      <c r="D25" s="86">
        <v>1</v>
      </c>
      <c r="E25" s="90" t="s">
        <v>28</v>
      </c>
      <c r="F25" s="91" t="s">
        <v>29</v>
      </c>
      <c r="G25" s="158" t="s">
        <v>30</v>
      </c>
      <c r="H25" s="159" t="s">
        <v>31</v>
      </c>
    </row>
    <row r="26" spans="2:8" ht="16" x14ac:dyDescent="0.2">
      <c r="D26" s="86">
        <f t="shared" ref="D26:D36" si="1">D25+1</f>
        <v>2</v>
      </c>
      <c r="E26" s="91" t="s">
        <v>32</v>
      </c>
      <c r="F26" s="91" t="s">
        <v>21</v>
      </c>
      <c r="G26" s="158" t="s">
        <v>22</v>
      </c>
      <c r="H26" s="159" t="s">
        <v>23</v>
      </c>
    </row>
    <row r="27" spans="2:8" ht="16" x14ac:dyDescent="0.2">
      <c r="D27" s="86">
        <f t="shared" si="1"/>
        <v>3</v>
      </c>
      <c r="E27" s="90" t="s">
        <v>33</v>
      </c>
      <c r="F27" s="91" t="s">
        <v>21</v>
      </c>
      <c r="G27" s="158" t="s">
        <v>22</v>
      </c>
      <c r="H27" s="159">
        <v>1</v>
      </c>
    </row>
    <row r="28" spans="2:8" ht="186" customHeight="1" x14ac:dyDescent="0.2">
      <c r="D28" s="86">
        <f t="shared" si="1"/>
        <v>4</v>
      </c>
      <c r="E28" s="91" t="s">
        <v>57</v>
      </c>
      <c r="F28" s="432" t="s">
        <v>58</v>
      </c>
      <c r="G28" s="92" t="s">
        <v>10</v>
      </c>
      <c r="H28" s="99" t="s">
        <v>59</v>
      </c>
    </row>
    <row r="29" spans="2:8" ht="64" x14ac:dyDescent="0.2">
      <c r="D29" s="86">
        <f t="shared" si="1"/>
        <v>5</v>
      </c>
      <c r="E29" s="90" t="s">
        <v>34</v>
      </c>
      <c r="F29" s="91" t="s">
        <v>60</v>
      </c>
      <c r="G29" s="92" t="s">
        <v>10</v>
      </c>
      <c r="H29" s="99" t="s">
        <v>61</v>
      </c>
    </row>
    <row r="30" spans="2:8" ht="16" x14ac:dyDescent="0.2">
      <c r="D30" s="86">
        <f t="shared" si="1"/>
        <v>6</v>
      </c>
      <c r="E30" s="90" t="s">
        <v>38</v>
      </c>
      <c r="F30" s="91" t="s">
        <v>39</v>
      </c>
      <c r="G30" s="92" t="s">
        <v>10</v>
      </c>
      <c r="H30" s="93" t="s">
        <v>40</v>
      </c>
    </row>
    <row r="31" spans="2:8" ht="16" x14ac:dyDescent="0.2">
      <c r="D31" s="86">
        <f t="shared" si="1"/>
        <v>7</v>
      </c>
      <c r="E31" s="90" t="s">
        <v>42</v>
      </c>
      <c r="F31" s="91" t="s">
        <v>43</v>
      </c>
      <c r="G31" s="158" t="s">
        <v>17</v>
      </c>
      <c r="H31" s="158" t="s">
        <v>44</v>
      </c>
    </row>
    <row r="32" spans="2:8" ht="16" x14ac:dyDescent="0.2">
      <c r="D32" s="86">
        <f t="shared" si="1"/>
        <v>8</v>
      </c>
      <c r="E32" s="90" t="s">
        <v>46</v>
      </c>
      <c r="F32" s="91" t="s">
        <v>47</v>
      </c>
      <c r="G32" s="90" t="s">
        <v>2045</v>
      </c>
      <c r="H32" s="89">
        <v>400.24</v>
      </c>
    </row>
    <row r="33" spans="4:8" ht="16" x14ac:dyDescent="0.2">
      <c r="D33" s="86">
        <f t="shared" si="1"/>
        <v>9</v>
      </c>
      <c r="E33" s="90" t="s">
        <v>49</v>
      </c>
      <c r="F33" s="91" t="s">
        <v>50</v>
      </c>
      <c r="G33" s="158" t="s">
        <v>17</v>
      </c>
      <c r="H33" s="159" t="s">
        <v>51</v>
      </c>
    </row>
    <row r="34" spans="4:8" ht="16" x14ac:dyDescent="0.2">
      <c r="D34" s="86">
        <f t="shared" si="1"/>
        <v>10</v>
      </c>
      <c r="E34" s="91" t="s">
        <v>62</v>
      </c>
      <c r="F34" s="91" t="s">
        <v>63</v>
      </c>
      <c r="G34" s="138" t="s">
        <v>64</v>
      </c>
      <c r="H34" s="89">
        <v>58.96</v>
      </c>
    </row>
    <row r="35" spans="4:8" ht="16" x14ac:dyDescent="0.2">
      <c r="D35" s="86">
        <f t="shared" si="1"/>
        <v>11</v>
      </c>
      <c r="E35" s="91" t="s">
        <v>65</v>
      </c>
      <c r="F35" s="91" t="s">
        <v>66</v>
      </c>
      <c r="G35" s="158" t="s">
        <v>17</v>
      </c>
      <c r="H35" s="159" t="s">
        <v>67</v>
      </c>
    </row>
    <row r="36" spans="4:8" ht="32" x14ac:dyDescent="0.2">
      <c r="D36" s="86">
        <f t="shared" si="1"/>
        <v>12</v>
      </c>
      <c r="E36" s="90" t="s">
        <v>52</v>
      </c>
      <c r="F36" s="91" t="s">
        <v>68</v>
      </c>
      <c r="G36" s="90" t="s">
        <v>54</v>
      </c>
      <c r="H36" s="100" t="s">
        <v>23</v>
      </c>
    </row>
    <row r="38" spans="4:8" ht="16" x14ac:dyDescent="0.2">
      <c r="D38" s="80" t="s">
        <v>14</v>
      </c>
      <c r="E38" s="101"/>
      <c r="F38" s="102"/>
      <c r="G38" s="101"/>
      <c r="H38" s="103"/>
    </row>
    <row r="39" spans="4:8" ht="16" x14ac:dyDescent="0.2">
      <c r="D39" s="153" t="s">
        <v>3</v>
      </c>
      <c r="E39" s="154" t="s">
        <v>4</v>
      </c>
      <c r="F39" s="155" t="s">
        <v>5</v>
      </c>
      <c r="G39" s="154" t="s">
        <v>6</v>
      </c>
      <c r="H39" s="156" t="s">
        <v>7</v>
      </c>
    </row>
    <row r="40" spans="4:8" ht="16" x14ac:dyDescent="0.2">
      <c r="D40" s="86">
        <v>1</v>
      </c>
      <c r="E40" s="90" t="s">
        <v>28</v>
      </c>
      <c r="F40" s="91" t="s">
        <v>29</v>
      </c>
      <c r="G40" s="158" t="s">
        <v>30</v>
      </c>
      <c r="H40" s="159" t="s">
        <v>31</v>
      </c>
    </row>
    <row r="41" spans="4:8" ht="16" x14ac:dyDescent="0.2">
      <c r="D41" s="86">
        <f>D40+1</f>
        <v>2</v>
      </c>
      <c r="E41" s="90" t="s">
        <v>69</v>
      </c>
      <c r="F41" s="91" t="s">
        <v>21</v>
      </c>
      <c r="G41" s="158" t="s">
        <v>22</v>
      </c>
      <c r="H41" s="159" t="s">
        <v>23</v>
      </c>
    </row>
    <row r="42" spans="4:8" ht="16" x14ac:dyDescent="0.2">
      <c r="D42" s="86">
        <f t="shared" ref="D42:D48" si="2">D41+1</f>
        <v>3</v>
      </c>
      <c r="E42" s="90" t="s">
        <v>33</v>
      </c>
      <c r="F42" s="91" t="s">
        <v>21</v>
      </c>
      <c r="G42" s="158" t="s">
        <v>22</v>
      </c>
      <c r="H42" s="159">
        <v>1</v>
      </c>
    </row>
    <row r="43" spans="4:8" ht="16" x14ac:dyDescent="0.2">
      <c r="D43" s="86">
        <v>4</v>
      </c>
      <c r="E43" s="90" t="s">
        <v>70</v>
      </c>
      <c r="F43" s="91" t="s">
        <v>71</v>
      </c>
      <c r="G43" s="138" t="s">
        <v>54</v>
      </c>
      <c r="H43" s="100" t="s">
        <v>72</v>
      </c>
    </row>
    <row r="44" spans="4:8" ht="128" x14ac:dyDescent="0.2">
      <c r="D44" s="86">
        <f>D43+1</f>
        <v>5</v>
      </c>
      <c r="E44" s="90" t="s">
        <v>73</v>
      </c>
      <c r="F44" s="91" t="s">
        <v>74</v>
      </c>
      <c r="G44" s="92" t="s">
        <v>10</v>
      </c>
      <c r="H44" s="99" t="s">
        <v>75</v>
      </c>
    </row>
    <row r="45" spans="4:8" ht="16" x14ac:dyDescent="0.2">
      <c r="D45" s="86">
        <f t="shared" si="2"/>
        <v>6</v>
      </c>
      <c r="E45" s="90" t="s">
        <v>76</v>
      </c>
      <c r="F45" s="91" t="s">
        <v>77</v>
      </c>
      <c r="G45" s="138" t="s">
        <v>78</v>
      </c>
      <c r="H45" s="139">
        <v>9</v>
      </c>
    </row>
    <row r="46" spans="4:8" ht="16" x14ac:dyDescent="0.2">
      <c r="D46" s="86">
        <f t="shared" si="2"/>
        <v>7</v>
      </c>
      <c r="E46" s="90" t="s">
        <v>79</v>
      </c>
      <c r="F46" s="91" t="s">
        <v>80</v>
      </c>
      <c r="G46" s="92" t="s">
        <v>10</v>
      </c>
      <c r="H46" s="93" t="s">
        <v>81</v>
      </c>
    </row>
    <row r="47" spans="4:8" ht="80" x14ac:dyDescent="0.2">
      <c r="D47" s="86">
        <f t="shared" si="2"/>
        <v>8</v>
      </c>
      <c r="E47" s="91" t="s">
        <v>82</v>
      </c>
      <c r="F47" s="91" t="s">
        <v>83</v>
      </c>
      <c r="G47" s="92" t="s">
        <v>10</v>
      </c>
      <c r="H47" s="93" t="s">
        <v>84</v>
      </c>
    </row>
    <row r="48" spans="4:8" ht="16" x14ac:dyDescent="0.2">
      <c r="D48" s="86">
        <f t="shared" si="2"/>
        <v>9</v>
      </c>
      <c r="E48" s="162" t="s">
        <v>85</v>
      </c>
      <c r="F48" s="162" t="s">
        <v>86</v>
      </c>
      <c r="G48" s="92" t="s">
        <v>10</v>
      </c>
      <c r="H48" s="93" t="s">
        <v>87</v>
      </c>
    </row>
    <row r="49" spans="4:8" ht="48" x14ac:dyDescent="0.2">
      <c r="D49" s="86">
        <f>D48+1</f>
        <v>10</v>
      </c>
      <c r="E49" s="162" t="s">
        <v>88</v>
      </c>
      <c r="F49" s="162" t="s">
        <v>89</v>
      </c>
      <c r="G49" s="138" t="s">
        <v>64</v>
      </c>
      <c r="H49" s="140">
        <v>13.4</v>
      </c>
    </row>
    <row r="50" spans="4:8" ht="16" x14ac:dyDescent="0.2">
      <c r="D50" s="86">
        <f t="shared" ref="D50:D56" si="3">D49+1</f>
        <v>11</v>
      </c>
      <c r="E50" s="138" t="s">
        <v>90</v>
      </c>
      <c r="F50" s="411" t="s">
        <v>91</v>
      </c>
      <c r="G50" s="92" t="s">
        <v>10</v>
      </c>
      <c r="H50" s="93" t="s">
        <v>87</v>
      </c>
    </row>
    <row r="51" spans="4:8" ht="16" x14ac:dyDescent="0.2">
      <c r="D51" s="86">
        <f t="shared" si="3"/>
        <v>12</v>
      </c>
      <c r="E51" s="138" t="s">
        <v>92</v>
      </c>
      <c r="F51" s="162" t="s">
        <v>93</v>
      </c>
      <c r="G51" s="138" t="s">
        <v>64</v>
      </c>
      <c r="H51" s="140">
        <v>13.4</v>
      </c>
    </row>
    <row r="52" spans="4:8" ht="16" x14ac:dyDescent="0.2">
      <c r="D52" s="86">
        <f t="shared" si="3"/>
        <v>13</v>
      </c>
      <c r="E52" s="162" t="s">
        <v>94</v>
      </c>
      <c r="F52" s="162" t="s">
        <v>95</v>
      </c>
      <c r="G52" s="92" t="s">
        <v>10</v>
      </c>
      <c r="H52" s="93" t="s">
        <v>40</v>
      </c>
    </row>
    <row r="53" spans="4:8" ht="16" x14ac:dyDescent="0.2">
      <c r="D53" s="86">
        <f t="shared" si="3"/>
        <v>14</v>
      </c>
      <c r="E53" s="162" t="s">
        <v>96</v>
      </c>
      <c r="F53" s="162" t="s">
        <v>97</v>
      </c>
      <c r="G53" s="138" t="s">
        <v>64</v>
      </c>
      <c r="H53" s="140">
        <v>13.4</v>
      </c>
    </row>
    <row r="54" spans="4:8" ht="16" x14ac:dyDescent="0.2">
      <c r="D54" s="86">
        <f t="shared" si="3"/>
        <v>15</v>
      </c>
      <c r="E54" s="138" t="s">
        <v>98</v>
      </c>
      <c r="F54" s="162" t="s">
        <v>99</v>
      </c>
      <c r="G54" s="138" t="s">
        <v>64</v>
      </c>
      <c r="H54" s="139">
        <v>5.67</v>
      </c>
    </row>
    <row r="55" spans="4:8" ht="16" x14ac:dyDescent="0.2">
      <c r="D55" s="86">
        <f t="shared" si="3"/>
        <v>16</v>
      </c>
      <c r="E55" s="90" t="s">
        <v>42</v>
      </c>
      <c r="F55" s="91" t="s">
        <v>43</v>
      </c>
      <c r="G55" s="158" t="s">
        <v>17</v>
      </c>
      <c r="H55" s="158" t="s">
        <v>44</v>
      </c>
    </row>
    <row r="56" spans="4:8" ht="32" x14ac:dyDescent="0.2">
      <c r="D56" s="86">
        <f t="shared" si="3"/>
        <v>17</v>
      </c>
      <c r="E56" s="138" t="s">
        <v>52</v>
      </c>
      <c r="F56" s="162" t="s">
        <v>68</v>
      </c>
      <c r="G56" s="162" t="s">
        <v>54</v>
      </c>
      <c r="H56" s="100" t="s">
        <v>100</v>
      </c>
    </row>
    <row r="57" spans="4:8" x14ac:dyDescent="0.2">
      <c r="D57" s="10"/>
      <c r="E57" s="104"/>
      <c r="F57" s="104"/>
      <c r="G57" s="104"/>
      <c r="H57" s="104"/>
    </row>
    <row r="58" spans="4:8" ht="16" x14ac:dyDescent="0.2">
      <c r="D58" s="85" t="s">
        <v>101</v>
      </c>
      <c r="E58" s="105"/>
      <c r="F58" s="106"/>
      <c r="G58" s="105"/>
      <c r="H58" s="107"/>
    </row>
    <row r="59" spans="4:8" ht="16" x14ac:dyDescent="0.2">
      <c r="D59" s="153" t="s">
        <v>3</v>
      </c>
      <c r="E59" s="154" t="s">
        <v>4</v>
      </c>
      <c r="F59" s="155" t="s">
        <v>5</v>
      </c>
      <c r="G59" s="154" t="s">
        <v>6</v>
      </c>
      <c r="H59" s="156" t="s">
        <v>7</v>
      </c>
    </row>
    <row r="60" spans="4:8" ht="16" x14ac:dyDescent="0.2">
      <c r="D60" s="86">
        <v>1</v>
      </c>
      <c r="E60" s="90" t="s">
        <v>28</v>
      </c>
      <c r="F60" s="91" t="s">
        <v>29</v>
      </c>
      <c r="G60" s="158" t="s">
        <v>30</v>
      </c>
      <c r="H60" s="159" t="s">
        <v>31</v>
      </c>
    </row>
    <row r="61" spans="4:8" ht="32" x14ac:dyDescent="0.2">
      <c r="D61" s="86">
        <f t="shared" ref="D61:D68" si="4">D60+1</f>
        <v>2</v>
      </c>
      <c r="E61" s="91" t="s">
        <v>102</v>
      </c>
      <c r="F61" s="91" t="s">
        <v>21</v>
      </c>
      <c r="G61" s="158" t="s">
        <v>22</v>
      </c>
      <c r="H61" s="159" t="s">
        <v>23</v>
      </c>
    </row>
    <row r="62" spans="4:8" ht="16" x14ac:dyDescent="0.2">
      <c r="D62" s="86">
        <f t="shared" si="4"/>
        <v>3</v>
      </c>
      <c r="E62" s="90" t="s">
        <v>33</v>
      </c>
      <c r="F62" s="91" t="s">
        <v>21</v>
      </c>
      <c r="G62" s="158" t="s">
        <v>22</v>
      </c>
      <c r="H62" s="159">
        <v>1</v>
      </c>
    </row>
    <row r="63" spans="4:8" ht="16" x14ac:dyDescent="0.2">
      <c r="D63" s="86">
        <f t="shared" si="4"/>
        <v>4</v>
      </c>
      <c r="E63" s="91" t="s">
        <v>38</v>
      </c>
      <c r="F63" s="91" t="s">
        <v>103</v>
      </c>
      <c r="G63" s="92" t="s">
        <v>10</v>
      </c>
      <c r="H63" s="93" t="s">
        <v>40</v>
      </c>
    </row>
    <row r="64" spans="4:8" ht="16" x14ac:dyDescent="0.2">
      <c r="D64" s="86">
        <f t="shared" si="4"/>
        <v>5</v>
      </c>
      <c r="E64" s="90" t="s">
        <v>42</v>
      </c>
      <c r="F64" s="91" t="s">
        <v>43</v>
      </c>
      <c r="G64" s="158" t="s">
        <v>17</v>
      </c>
      <c r="H64" s="158" t="s">
        <v>44</v>
      </c>
    </row>
    <row r="65" spans="4:8" ht="16" x14ac:dyDescent="0.2">
      <c r="D65" s="86">
        <f t="shared" si="4"/>
        <v>6</v>
      </c>
      <c r="E65" s="91" t="s">
        <v>104</v>
      </c>
      <c r="F65" s="91" t="s">
        <v>105</v>
      </c>
      <c r="G65" s="138" t="s">
        <v>64</v>
      </c>
      <c r="H65" s="108">
        <v>1234.56</v>
      </c>
    </row>
    <row r="66" spans="4:8" ht="16" x14ac:dyDescent="0.2">
      <c r="D66" s="86">
        <f t="shared" si="4"/>
        <v>7</v>
      </c>
      <c r="E66" s="91" t="s">
        <v>106</v>
      </c>
      <c r="F66" s="91" t="s">
        <v>107</v>
      </c>
      <c r="G66" s="138" t="s">
        <v>64</v>
      </c>
      <c r="H66" s="108">
        <v>87654.32</v>
      </c>
    </row>
    <row r="67" spans="4:8" ht="16" x14ac:dyDescent="0.2">
      <c r="D67" s="86">
        <f t="shared" si="4"/>
        <v>8</v>
      </c>
      <c r="E67" s="91" t="s">
        <v>108</v>
      </c>
      <c r="F67" s="91" t="s">
        <v>109</v>
      </c>
      <c r="G67" s="92" t="s">
        <v>10</v>
      </c>
      <c r="H67" s="93" t="s">
        <v>110</v>
      </c>
    </row>
    <row r="68" spans="4:8" ht="32" x14ac:dyDescent="0.2">
      <c r="D68" s="86">
        <f t="shared" si="4"/>
        <v>9</v>
      </c>
      <c r="E68" s="89" t="s">
        <v>52</v>
      </c>
      <c r="F68" s="91" t="s">
        <v>68</v>
      </c>
      <c r="G68" s="90" t="s">
        <v>54</v>
      </c>
      <c r="H68" s="89" t="s">
        <v>111</v>
      </c>
    </row>
    <row r="69" spans="4:8" x14ac:dyDescent="0.2">
      <c r="D69" s="336"/>
      <c r="E69" s="335"/>
      <c r="F69" s="145"/>
      <c r="G69" s="144"/>
      <c r="H69" s="335"/>
    </row>
    <row r="70" spans="4:8" ht="16" x14ac:dyDescent="0.2">
      <c r="D70" s="85" t="s">
        <v>112</v>
      </c>
      <c r="E70" s="105"/>
      <c r="F70" s="106"/>
      <c r="G70" s="105"/>
      <c r="H70" s="107"/>
    </row>
    <row r="71" spans="4:8" ht="16" x14ac:dyDescent="0.2">
      <c r="D71" s="153" t="s">
        <v>3</v>
      </c>
      <c r="E71" s="154" t="s">
        <v>4</v>
      </c>
      <c r="F71" s="155" t="s">
        <v>5</v>
      </c>
      <c r="G71" s="154" t="s">
        <v>6</v>
      </c>
      <c r="H71" s="156" t="s">
        <v>7</v>
      </c>
    </row>
    <row r="72" spans="4:8" ht="16" x14ac:dyDescent="0.2">
      <c r="D72" s="86">
        <v>1</v>
      </c>
      <c r="E72" s="90" t="s">
        <v>28</v>
      </c>
      <c r="F72" s="91" t="s">
        <v>29</v>
      </c>
      <c r="G72" s="158" t="s">
        <v>30</v>
      </c>
      <c r="H72" s="159" t="s">
        <v>31</v>
      </c>
    </row>
    <row r="73" spans="4:8" ht="32" x14ac:dyDescent="0.2">
      <c r="D73" s="86">
        <f t="shared" ref="D73:D78" si="5">D72+1</f>
        <v>2</v>
      </c>
      <c r="E73" s="91" t="s">
        <v>102</v>
      </c>
      <c r="F73" s="91" t="s">
        <v>21</v>
      </c>
      <c r="G73" s="158" t="s">
        <v>22</v>
      </c>
      <c r="H73" s="159" t="s">
        <v>23</v>
      </c>
    </row>
    <row r="74" spans="4:8" ht="16" x14ac:dyDescent="0.2">
      <c r="D74" s="86">
        <f t="shared" si="5"/>
        <v>3</v>
      </c>
      <c r="E74" s="90" t="s">
        <v>33</v>
      </c>
      <c r="F74" s="91" t="s">
        <v>21</v>
      </c>
      <c r="G74" s="158" t="s">
        <v>22</v>
      </c>
      <c r="H74" s="159">
        <v>1</v>
      </c>
    </row>
    <row r="75" spans="4:8" ht="16" x14ac:dyDescent="0.2">
      <c r="D75" s="86">
        <f t="shared" si="5"/>
        <v>4</v>
      </c>
      <c r="E75" s="91" t="s">
        <v>38</v>
      </c>
      <c r="F75" s="91" t="s">
        <v>103</v>
      </c>
      <c r="G75" s="92" t="s">
        <v>10</v>
      </c>
      <c r="H75" s="93" t="s">
        <v>40</v>
      </c>
    </row>
    <row r="76" spans="4:8" ht="16" x14ac:dyDescent="0.2">
      <c r="D76" s="86">
        <f t="shared" si="5"/>
        <v>5</v>
      </c>
      <c r="E76" s="90" t="s">
        <v>42</v>
      </c>
      <c r="F76" s="91" t="s">
        <v>43</v>
      </c>
      <c r="G76" s="158" t="s">
        <v>17</v>
      </c>
      <c r="H76" s="158" t="s">
        <v>44</v>
      </c>
    </row>
    <row r="77" spans="4:8" ht="16" x14ac:dyDescent="0.2">
      <c r="D77" s="86">
        <f t="shared" si="5"/>
        <v>6</v>
      </c>
      <c r="E77" s="91" t="s">
        <v>113</v>
      </c>
      <c r="F77" s="91" t="s">
        <v>114</v>
      </c>
      <c r="G77" s="138" t="s">
        <v>64</v>
      </c>
      <c r="H77" s="108">
        <v>1234.56</v>
      </c>
    </row>
    <row r="78" spans="4:8" ht="16" x14ac:dyDescent="0.2">
      <c r="D78" s="86">
        <f t="shared" si="5"/>
        <v>7</v>
      </c>
      <c r="E78" s="91" t="s">
        <v>115</v>
      </c>
      <c r="F78" s="91" t="s">
        <v>116</v>
      </c>
      <c r="G78" s="138" t="s">
        <v>64</v>
      </c>
      <c r="H78" s="108">
        <v>1234.56</v>
      </c>
    </row>
    <row r="79" spans="4:8" ht="32" x14ac:dyDescent="0.2">
      <c r="D79" s="86">
        <v>9</v>
      </c>
      <c r="E79" s="89" t="s">
        <v>52</v>
      </c>
      <c r="F79" s="91" t="s">
        <v>68</v>
      </c>
      <c r="G79" s="90" t="s">
        <v>54</v>
      </c>
      <c r="H79" s="89" t="s">
        <v>111</v>
      </c>
    </row>
    <row r="81" spans="4:8" ht="16" x14ac:dyDescent="0.2">
      <c r="D81" s="87" t="s">
        <v>25</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28</v>
      </c>
      <c r="F84" s="91" t="s">
        <v>29</v>
      </c>
      <c r="G84" s="158" t="s">
        <v>30</v>
      </c>
      <c r="H84" s="159" t="s">
        <v>31</v>
      </c>
    </row>
    <row r="85" spans="4:8" ht="16" x14ac:dyDescent="0.2">
      <c r="D85" s="86">
        <v>2</v>
      </c>
      <c r="E85" s="91" t="s">
        <v>117</v>
      </c>
      <c r="F85" s="91" t="s">
        <v>21</v>
      </c>
      <c r="G85" s="158" t="s">
        <v>22</v>
      </c>
      <c r="H85" s="159" t="s">
        <v>23</v>
      </c>
    </row>
    <row r="86" spans="4:8" ht="16" x14ac:dyDescent="0.2">
      <c r="D86" s="86">
        <v>3</v>
      </c>
      <c r="E86" s="354" t="s">
        <v>118</v>
      </c>
      <c r="F86" s="355"/>
      <c r="G86" s="355"/>
      <c r="H86" s="356"/>
    </row>
    <row r="87" spans="4:8" ht="16" x14ac:dyDescent="0.2">
      <c r="D87" s="86"/>
      <c r="E87" s="115" t="s">
        <v>33</v>
      </c>
      <c r="F87" s="91" t="s">
        <v>21</v>
      </c>
      <c r="G87" s="158" t="s">
        <v>22</v>
      </c>
      <c r="H87" s="159">
        <v>1</v>
      </c>
    </row>
    <row r="88" spans="4:8" ht="16" x14ac:dyDescent="0.2">
      <c r="D88" s="86"/>
      <c r="E88" s="116" t="s">
        <v>38</v>
      </c>
      <c r="F88" s="91" t="s">
        <v>119</v>
      </c>
      <c r="G88" s="92" t="s">
        <v>10</v>
      </c>
      <c r="H88" s="93" t="s">
        <v>40</v>
      </c>
    </row>
    <row r="89" spans="4:8" ht="16" x14ac:dyDescent="0.2">
      <c r="D89" s="86"/>
      <c r="E89" s="115" t="s">
        <v>42</v>
      </c>
      <c r="F89" s="91" t="s">
        <v>43</v>
      </c>
      <c r="G89" s="158" t="s">
        <v>17</v>
      </c>
      <c r="H89" s="158" t="s">
        <v>44</v>
      </c>
    </row>
    <row r="90" spans="4:8" ht="112" x14ac:dyDescent="0.2">
      <c r="D90" s="86"/>
      <c r="E90" s="116" t="s">
        <v>120</v>
      </c>
      <c r="F90" s="91" t="s">
        <v>121</v>
      </c>
      <c r="G90" s="92" t="s">
        <v>10</v>
      </c>
      <c r="H90" s="93" t="s">
        <v>122</v>
      </c>
    </row>
    <row r="91" spans="4:8" ht="16" x14ac:dyDescent="0.2">
      <c r="D91" s="86"/>
      <c r="E91" s="116" t="s">
        <v>123</v>
      </c>
      <c r="F91" s="91" t="s">
        <v>124</v>
      </c>
      <c r="G91" s="138" t="s">
        <v>64</v>
      </c>
      <c r="H91" s="108">
        <v>678.89</v>
      </c>
    </row>
    <row r="92" spans="4:8" ht="32" x14ac:dyDescent="0.2">
      <c r="D92" s="86"/>
      <c r="E92" s="116" t="s">
        <v>52</v>
      </c>
      <c r="F92" s="91" t="s">
        <v>68</v>
      </c>
      <c r="G92" s="90" t="s">
        <v>54</v>
      </c>
      <c r="H92" s="108" t="s">
        <v>125</v>
      </c>
    </row>
    <row r="93" spans="4:8" ht="16" x14ac:dyDescent="0.2">
      <c r="D93" s="86">
        <v>4</v>
      </c>
      <c r="E93" s="354" t="s">
        <v>126</v>
      </c>
      <c r="F93" s="355"/>
      <c r="G93" s="355"/>
      <c r="H93" s="356"/>
    </row>
    <row r="94" spans="4:8" ht="16" x14ac:dyDescent="0.2">
      <c r="D94" s="86"/>
      <c r="E94" s="115" t="s">
        <v>33</v>
      </c>
      <c r="F94" s="91" t="s">
        <v>21</v>
      </c>
      <c r="G94" s="158" t="s">
        <v>22</v>
      </c>
      <c r="H94" s="159">
        <v>1</v>
      </c>
    </row>
    <row r="95" spans="4:8" ht="16" x14ac:dyDescent="0.2">
      <c r="D95" s="86"/>
      <c r="E95" s="116" t="s">
        <v>38</v>
      </c>
      <c r="F95" s="91" t="s">
        <v>127</v>
      </c>
      <c r="G95" s="92" t="s">
        <v>10</v>
      </c>
      <c r="H95" s="93" t="s">
        <v>40</v>
      </c>
    </row>
    <row r="96" spans="4:8" ht="16" x14ac:dyDescent="0.2">
      <c r="D96" s="86"/>
      <c r="E96" s="115" t="s">
        <v>42</v>
      </c>
      <c r="F96" s="91" t="s">
        <v>43</v>
      </c>
      <c r="G96" s="158" t="s">
        <v>17</v>
      </c>
      <c r="H96" s="158" t="s">
        <v>44</v>
      </c>
    </row>
    <row r="97" spans="4:8" ht="16" x14ac:dyDescent="0.2">
      <c r="D97" s="86"/>
      <c r="E97" s="116" t="s">
        <v>123</v>
      </c>
      <c r="F97" s="91" t="s">
        <v>128</v>
      </c>
      <c r="G97" s="138" t="s">
        <v>64</v>
      </c>
      <c r="H97" s="108">
        <v>678.89</v>
      </c>
    </row>
    <row r="98" spans="4:8" ht="80" x14ac:dyDescent="0.2">
      <c r="D98" s="86"/>
      <c r="E98" s="116" t="s">
        <v>129</v>
      </c>
      <c r="F98" s="91" t="s">
        <v>130</v>
      </c>
      <c r="G98" s="92" t="s">
        <v>10</v>
      </c>
      <c r="H98" s="93" t="s">
        <v>131</v>
      </c>
    </row>
    <row r="99" spans="4:8" ht="32" x14ac:dyDescent="0.2">
      <c r="D99" s="86"/>
      <c r="E99" s="115" t="s">
        <v>52</v>
      </c>
      <c r="F99" s="91" t="s">
        <v>68</v>
      </c>
      <c r="G99" s="90" t="s">
        <v>54</v>
      </c>
      <c r="H99" s="89"/>
    </row>
    <row r="101" spans="4:8" ht="16" x14ac:dyDescent="0.2">
      <c r="D101" s="88" t="s">
        <v>27</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28</v>
      </c>
      <c r="F103" s="91" t="s">
        <v>29</v>
      </c>
      <c r="G103" s="158" t="s">
        <v>30</v>
      </c>
      <c r="H103" s="159" t="s">
        <v>31</v>
      </c>
    </row>
    <row r="104" spans="4:8" ht="32" x14ac:dyDescent="0.2">
      <c r="D104" s="86">
        <f>D103+1</f>
        <v>2</v>
      </c>
      <c r="E104" s="91" t="s">
        <v>132</v>
      </c>
      <c r="F104" s="91" t="s">
        <v>21</v>
      </c>
      <c r="G104" s="158" t="s">
        <v>22</v>
      </c>
      <c r="H104" s="159" t="s">
        <v>23</v>
      </c>
    </row>
    <row r="105" spans="4:8" ht="16" x14ac:dyDescent="0.2">
      <c r="D105" s="86">
        <v>3</v>
      </c>
      <c r="E105" s="91" t="s">
        <v>133</v>
      </c>
      <c r="F105" s="91"/>
      <c r="G105" s="158"/>
      <c r="H105" s="159"/>
    </row>
    <row r="106" spans="4:8" ht="16" x14ac:dyDescent="0.2">
      <c r="D106" s="86"/>
      <c r="E106" s="115" t="s">
        <v>33</v>
      </c>
      <c r="F106" s="91" t="s">
        <v>21</v>
      </c>
      <c r="G106" s="158" t="s">
        <v>22</v>
      </c>
      <c r="H106" s="159">
        <v>1</v>
      </c>
    </row>
    <row r="107" spans="4:8" ht="16" x14ac:dyDescent="0.2">
      <c r="D107" s="86"/>
      <c r="E107" s="116" t="s">
        <v>38</v>
      </c>
      <c r="F107" s="91" t="s">
        <v>134</v>
      </c>
      <c r="G107" s="92" t="s">
        <v>10</v>
      </c>
      <c r="H107" s="93" t="s">
        <v>40</v>
      </c>
    </row>
    <row r="108" spans="4:8" ht="16" x14ac:dyDescent="0.2">
      <c r="D108" s="86"/>
      <c r="E108" s="115" t="s">
        <v>42</v>
      </c>
      <c r="F108" s="91" t="s">
        <v>43</v>
      </c>
      <c r="G108" s="158" t="s">
        <v>17</v>
      </c>
      <c r="H108" s="158" t="s">
        <v>44</v>
      </c>
    </row>
    <row r="109" spans="4:8" ht="160" x14ac:dyDescent="0.2">
      <c r="D109" s="86"/>
      <c r="E109" s="116" t="s">
        <v>135</v>
      </c>
      <c r="F109" s="427" t="s">
        <v>136</v>
      </c>
      <c r="G109" s="92" t="s">
        <v>10</v>
      </c>
      <c r="H109" s="93" t="s">
        <v>137</v>
      </c>
    </row>
    <row r="110" spans="4:8" ht="16" x14ac:dyDescent="0.2">
      <c r="D110" s="86"/>
      <c r="E110" s="116" t="s">
        <v>138</v>
      </c>
      <c r="F110" s="91" t="s">
        <v>139</v>
      </c>
      <c r="G110" s="138" t="s">
        <v>64</v>
      </c>
      <c r="H110" s="108">
        <v>456.98</v>
      </c>
    </row>
    <row r="111" spans="4:8" ht="144" x14ac:dyDescent="0.2">
      <c r="D111" s="86"/>
      <c r="E111" s="424" t="s">
        <v>140</v>
      </c>
      <c r="F111" s="432" t="s">
        <v>141</v>
      </c>
      <c r="G111" s="92" t="s">
        <v>10</v>
      </c>
      <c r="H111" s="93" t="s">
        <v>142</v>
      </c>
    </row>
    <row r="112" spans="4:8" ht="32" x14ac:dyDescent="0.2">
      <c r="D112" s="86"/>
      <c r="E112" s="410" t="s">
        <v>52</v>
      </c>
      <c r="F112" s="91" t="s">
        <v>68</v>
      </c>
      <c r="G112" s="90" t="s">
        <v>54</v>
      </c>
      <c r="H112" s="89"/>
    </row>
    <row r="113" spans="4:8" x14ac:dyDescent="0.2">
      <c r="D113" s="10"/>
    </row>
    <row r="114" spans="4:8" ht="16" hidden="1" x14ac:dyDescent="0.2">
      <c r="D114" s="127" t="s">
        <v>143</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29</v>
      </c>
      <c r="G116" s="158" t="s">
        <v>30</v>
      </c>
      <c r="H116" s="159" t="s">
        <v>11</v>
      </c>
    </row>
    <row r="117" spans="4:8" ht="16" hidden="1" x14ac:dyDescent="0.2">
      <c r="D117" s="86">
        <f t="shared" ref="D117:D118" si="6">D116+1</f>
        <v>2</v>
      </c>
      <c r="E117" s="91" t="s">
        <v>12</v>
      </c>
      <c r="F117" s="91" t="s">
        <v>21</v>
      </c>
      <c r="G117" s="158" t="s">
        <v>22</v>
      </c>
      <c r="H117" s="159">
        <v>2024</v>
      </c>
    </row>
    <row r="118" spans="4:8" ht="32" hidden="1" x14ac:dyDescent="0.2">
      <c r="D118" s="86">
        <f t="shared" si="6"/>
        <v>3</v>
      </c>
      <c r="E118" s="91" t="s">
        <v>144</v>
      </c>
      <c r="F118" s="91" t="s">
        <v>145</v>
      </c>
      <c r="G118" s="158" t="s">
        <v>22</v>
      </c>
      <c r="H118" s="159" t="s">
        <v>23</v>
      </c>
    </row>
  </sheetData>
  <dataValidations count="2">
    <dataValidation type="list" allowBlank="1" showInputMessage="1" showErrorMessage="1" sqref="G17 G48 G50 G63 G88" xr:uid="{0A46EC5D-AE75-421F-AEA2-422DA1501344}">
      <formula1>"Jan, Feb, Mar, Apr, May, Jun, Jul, Aug, Sep, Oct, Nov, Dec"</formula1>
    </dataValidation>
    <dataValidation type="list" allowBlank="1" showInputMessage="1" showErrorMessage="1" sqref="G30" xr:uid="{2122A1C5-42BC-4A01-8ECE-A1D5DBF9DDEB}">
      <formula1>"Jan, Mar, Apr, May, Jun, Jul, Aug, Sep, Oct, Nov, Dec"</formula1>
    </dataValidation>
  </dataValidations>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pageSetup paperSize="9" orientation="portrait" r:id="rId1"/>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37" zoomScale="88" zoomScaleNormal="60" workbookViewId="0">
      <selection activeCell="H50" sqref="H50"/>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5" t="s">
        <v>417</v>
      </c>
      <c r="E2" s="446"/>
      <c r="F2" s="446"/>
      <c r="G2" s="447"/>
    </row>
    <row r="3" spans="3:7" x14ac:dyDescent="0.2">
      <c r="C3" s="117" t="s">
        <v>12</v>
      </c>
      <c r="D3" s="445">
        <v>2024</v>
      </c>
      <c r="E3" s="446"/>
      <c r="F3" s="446"/>
      <c r="G3" s="447"/>
    </row>
    <row r="5" spans="3:7" ht="19" customHeight="1" x14ac:dyDescent="0.2">
      <c r="C5" s="444" t="s">
        <v>146</v>
      </c>
      <c r="D5" s="444"/>
      <c r="E5" s="444"/>
      <c r="F5" s="444"/>
      <c r="G5" s="444"/>
    </row>
    <row r="7" spans="3:7" x14ac:dyDescent="0.2">
      <c r="C7" s="178" t="s">
        <v>15</v>
      </c>
      <c r="D7" s="179" t="s">
        <v>44</v>
      </c>
      <c r="E7" s="179" t="s">
        <v>147</v>
      </c>
      <c r="F7" s="179" t="s">
        <v>148</v>
      </c>
      <c r="G7" s="179" t="s">
        <v>149</v>
      </c>
    </row>
    <row r="8" spans="3:7" x14ac:dyDescent="0.2">
      <c r="C8" s="180" t="s">
        <v>150</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151</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152</v>
      </c>
      <c r="D10" s="183" t="str" cm="1">
        <f t="array" ref="D10">IF(SUMPRODUCT(--('2.2 Refrigerants'!D11:D13&gt;0))&gt;0, "x", "")</f>
        <v>x</v>
      </c>
      <c r="E10" s="183" t="str" cm="1">
        <f t="array" ref="E10">IF(SUMPRODUCT(--('2.2 Refrigerants'!E11:E13&gt;0))&gt;0, "x", "")</f>
        <v/>
      </c>
      <c r="F10" s="183" t="str" cm="1">
        <f t="array" ref="F10">IF(SUMPRODUCT(--('2.2 Refrigerants'!F11:F13&gt;0))&gt;0, "x", "")</f>
        <v/>
      </c>
      <c r="G10" s="183" t="str" cm="1">
        <f t="array" ref="G10">IF(SUMPRODUCT(--('2.2 Refrigerants'!G11:G13&gt;0))&gt;0, "x", "")</f>
        <v>x</v>
      </c>
    </row>
    <row r="11" spans="3:7" x14ac:dyDescent="0.2">
      <c r="C11" s="182" t="s">
        <v>153</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154</v>
      </c>
      <c r="D12" s="183" t="str">
        <f>IF('2.3b RE - Solar'!D11&lt;&gt;0,"x","")</f>
        <v/>
      </c>
      <c r="E12" s="183" t="str">
        <f>IF('2.3b RE - Solar'!E11&lt;&gt;0,"x","")</f>
        <v/>
      </c>
      <c r="F12" s="183" t="str">
        <f>IF('2.3b RE - Solar'!F11&lt;&gt;0,"x","")</f>
        <v/>
      </c>
      <c r="G12" s="183" t="str">
        <f>IF('2.3b RE - Solar'!G11&lt;&gt;0,"x","")</f>
        <v/>
      </c>
    </row>
    <row r="13" spans="3:7" x14ac:dyDescent="0.2">
      <c r="C13" s="182" t="s">
        <v>155</v>
      </c>
      <c r="D13" s="183" t="str">
        <f>IF(SUM('2.4 Water'!D11:D12)&lt;&gt;0,"x","")</f>
        <v>x</v>
      </c>
      <c r="E13" s="183" t="str">
        <f>IF(SUM('2.4 Water'!E11:E12)&lt;&gt;0,"x","")</f>
        <v>x</v>
      </c>
      <c r="F13" s="183" t="str">
        <f>IF(SUM('2.4 Water'!F11:F12)&lt;&gt;0,"x","")</f>
        <v>x</v>
      </c>
      <c r="G13" s="183" t="str">
        <f>IF(SUM('2.4 Water'!G11:G12)&lt;&gt;0,"x","")</f>
        <v>x</v>
      </c>
    </row>
    <row r="14" spans="3:7" x14ac:dyDescent="0.2">
      <c r="C14" s="182" t="s">
        <v>156</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157</v>
      </c>
      <c r="D16" s="185"/>
      <c r="E16" s="186"/>
    </row>
    <row r="17" spans="3:5" x14ac:dyDescent="0.2">
      <c r="C17" s="187" t="str">
        <f>'2.1a Fuel - Buildings'!B10</f>
        <v>Fuel Type</v>
      </c>
      <c r="D17" s="187" t="str">
        <f>'2.1a Fuel - Buildings'!C10</f>
        <v>Unit</v>
      </c>
      <c r="E17" s="188" t="s">
        <v>158</v>
      </c>
    </row>
    <row r="18" spans="3:5" x14ac:dyDescent="0.2">
      <c r="C18" s="189" t="str">
        <f>'2.1a Fuel - Buildings'!B11</f>
        <v>Diesel - Standby generator sets</v>
      </c>
      <c r="D18" s="189" t="str">
        <f>'2.1a Fuel - Buildings'!C11</f>
        <v>Liters</v>
      </c>
      <c r="E18" s="190">
        <f>SUM('2.1a Fuel - Buildings'!$D$11:$G$11)</f>
        <v>910.7299999999999</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159</v>
      </c>
      <c r="D24" s="185"/>
      <c r="E24" s="186"/>
    </row>
    <row r="25" spans="3:5" x14ac:dyDescent="0.2">
      <c r="C25" s="187" t="str">
        <f>'2.1b Fuel - Vehicles'!B10</f>
        <v>Fuel Type</v>
      </c>
      <c r="D25" s="187" t="str">
        <f>'2.1b Fuel - Vehicles'!C10</f>
        <v>Unit</v>
      </c>
      <c r="E25" s="187" t="s">
        <v>158</v>
      </c>
    </row>
    <row r="26" spans="3:5" x14ac:dyDescent="0.2">
      <c r="C26" s="189" t="str">
        <f>'2.1b Fuel - Vehicles'!B11</f>
        <v>Diesel - Transport vehicles</v>
      </c>
      <c r="D26" s="189" t="str">
        <f>'2.1b Fuel - Vehicles'!C11</f>
        <v>Liters</v>
      </c>
      <c r="E26" s="191">
        <f>SUM('2.1b Fuel - Vehicles'!$D11:$G11)</f>
        <v>2562.2134999999998</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160</v>
      </c>
      <c r="D29" s="185"/>
      <c r="E29" s="186"/>
    </row>
    <row r="30" spans="3:5" x14ac:dyDescent="0.2">
      <c r="C30" s="187" t="str">
        <f>'2.3a Electricity'!B11</f>
        <v>Electricity</v>
      </c>
      <c r="D30" s="187" t="str">
        <f>'2.3a Electricity'!C11</f>
        <v>Unit</v>
      </c>
      <c r="E30" s="192" t="s">
        <v>158</v>
      </c>
    </row>
    <row r="31" spans="3:5" x14ac:dyDescent="0.2">
      <c r="C31" s="189" t="str">
        <f>'2.3a Electricity'!B12</f>
        <v>Quantity</v>
      </c>
      <c r="D31" s="189" t="str">
        <f>'2.3a Electricity'!C12</f>
        <v>Kilowatt-hour</v>
      </c>
      <c r="E31" s="190">
        <f>SUM('2.3a Electricity'!$D$12:$G$12)</f>
        <v>240660</v>
      </c>
    </row>
    <row r="32" spans="3:5" x14ac:dyDescent="0.2">
      <c r="E32" s="69"/>
    </row>
    <row r="33" spans="3:5" x14ac:dyDescent="0.2">
      <c r="C33" s="184" t="s">
        <v>161</v>
      </c>
      <c r="D33" s="185"/>
      <c r="E33" s="186"/>
    </row>
    <row r="34" spans="3:5" x14ac:dyDescent="0.2">
      <c r="C34" s="425" t="str">
        <f>'2.3b RE - Solar'!B9</f>
        <v>Summary of Solar Energy Generated</v>
      </c>
      <c r="D34" s="187" t="str">
        <f>'2.3b RE - Solar'!C10</f>
        <v>Unit</v>
      </c>
      <c r="E34" s="192" t="s">
        <v>158</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162</v>
      </c>
      <c r="D37" s="185"/>
      <c r="E37" s="186"/>
    </row>
    <row r="38" spans="3:5" x14ac:dyDescent="0.2">
      <c r="C38" s="187" t="str">
        <f>'2.4 Water'!B10</f>
        <v>Water</v>
      </c>
      <c r="D38" s="187" t="str">
        <f>'2.4 Water'!C10</f>
        <v>Unit</v>
      </c>
      <c r="E38" s="192" t="s">
        <v>158</v>
      </c>
    </row>
    <row r="39" spans="3:5" x14ac:dyDescent="0.2">
      <c r="C39" s="189" t="str">
        <f>'2.4 Water'!B11</f>
        <v>Water Intake</v>
      </c>
      <c r="D39" s="189" t="str">
        <f>'2.4 Water'!C11</f>
        <v>Cubic meters</v>
      </c>
      <c r="E39" s="190">
        <f>SUM('2.4 Water'!$D$11:$G$11)</f>
        <v>2907</v>
      </c>
    </row>
    <row r="40" spans="3:5" x14ac:dyDescent="0.2">
      <c r="C40" s="189" t="str">
        <f>'2.4 Water'!B12</f>
        <v>Water Discharge</v>
      </c>
      <c r="D40" s="189" t="str">
        <f>'2.4 Water'!C12</f>
        <v>Cubic meters</v>
      </c>
      <c r="E40" s="190">
        <f>SUM('2.4 Water'!$D$12:$G$12)</f>
        <v>16.5</v>
      </c>
    </row>
    <row r="42" spans="3:5" x14ac:dyDescent="0.2">
      <c r="C42" s="184" t="s">
        <v>163</v>
      </c>
      <c r="D42" s="185"/>
      <c r="E42" s="423"/>
    </row>
    <row r="43" spans="3:5" ht="40" x14ac:dyDescent="0.2">
      <c r="C43" s="187" t="str">
        <f>'2.5 Waste'!B10</f>
        <v>Waste Composition</v>
      </c>
      <c r="D43" s="187" t="str">
        <f>'2.5 Waste'!C10</f>
        <v>Unit</v>
      </c>
      <c r="E43" s="433" t="s">
        <v>164</v>
      </c>
    </row>
    <row r="44" spans="3:5" x14ac:dyDescent="0.2">
      <c r="C44" s="189" t="str">
        <f>'2.5 Waste'!B11</f>
        <v>Compostable</v>
      </c>
      <c r="D44" s="189" t="str">
        <f>'2.5 Waste'!C11</f>
        <v>Kilograms</v>
      </c>
      <c r="E44" s="191">
        <f>SUM('2.5 Waste'!$D$11:$G$11)</f>
        <v>262</v>
      </c>
    </row>
    <row r="45" spans="3:5" x14ac:dyDescent="0.2">
      <c r="C45" s="189" t="str">
        <f>'2.5 Waste'!B12</f>
        <v>Recyclable</v>
      </c>
      <c r="D45" s="189" t="str">
        <f>'2.5 Waste'!C12</f>
        <v>Kilograms</v>
      </c>
      <c r="E45" s="191">
        <f>SUM('2.5 Waste'!$D$12:$G$12)</f>
        <v>127</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31480</v>
      </c>
    </row>
    <row r="48" spans="3:5" x14ac:dyDescent="0.2">
      <c r="C48" s="189" t="str">
        <f>'2.5 Waste'!B15</f>
        <v>Hazardous</v>
      </c>
      <c r="D48" s="189" t="str">
        <f>'2.5 Waste'!C15</f>
        <v>Kilograms</v>
      </c>
      <c r="E48" s="191">
        <f>SUM('2.5 Waste'!$D$15:$G$15)</f>
        <v>243.84999999999997</v>
      </c>
    </row>
    <row r="49" spans="3:5" x14ac:dyDescent="0.2">
      <c r="C49" s="189" t="str">
        <f>'2.5 Waste'!B16</f>
        <v>Residual/Landfill</v>
      </c>
      <c r="D49" s="189" t="str">
        <f>'2.5 Waste'!C16</f>
        <v>Kilograms</v>
      </c>
      <c r="E49" s="191">
        <f>SUM('2.5 Waste'!$D$16:$G$16)</f>
        <v>132</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A16" zoomScaleNormal="100" workbookViewId="0">
      <selection activeCell="I19" sqref="I19: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28</v>
      </c>
      <c r="C2" s="282"/>
      <c r="D2" s="282"/>
      <c r="E2" s="282"/>
      <c r="F2" s="282"/>
      <c r="G2" s="283"/>
      <c r="I2" s="357" t="s">
        <v>165</v>
      </c>
      <c r="J2" s="358"/>
      <c r="K2" s="358"/>
      <c r="L2" s="358"/>
      <c r="M2" s="359"/>
      <c r="N2" s="359"/>
      <c r="O2" s="362"/>
    </row>
    <row r="3" spans="2:16" x14ac:dyDescent="0.2">
      <c r="B3" s="33" t="s">
        <v>8</v>
      </c>
      <c r="C3" s="34"/>
      <c r="D3" s="35" t="s">
        <v>166</v>
      </c>
      <c r="E3" s="34"/>
      <c r="F3" s="34" t="s">
        <v>167</v>
      </c>
      <c r="G3" s="36"/>
      <c r="I3" s="273" t="s">
        <v>168</v>
      </c>
      <c r="J3" s="274"/>
      <c r="K3" s="274"/>
      <c r="L3" s="274"/>
      <c r="M3" s="275"/>
      <c r="N3" s="275"/>
      <c r="O3" s="413"/>
      <c r="P3" s="412"/>
    </row>
    <row r="4" spans="2:16" x14ac:dyDescent="0.2">
      <c r="B4" s="161" t="str">
        <f>'1. Data Info and Summary'!$D$2</f>
        <v>Ozamiz Branch</v>
      </c>
      <c r="C4" s="37"/>
      <c r="D4" s="38">
        <f>IF('1. Data Info and Summary'!$D$3=0,"-",'1. Data Info and Summary'!$D$3)</f>
        <v>2024</v>
      </c>
      <c r="E4" s="37"/>
      <c r="F4" s="37" t="s">
        <v>169</v>
      </c>
      <c r="G4" s="39"/>
      <c r="I4" s="338"/>
      <c r="J4" s="276"/>
      <c r="K4" s="276"/>
      <c r="L4" s="276"/>
      <c r="M4" s="277"/>
      <c r="N4" s="277"/>
      <c r="O4" s="414"/>
      <c r="P4" s="213"/>
    </row>
    <row r="5" spans="2:16" x14ac:dyDescent="0.2">
      <c r="I5" s="20"/>
      <c r="J5" s="272"/>
    </row>
    <row r="6" spans="2:16" x14ac:dyDescent="0.2">
      <c r="B6" s="278" t="s">
        <v>170</v>
      </c>
      <c r="C6" s="448"/>
      <c r="D6" s="449"/>
      <c r="E6" s="449"/>
      <c r="F6" s="449"/>
      <c r="G6" s="450"/>
      <c r="I6" s="209" t="s">
        <v>171</v>
      </c>
      <c r="J6" s="209" t="s">
        <v>34</v>
      </c>
      <c r="K6" s="209" t="s">
        <v>38</v>
      </c>
      <c r="L6" s="209" t="s">
        <v>42</v>
      </c>
      <c r="M6" s="209" t="s">
        <v>46</v>
      </c>
      <c r="N6" s="209" t="s">
        <v>49</v>
      </c>
      <c r="O6" s="209" t="s">
        <v>52</v>
      </c>
      <c r="P6" s="20"/>
    </row>
    <row r="7" spans="2:16" ht="75" x14ac:dyDescent="0.2">
      <c r="B7" s="278" t="s">
        <v>172</v>
      </c>
      <c r="C7" s="448"/>
      <c r="D7" s="449"/>
      <c r="E7" s="449"/>
      <c r="F7" s="449"/>
      <c r="G7" s="450"/>
      <c r="I7" s="194">
        <f>IF($M7="","",1)</f>
        <v>1</v>
      </c>
      <c r="J7" s="57" t="s">
        <v>36</v>
      </c>
      <c r="K7" s="58" t="s">
        <v>336</v>
      </c>
      <c r="L7" s="18" t="str">
        <f>IF(Fuel_Blg[[#This Row],[Month]]&lt;&gt;"",VLOOKUP(Fuel_Blg[[#This Row],[Month]], dropdown!$S$4:$T$15, 2, FALSE),"")</f>
        <v>Q1</v>
      </c>
      <c r="M7" s="29">
        <v>8.4</v>
      </c>
      <c r="N7" s="17" t="str">
        <f>IF($J7="","",VLOOKUP($J7,dropdown!$P$3:$Q$8,2,FALSE))</f>
        <v>Liters</v>
      </c>
      <c r="O7" s="443" t="s">
        <v>2048</v>
      </c>
      <c r="P7" s="20"/>
    </row>
    <row r="8" spans="2:16" ht="75" x14ac:dyDescent="0.2">
      <c r="I8" s="194"/>
      <c r="J8" s="57" t="s">
        <v>36</v>
      </c>
      <c r="K8" s="58" t="s">
        <v>87</v>
      </c>
      <c r="L8" s="18" t="str">
        <f>IF(Fuel_Blg[[#This Row],[Month]]&lt;&gt;"",VLOOKUP(Fuel_Blg[[#This Row],[Month]], dropdown!$S$4:$T$15, 2, FALSE),"")</f>
        <v>Q1</v>
      </c>
      <c r="M8" s="29">
        <v>104.77</v>
      </c>
      <c r="N8" s="17" t="str">
        <f>IF($J8="","",VLOOKUP($J8,dropdown!$P$3:$Q$8,2,FALSE))</f>
        <v>Liters</v>
      </c>
      <c r="O8" s="443" t="s">
        <v>2048</v>
      </c>
      <c r="P8" s="20"/>
    </row>
    <row r="9" spans="2:16" ht="75" x14ac:dyDescent="0.2">
      <c r="B9" s="14" t="s">
        <v>32</v>
      </c>
      <c r="C9" s="14"/>
      <c r="D9" s="14"/>
      <c r="E9" s="14"/>
      <c r="F9" s="14"/>
      <c r="G9" s="14"/>
      <c r="I9" s="194"/>
      <c r="J9" s="57" t="s">
        <v>36</v>
      </c>
      <c r="K9" s="58" t="s">
        <v>360</v>
      </c>
      <c r="L9" s="18" t="str">
        <f>IF(Fuel_Blg[[#This Row],[Month]]&lt;&gt;"",VLOOKUP(Fuel_Blg[[#This Row],[Month]], dropdown!$S$4:$T$15, 2, FALSE),"")</f>
        <v>Q1</v>
      </c>
      <c r="M9" s="29">
        <v>22.58</v>
      </c>
      <c r="N9" s="17" t="str">
        <f>IF($J9="","",VLOOKUP($J9,dropdown!$P$3:$Q$8,2,FALSE))</f>
        <v>Liters</v>
      </c>
      <c r="O9" s="443" t="s">
        <v>2048</v>
      </c>
      <c r="P9" s="20"/>
    </row>
    <row r="10" spans="2:16" ht="75" x14ac:dyDescent="0.2">
      <c r="B10" s="13" t="s">
        <v>34</v>
      </c>
      <c r="C10" s="13" t="s">
        <v>49</v>
      </c>
      <c r="D10" s="40" t="s">
        <v>44</v>
      </c>
      <c r="E10" s="40" t="s">
        <v>147</v>
      </c>
      <c r="F10" s="40" t="s">
        <v>148</v>
      </c>
      <c r="G10" s="40" t="s">
        <v>149</v>
      </c>
      <c r="I10" s="194">
        <f t="shared" ref="I10:I18" si="0">IF($M10="","",$I9+1)</f>
        <v>1</v>
      </c>
      <c r="J10" s="57" t="s">
        <v>36</v>
      </c>
      <c r="K10" s="58" t="s">
        <v>369</v>
      </c>
      <c r="L10" s="18" t="str">
        <f>IF(Fuel_Blg[[#This Row],[Month]]&lt;&gt;"",VLOOKUP(Fuel_Blg[[#This Row],[Month]], dropdown!$S$4:$T$15, 2, FALSE),"")</f>
        <v>Q2</v>
      </c>
      <c r="M10" s="29">
        <v>22.81</v>
      </c>
      <c r="N10" s="17" t="str">
        <f>IF($J10="","",VLOOKUP($J10,dropdown!$P$3:$Q$8,2,FALSE))</f>
        <v>Liters</v>
      </c>
      <c r="O10" s="443" t="s">
        <v>2048</v>
      </c>
      <c r="P10" s="20"/>
    </row>
    <row r="11" spans="2:16" ht="75" x14ac:dyDescent="0.2">
      <c r="B11" s="17" t="str">
        <f>dropdown!$P4</f>
        <v>Diesel - Standby generator sets</v>
      </c>
      <c r="C11" s="17" t="str">
        <f>dropdown!$Q4</f>
        <v>Liters</v>
      </c>
      <c r="D11" s="41">
        <f>SUMIFS(Fuel_Blg[Consumption],Fuel_Blg[Quarter],D$10,Fuel_Blg[Fuel Type],$B$11)</f>
        <v>135.75</v>
      </c>
      <c r="E11" s="41">
        <f>SUMIFS(Fuel_Blg[Consumption],Fuel_Blg[Quarter],E$10,Fuel_Blg[Fuel Type],$B$11)</f>
        <v>185.27</v>
      </c>
      <c r="F11" s="41">
        <f>SUMIFS(Fuel_Blg[Consumption],Fuel_Blg[Quarter],F$10,Fuel_Blg[Fuel Type],$B$11)</f>
        <v>403.84999999999997</v>
      </c>
      <c r="G11" s="41">
        <f>SUMIFS(Fuel_Blg[Consumption],Fuel_Blg[Quarter],G$10,Fuel_Blg[Fuel Type],$B$11)</f>
        <v>185.86</v>
      </c>
      <c r="I11" s="194">
        <f t="shared" si="0"/>
        <v>2</v>
      </c>
      <c r="J11" s="57" t="s">
        <v>36</v>
      </c>
      <c r="K11" s="58" t="s">
        <v>377</v>
      </c>
      <c r="L11" s="18" t="str">
        <f>IF(Fuel_Blg[[#This Row],[Month]]&lt;&gt;"",VLOOKUP(Fuel_Blg[[#This Row],[Month]], dropdown!$S$4:$T$15, 2, FALSE),"")</f>
        <v>Q2</v>
      </c>
      <c r="M11" s="29">
        <v>47.31</v>
      </c>
      <c r="N11" s="17" t="str">
        <f>IF($J11="","",VLOOKUP($J11,dropdown!$P$3:$Q$8,2,FALSE))</f>
        <v>Liters</v>
      </c>
      <c r="O11" s="443" t="s">
        <v>2048</v>
      </c>
      <c r="P11" s="20"/>
    </row>
    <row r="12" spans="2:16" ht="75"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36</v>
      </c>
      <c r="K12" s="58" t="s">
        <v>384</v>
      </c>
      <c r="L12" s="18" t="str">
        <f>IF(Fuel_Blg[[#This Row],[Month]]&lt;&gt;"",VLOOKUP(Fuel_Blg[[#This Row],[Month]], dropdown!$S$4:$T$15, 2, FALSE),"")</f>
        <v>Q2</v>
      </c>
      <c r="M12" s="29">
        <v>115.15</v>
      </c>
      <c r="N12" s="17" t="str">
        <f>IF($J12="","",VLOOKUP($J12,dropdown!$P$3:$Q$8,2,FALSE))</f>
        <v>Liters</v>
      </c>
      <c r="O12" s="443" t="s">
        <v>2048</v>
      </c>
      <c r="P12" s="20"/>
    </row>
    <row r="13" spans="2:16" ht="75"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36</v>
      </c>
      <c r="K13" s="58" t="s">
        <v>388</v>
      </c>
      <c r="L13" s="18" t="str">
        <f>IF(Fuel_Blg[[#This Row],[Month]]&lt;&gt;"",VLOOKUP(Fuel_Blg[[#This Row],[Month]], dropdown!$S$4:$T$15, 2, FALSE),"")</f>
        <v>Q3</v>
      </c>
      <c r="M13" s="29">
        <v>228.67</v>
      </c>
      <c r="N13" s="17" t="str">
        <f>IF($J13="","",VLOOKUP($J13,dropdown!$P$3:$Q$8,2,FALSE))</f>
        <v>Liters</v>
      </c>
      <c r="O13" s="443" t="s">
        <v>2048</v>
      </c>
      <c r="P13" s="20"/>
    </row>
    <row r="14" spans="2:16" ht="75"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36</v>
      </c>
      <c r="K14" s="58" t="s">
        <v>40</v>
      </c>
      <c r="L14" s="18" t="str">
        <f>IF(Fuel_Blg[[#This Row],[Month]]&lt;&gt;"",VLOOKUP(Fuel_Blg[[#This Row],[Month]], dropdown!$S$4:$T$15, 2, FALSE),"")</f>
        <v>Q3</v>
      </c>
      <c r="M14" s="29">
        <v>41.48</v>
      </c>
      <c r="N14" s="17" t="str">
        <f>IF($J14="","",VLOOKUP($J14,dropdown!$P$3:$Q$8,2,FALSE))</f>
        <v>Liters</v>
      </c>
      <c r="O14" s="443" t="s">
        <v>2048</v>
      </c>
      <c r="P14" s="20"/>
    </row>
    <row r="15" spans="2:16" ht="75"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36</v>
      </c>
      <c r="K15" s="58" t="s">
        <v>395</v>
      </c>
      <c r="L15" s="18" t="str">
        <f>IF(Fuel_Blg[[#This Row],[Month]]&lt;&gt;"",VLOOKUP(Fuel_Blg[[#This Row],[Month]], dropdown!$S$4:$T$15, 2, FALSE),"")</f>
        <v>Q3</v>
      </c>
      <c r="M15" s="29">
        <v>133.69999999999999</v>
      </c>
      <c r="N15" s="17" t="str">
        <f>IF($J15="","",VLOOKUP($J15,dropdown!$P$3:$Q$8,2,FALSE))</f>
        <v>Liters</v>
      </c>
      <c r="O15" s="443" t="s">
        <v>2048</v>
      </c>
      <c r="P15" s="20"/>
    </row>
    <row r="16" spans="2:16" ht="90" x14ac:dyDescent="0.2">
      <c r="I16" s="194">
        <f t="shared" si="0"/>
        <v>7</v>
      </c>
      <c r="J16" s="57" t="s">
        <v>36</v>
      </c>
      <c r="K16" s="58" t="s">
        <v>398</v>
      </c>
      <c r="L16" s="18" t="str">
        <f>IF(Fuel_Blg[[#This Row],[Month]]&lt;&gt;"",VLOOKUP(Fuel_Blg[[#This Row],[Month]], dropdown!$S$4:$T$15, 2, FALSE),"")</f>
        <v>Q4</v>
      </c>
      <c r="M16" s="29">
        <v>54.78</v>
      </c>
      <c r="N16" s="17" t="str">
        <f>IF($J16="","",VLOOKUP($J16,dropdown!$P$3:$Q$8,2,FALSE))</f>
        <v>Liters</v>
      </c>
      <c r="O16" s="443" t="s">
        <v>2048</v>
      </c>
      <c r="P16" s="20"/>
    </row>
    <row r="17" spans="2:16" ht="90" x14ac:dyDescent="0.2">
      <c r="B17" s="267" t="s">
        <v>37</v>
      </c>
      <c r="I17" s="194">
        <f t="shared" si="0"/>
        <v>8</v>
      </c>
      <c r="J17" s="57" t="s">
        <v>36</v>
      </c>
      <c r="K17" s="58" t="s">
        <v>402</v>
      </c>
      <c r="L17" s="18" t="str">
        <f>IF(Fuel_Blg[[#This Row],[Month]]&lt;&gt;"",VLOOKUP(Fuel_Blg[[#This Row],[Month]], dropdown!$S$4:$T$15, 2, FALSE),"")</f>
        <v>Q4</v>
      </c>
      <c r="M17" s="29">
        <v>84.88</v>
      </c>
      <c r="N17" s="17" t="str">
        <f>IF($J17="","",VLOOKUP($J17,dropdown!$P$3:$Q$8,2,FALSE))</f>
        <v>Liters</v>
      </c>
      <c r="O17" s="443" t="s">
        <v>2048</v>
      </c>
      <c r="P17" s="20"/>
    </row>
    <row r="18" spans="2:16" ht="90" x14ac:dyDescent="0.2">
      <c r="B18" s="268" t="s">
        <v>173</v>
      </c>
      <c r="I18" s="194">
        <f t="shared" si="0"/>
        <v>9</v>
      </c>
      <c r="J18" s="57" t="s">
        <v>36</v>
      </c>
      <c r="K18" s="58" t="s">
        <v>405</v>
      </c>
      <c r="L18" s="18" t="str">
        <f>IF(Fuel_Blg[[#This Row],[Month]]&lt;&gt;"",VLOOKUP(Fuel_Blg[[#This Row],[Month]], dropdown!$S$4:$T$15, 2, FALSE),"")</f>
        <v>Q4</v>
      </c>
      <c r="M18" s="29">
        <v>46.2</v>
      </c>
      <c r="N18" s="17" t="str">
        <f>IF($J18="","",VLOOKUP($J18,dropdown!$P$3:$Q$8,2,FALSE))</f>
        <v>Liters</v>
      </c>
      <c r="O18" s="443" t="s">
        <v>2048</v>
      </c>
      <c r="P18" s="20"/>
    </row>
    <row r="19" spans="2:16" x14ac:dyDescent="0.2">
      <c r="B19" s="266" t="s">
        <v>174</v>
      </c>
      <c r="P19" s="20"/>
    </row>
    <row r="20" spans="2:16" x14ac:dyDescent="0.2">
      <c r="B20" s="17" t="s">
        <v>175</v>
      </c>
      <c r="I20" s="322" t="s">
        <v>176</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G1" zoomScaleNormal="100" workbookViewId="0">
      <selection activeCell="N27" sqref="N2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28</v>
      </c>
      <c r="C2" s="31"/>
      <c r="D2" s="31"/>
      <c r="E2" s="31"/>
      <c r="F2" s="31"/>
      <c r="G2" s="32"/>
      <c r="I2" s="357" t="s">
        <v>177</v>
      </c>
      <c r="J2" s="358"/>
      <c r="K2" s="358"/>
      <c r="L2" s="359"/>
      <c r="M2" s="359"/>
      <c r="N2" s="360"/>
      <c r="O2" s="360"/>
      <c r="P2" s="361"/>
      <c r="Q2" s="361"/>
      <c r="R2" s="362"/>
    </row>
    <row r="3" spans="2:18" x14ac:dyDescent="0.2">
      <c r="B3" s="33" t="s">
        <v>8</v>
      </c>
      <c r="C3" s="34"/>
      <c r="D3" s="35" t="s">
        <v>166</v>
      </c>
      <c r="E3" s="34"/>
      <c r="F3" s="34" t="s">
        <v>167</v>
      </c>
      <c r="G3" s="36"/>
      <c r="I3" s="284" t="s">
        <v>168</v>
      </c>
      <c r="J3" s="285"/>
      <c r="K3" s="285"/>
      <c r="L3" s="286"/>
      <c r="M3" s="286"/>
      <c r="N3" s="287"/>
      <c r="O3" s="287"/>
      <c r="P3" s="288"/>
      <c r="Q3" s="288"/>
      <c r="R3" s="363"/>
    </row>
    <row r="4" spans="2:18" x14ac:dyDescent="0.2">
      <c r="B4" s="210" t="str">
        <f>'1. Data Info and Summary'!$D$2</f>
        <v>Ozamiz Branch</v>
      </c>
      <c r="C4" s="201"/>
      <c r="D4" s="38">
        <f>IF('1. Data Info and Summary'!$D$3=0,"-",'1. Data Info and Summary'!$D$3)</f>
        <v>2024</v>
      </c>
      <c r="E4" s="201"/>
      <c r="F4" s="201" t="s">
        <v>169</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170</v>
      </c>
      <c r="C6" s="448"/>
      <c r="D6" s="449"/>
      <c r="E6" s="449"/>
      <c r="F6" s="449"/>
      <c r="G6" s="450"/>
      <c r="I6" s="204" t="s">
        <v>171</v>
      </c>
      <c r="J6" s="205" t="s">
        <v>57</v>
      </c>
      <c r="K6" s="205" t="s">
        <v>34</v>
      </c>
      <c r="L6" s="205" t="s">
        <v>38</v>
      </c>
      <c r="M6" s="205" t="s">
        <v>42</v>
      </c>
      <c r="N6" s="206" t="s">
        <v>46</v>
      </c>
      <c r="O6" s="207" t="s">
        <v>49</v>
      </c>
      <c r="P6" s="206" t="s">
        <v>178</v>
      </c>
      <c r="Q6" s="207" t="s">
        <v>65</v>
      </c>
      <c r="R6" s="208" t="s">
        <v>52</v>
      </c>
    </row>
    <row r="7" spans="2:18" x14ac:dyDescent="0.2">
      <c r="B7" s="278" t="s">
        <v>172</v>
      </c>
      <c r="C7" s="448"/>
      <c r="D7" s="449"/>
      <c r="E7" s="449"/>
      <c r="F7" s="449"/>
      <c r="G7" s="450"/>
      <c r="I7" s="194">
        <f>IF($J7="","",1)</f>
        <v>1</v>
      </c>
      <c r="J7" s="57" t="s">
        <v>379</v>
      </c>
      <c r="K7" s="57" t="s">
        <v>61</v>
      </c>
      <c r="L7" s="58" t="s">
        <v>336</v>
      </c>
      <c r="M7" s="18" t="str">
        <f>IF(Fuel_Veh[[#This Row],[Month]]&lt;&gt;"",VLOOKUP(Fuel_Veh[[#This Row],[Month]], dropdown!$S$4:$T$15, 2, FALSE),"")</f>
        <v>Q1</v>
      </c>
      <c r="N7" s="29">
        <v>60.25</v>
      </c>
      <c r="O7" s="17" t="str">
        <f>IF($K7="","",VLOOKUP($K7,dropdown!$P$14:$Q$18,2,FALSE))</f>
        <v>Liters</v>
      </c>
      <c r="P7" s="29">
        <v>1588</v>
      </c>
      <c r="Q7" s="17" t="str">
        <f t="shared" ref="Q7:Q70" si="0">IF($P7="","","Kilometers")</f>
        <v>Kilometers</v>
      </c>
      <c r="R7" s="195" t="s">
        <v>1562</v>
      </c>
    </row>
    <row r="8" spans="2:18" x14ac:dyDescent="0.2">
      <c r="I8" s="194">
        <f>IF($J8="","",$I7+1)</f>
        <v>2</v>
      </c>
      <c r="J8" s="57" t="s">
        <v>379</v>
      </c>
      <c r="K8" s="57" t="s">
        <v>61</v>
      </c>
      <c r="L8" s="58" t="s">
        <v>87</v>
      </c>
      <c r="M8" s="18" t="str">
        <f>IF(Fuel_Veh[[#This Row],[Month]]&lt;&gt;"",VLOOKUP(Fuel_Veh[[#This Row],[Month]], dropdown!$S$4:$T$15, 2, FALSE),"")</f>
        <v>Q1</v>
      </c>
      <c r="N8" s="29">
        <v>184.56</v>
      </c>
      <c r="O8" s="17"/>
      <c r="P8" s="29">
        <v>2527</v>
      </c>
      <c r="Q8" s="17" t="str">
        <f t="shared" si="0"/>
        <v>Kilometers</v>
      </c>
      <c r="R8" s="195" t="s">
        <v>1562</v>
      </c>
    </row>
    <row r="9" spans="2:18" x14ac:dyDescent="0.2">
      <c r="B9" s="14" t="s">
        <v>32</v>
      </c>
      <c r="C9" s="14"/>
      <c r="D9" s="14"/>
      <c r="E9" s="14"/>
      <c r="F9" s="14"/>
      <c r="G9" s="14"/>
      <c r="I9" s="194">
        <f>IF($J9="","",$I8+1)</f>
        <v>3</v>
      </c>
      <c r="J9" s="57" t="s">
        <v>379</v>
      </c>
      <c r="K9" s="57" t="s">
        <v>61</v>
      </c>
      <c r="L9" s="58" t="s">
        <v>360</v>
      </c>
      <c r="M9" s="18" t="str">
        <f>IF(Fuel_Veh[[#This Row],[Month]]&lt;&gt;"",VLOOKUP(Fuel_Veh[[#This Row],[Month]], dropdown!$S$4:$T$15, 2, FALSE),"")</f>
        <v>Q1</v>
      </c>
      <c r="N9" s="29">
        <v>210.32</v>
      </c>
      <c r="O9" s="17" t="str">
        <f>IF($K9="","",VLOOKUP($K9,dropdown!$P$14:$Q$18,2,FALSE))</f>
        <v>Liters</v>
      </c>
      <c r="P9" s="29">
        <v>1563</v>
      </c>
      <c r="Q9" s="17" t="str">
        <f t="shared" si="0"/>
        <v>Kilometers</v>
      </c>
      <c r="R9" s="195" t="s">
        <v>1562</v>
      </c>
    </row>
    <row r="10" spans="2:18" x14ac:dyDescent="0.2">
      <c r="B10" s="13" t="s">
        <v>34</v>
      </c>
      <c r="C10" s="13" t="s">
        <v>49</v>
      </c>
      <c r="D10" s="40" t="s">
        <v>44</v>
      </c>
      <c r="E10" s="40" t="s">
        <v>147</v>
      </c>
      <c r="F10" s="40" t="s">
        <v>148</v>
      </c>
      <c r="G10" s="40" t="s">
        <v>149</v>
      </c>
      <c r="I10" s="194">
        <f>IF($J10="","",$I9+1)</f>
        <v>4</v>
      </c>
      <c r="J10" s="57" t="s">
        <v>379</v>
      </c>
      <c r="K10" s="57" t="s">
        <v>61</v>
      </c>
      <c r="L10" s="58" t="s">
        <v>369</v>
      </c>
      <c r="M10" s="18" t="str">
        <f>IF(Fuel_Veh[[#This Row],[Month]]&lt;&gt;"",VLOOKUP(Fuel_Veh[[#This Row],[Month]], dropdown!$S$4:$T$15, 2, FALSE),"")</f>
        <v>Q2</v>
      </c>
      <c r="N10" s="29">
        <v>20.57</v>
      </c>
      <c r="O10" s="17" t="str">
        <f>IF($K10="","",VLOOKUP($K10,dropdown!$P$14:$Q$18,2,FALSE))</f>
        <v>Liters</v>
      </c>
      <c r="P10" s="29">
        <v>1817</v>
      </c>
      <c r="Q10" s="17" t="str">
        <f t="shared" si="0"/>
        <v>Kilometers</v>
      </c>
      <c r="R10" s="195" t="s">
        <v>1562</v>
      </c>
    </row>
    <row r="11" spans="2:18" x14ac:dyDescent="0.2">
      <c r="B11" s="17" t="str">
        <f>dropdown!$P15</f>
        <v>Diesel - Transport vehicles</v>
      </c>
      <c r="C11" s="17" t="str">
        <f>dropdown!$Q15</f>
        <v>Liters</v>
      </c>
      <c r="D11" s="41">
        <f>SUMIFS(Fuel_Veh[Consumption],Fuel_Veh[Quarter],D$10,Fuel_Veh[Fuel Type],$B$11)</f>
        <v>692.4973</v>
      </c>
      <c r="E11" s="41">
        <f>SUMIFS(Fuel_Veh[Consumption],Fuel_Veh[Quarter],E$10,Fuel_Veh[Fuel Type],$B$11)</f>
        <v>509.28669999999994</v>
      </c>
      <c r="F11" s="41">
        <f>SUMIFS(Fuel_Veh[Consumption],Fuel_Veh[Quarter],F$10,Fuel_Veh[Fuel Type],$B$11)</f>
        <v>727.74209999999994</v>
      </c>
      <c r="G11" s="41">
        <f>SUMIFS(Fuel_Veh[Consumption],Fuel_Veh[Quarter],G$10,Fuel_Veh[Fuel Type],$B$11)</f>
        <v>632.68740000000003</v>
      </c>
      <c r="I11" s="194">
        <f>IF($J11="","",$I10+1)</f>
        <v>5</v>
      </c>
      <c r="J11" s="57" t="s">
        <v>379</v>
      </c>
      <c r="K11" s="57" t="s">
        <v>61</v>
      </c>
      <c r="L11" s="58" t="s">
        <v>377</v>
      </c>
      <c r="M11" s="18" t="str">
        <f>IF(Fuel_Veh[[#This Row],[Month]]&lt;&gt;"",VLOOKUP(Fuel_Veh[[#This Row],[Month]], dropdown!$S$4:$T$15, 2, FALSE),"")</f>
        <v>Q2</v>
      </c>
      <c r="N11" s="29">
        <v>144.01</v>
      </c>
      <c r="O11" s="17" t="str">
        <f>IF($K11="","",VLOOKUP($K11,dropdown!$P$14:$Q$18,2,FALSE))</f>
        <v>Liters</v>
      </c>
      <c r="P11" s="29">
        <v>638</v>
      </c>
      <c r="Q11" s="17" t="str">
        <f t="shared" si="0"/>
        <v>Kilometers</v>
      </c>
      <c r="R11" s="195" t="s">
        <v>1562</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379</v>
      </c>
      <c r="K12" s="57" t="s">
        <v>61</v>
      </c>
      <c r="L12" s="58" t="s">
        <v>384</v>
      </c>
      <c r="M12" s="18" t="str">
        <f>IF(Fuel_Veh[[#This Row],[Month]]&lt;&gt;"",VLOOKUP(Fuel_Veh[[#This Row],[Month]], dropdown!$S$4:$T$15, 2, FALSE),"")</f>
        <v>Q2</v>
      </c>
      <c r="N12" s="29">
        <v>150.33000000000001</v>
      </c>
      <c r="O12" s="17" t="str">
        <f>IF($K12="","",VLOOKUP($K12,dropdown!$P$14:$Q$18,2,FALSE))</f>
        <v>Liters</v>
      </c>
      <c r="P12" s="29">
        <v>1287</v>
      </c>
      <c r="Q12" s="17" t="str">
        <f t="shared" si="0"/>
        <v>Kilometers</v>
      </c>
      <c r="R12" s="195" t="s">
        <v>1562</v>
      </c>
    </row>
    <row r="13" spans="2:18" ht="14" customHeight="1" x14ac:dyDescent="0.2">
      <c r="I13" s="194">
        <f t="shared" si="1"/>
        <v>7</v>
      </c>
      <c r="J13" s="57" t="s">
        <v>379</v>
      </c>
      <c r="K13" s="57" t="s">
        <v>61</v>
      </c>
      <c r="L13" s="58" t="s">
        <v>388</v>
      </c>
      <c r="M13" s="18" t="str">
        <f>IF(Fuel_Veh[[#This Row],[Month]]&lt;&gt;"",VLOOKUP(Fuel_Veh[[#This Row],[Month]], dropdown!$S$4:$T$15, 2, FALSE),"")</f>
        <v>Q3</v>
      </c>
      <c r="N13" s="29">
        <v>170.24</v>
      </c>
      <c r="O13" s="17" t="str">
        <f>IF($K13="","",VLOOKUP($K13,dropdown!$P$14:$Q$18,2,FALSE))</f>
        <v>Liters</v>
      </c>
      <c r="P13" s="29">
        <v>2247</v>
      </c>
      <c r="Q13" s="17" t="str">
        <f t="shared" si="0"/>
        <v>Kilometers</v>
      </c>
      <c r="R13" s="195" t="s">
        <v>1562</v>
      </c>
    </row>
    <row r="14" spans="2:18" x14ac:dyDescent="0.2">
      <c r="B14" s="267" t="s">
        <v>37</v>
      </c>
      <c r="I14" s="194">
        <f t="shared" si="1"/>
        <v>8</v>
      </c>
      <c r="J14" s="57" t="s">
        <v>379</v>
      </c>
      <c r="K14" s="57" t="s">
        <v>61</v>
      </c>
      <c r="L14" s="58" t="s">
        <v>40</v>
      </c>
      <c r="M14" s="18" t="str">
        <f>IF(Fuel_Veh[[#This Row],[Month]]&lt;&gt;"",VLOOKUP(Fuel_Veh[[#This Row],[Month]], dropdown!$S$4:$T$15, 2, FALSE),"")</f>
        <v>Q3</v>
      </c>
      <c r="N14" s="29">
        <v>112.56</v>
      </c>
      <c r="O14" s="17" t="str">
        <f>IF($K14="","",VLOOKUP($K14,dropdown!$P$14:$Q$18,2,FALSE))</f>
        <v>Liters</v>
      </c>
      <c r="P14" s="29">
        <v>881</v>
      </c>
      <c r="Q14" s="17" t="str">
        <f t="shared" si="0"/>
        <v>Kilometers</v>
      </c>
      <c r="R14" s="195" t="s">
        <v>1562</v>
      </c>
    </row>
    <row r="15" spans="2:18" x14ac:dyDescent="0.2">
      <c r="B15" s="268" t="s">
        <v>173</v>
      </c>
      <c r="I15" s="194">
        <f t="shared" si="1"/>
        <v>9</v>
      </c>
      <c r="J15" s="57" t="s">
        <v>379</v>
      </c>
      <c r="K15" s="57" t="s">
        <v>61</v>
      </c>
      <c r="L15" s="58" t="s">
        <v>395</v>
      </c>
      <c r="M15" s="18" t="str">
        <f>IF(Fuel_Veh[[#This Row],[Month]]&lt;&gt;"",VLOOKUP(Fuel_Veh[[#This Row],[Month]], dropdown!$S$4:$T$15, 2, FALSE),"")</f>
        <v>Q3</v>
      </c>
      <c r="N15" s="29">
        <v>188.48</v>
      </c>
      <c r="O15" s="17" t="str">
        <f>IF($K15="","",VLOOKUP($K15,dropdown!$P$14:$Q$18,2,FALSE))</f>
        <v>Liters</v>
      </c>
      <c r="P15" s="29">
        <v>1286</v>
      </c>
      <c r="Q15" s="17" t="str">
        <f t="shared" si="0"/>
        <v>Kilometers</v>
      </c>
      <c r="R15" s="195" t="s">
        <v>1562</v>
      </c>
    </row>
    <row r="16" spans="2:18" x14ac:dyDescent="0.2">
      <c r="B16" s="266" t="s">
        <v>174</v>
      </c>
      <c r="I16" s="194">
        <f t="shared" si="1"/>
        <v>10</v>
      </c>
      <c r="J16" s="57" t="s">
        <v>379</v>
      </c>
      <c r="K16" s="57" t="s">
        <v>61</v>
      </c>
      <c r="L16" s="58" t="s">
        <v>398</v>
      </c>
      <c r="M16" s="18" t="str">
        <f>IF(Fuel_Veh[[#This Row],[Month]]&lt;&gt;"",VLOOKUP(Fuel_Veh[[#This Row],[Month]], dropdown!$S$4:$T$15, 2, FALSE),"")</f>
        <v>Q4</v>
      </c>
      <c r="N16" s="29">
        <v>171.93</v>
      </c>
      <c r="O16" s="17" t="str">
        <f>IF($K16="","",VLOOKUP($K16,dropdown!$P$14:$Q$18,2,FALSE))</f>
        <v>Liters</v>
      </c>
      <c r="P16" s="29">
        <v>2540</v>
      </c>
      <c r="Q16" s="17" t="str">
        <f t="shared" si="0"/>
        <v>Kilometers</v>
      </c>
      <c r="R16" s="195" t="s">
        <v>1562</v>
      </c>
    </row>
    <row r="17" spans="2:18" x14ac:dyDescent="0.2">
      <c r="B17" s="17" t="s">
        <v>175</v>
      </c>
      <c r="I17" s="194">
        <f t="shared" si="1"/>
        <v>11</v>
      </c>
      <c r="J17" s="57" t="s">
        <v>379</v>
      </c>
      <c r="K17" s="57" t="s">
        <v>61</v>
      </c>
      <c r="L17" s="58" t="s">
        <v>402</v>
      </c>
      <c r="M17" s="18" t="str">
        <f>IF(Fuel_Veh[[#This Row],[Month]]&lt;&gt;"",VLOOKUP(Fuel_Veh[[#This Row],[Month]], dropdown!$S$4:$T$15, 2, FALSE),"")</f>
        <v>Q4</v>
      </c>
      <c r="N17" s="29">
        <v>54.28</v>
      </c>
      <c r="O17" s="17" t="str">
        <f>IF($K17="","",VLOOKUP($K17,dropdown!$P$14:$Q$18,2,FALSE))</f>
        <v>Liters</v>
      </c>
      <c r="P17" s="29">
        <v>693</v>
      </c>
      <c r="Q17" s="17" t="str">
        <f t="shared" si="0"/>
        <v>Kilometers</v>
      </c>
      <c r="R17" s="195" t="s">
        <v>1562</v>
      </c>
    </row>
    <row r="18" spans="2:18" x14ac:dyDescent="0.2">
      <c r="I18" s="194">
        <f t="shared" si="1"/>
        <v>12</v>
      </c>
      <c r="J18" s="57" t="s">
        <v>379</v>
      </c>
      <c r="K18" s="57" t="s">
        <v>61</v>
      </c>
      <c r="L18" s="58" t="s">
        <v>405</v>
      </c>
      <c r="M18" s="18" t="str">
        <f>IF(Fuel_Veh[[#This Row],[Month]]&lt;&gt;"",VLOOKUP(Fuel_Veh[[#This Row],[Month]], dropdown!$S$4:$T$15, 2, FALSE),"")</f>
        <v>Q4</v>
      </c>
      <c r="N18" s="29">
        <v>183.99</v>
      </c>
      <c r="O18" s="17" t="str">
        <f>IF($K18="","",VLOOKUP($K18,dropdown!$P$14:$Q$18,2,FALSE))</f>
        <v>Liters</v>
      </c>
      <c r="P18" s="29">
        <v>942</v>
      </c>
      <c r="Q18" s="17" t="str">
        <f t="shared" si="0"/>
        <v>Kilometers</v>
      </c>
      <c r="R18" s="195" t="s">
        <v>1562</v>
      </c>
    </row>
    <row r="19" spans="2:18" x14ac:dyDescent="0.2">
      <c r="I19" s="194">
        <f t="shared" si="1"/>
        <v>13</v>
      </c>
      <c r="J19" s="57" t="s">
        <v>341</v>
      </c>
      <c r="K19" s="57" t="s">
        <v>61</v>
      </c>
      <c r="L19" s="58" t="s">
        <v>336</v>
      </c>
      <c r="M19" s="18" t="str">
        <f>IF(Fuel_Veh[[#This Row],[Month]]&lt;&gt;"",VLOOKUP(Fuel_Veh[[#This Row],[Month]], dropdown!$S$4:$T$15, 2, FALSE),"")</f>
        <v>Q1</v>
      </c>
      <c r="N19" s="29">
        <v>72.857799999999997</v>
      </c>
      <c r="O19" s="17" t="str">
        <f>IF($K19="","",VLOOKUP($K19,dropdown!$P$14:$Q$18,2,FALSE))</f>
        <v>Liters</v>
      </c>
      <c r="P19" s="29">
        <v>28.65</v>
      </c>
      <c r="Q19" s="17" t="str">
        <f t="shared" si="0"/>
        <v>Kilometers</v>
      </c>
      <c r="R19" s="195" t="s">
        <v>1564</v>
      </c>
    </row>
    <row r="20" spans="2:18" x14ac:dyDescent="0.2">
      <c r="I20" s="194">
        <f t="shared" si="1"/>
        <v>14</v>
      </c>
      <c r="J20" s="57" t="s">
        <v>341</v>
      </c>
      <c r="K20" s="57" t="s">
        <v>61</v>
      </c>
      <c r="L20" s="58" t="s">
        <v>87</v>
      </c>
      <c r="M20" s="18" t="str">
        <f>IF(Fuel_Veh[[#This Row],[Month]]&lt;&gt;"",VLOOKUP(Fuel_Veh[[#This Row],[Month]], dropdown!$S$4:$T$15, 2, FALSE),"")</f>
        <v>Q1</v>
      </c>
      <c r="N20" s="29">
        <v>11.4199</v>
      </c>
      <c r="O20" s="17" t="str">
        <f>IF($K20="","",VLOOKUP($K20,dropdown!$P$14:$Q$18,2,FALSE))</f>
        <v>Liters</v>
      </c>
      <c r="P20" s="29">
        <v>4.83</v>
      </c>
      <c r="Q20" s="17" t="str">
        <f t="shared" si="0"/>
        <v>Kilometers</v>
      </c>
      <c r="R20" s="195" t="s">
        <v>1564</v>
      </c>
    </row>
    <row r="21" spans="2:18" x14ac:dyDescent="0.2">
      <c r="I21" s="194">
        <f t="shared" si="1"/>
        <v>15</v>
      </c>
      <c r="J21" s="57" t="s">
        <v>341</v>
      </c>
      <c r="K21" s="57" t="s">
        <v>61</v>
      </c>
      <c r="L21" s="58" t="s">
        <v>360</v>
      </c>
      <c r="M21" s="18" t="str">
        <f>IF(Fuel_Veh[[#This Row],[Month]]&lt;&gt;"",VLOOKUP(Fuel_Veh[[#This Row],[Month]], dropdown!$S$4:$T$15, 2, FALSE),"")</f>
        <v>Q1</v>
      </c>
      <c r="N21" s="29">
        <v>153.08959999999999</v>
      </c>
      <c r="O21" s="17" t="str">
        <f>IF($K21="","",VLOOKUP($K21,dropdown!$P$14:$Q$18,2,FALSE))</f>
        <v>Liters</v>
      </c>
      <c r="P21" s="29">
        <v>234.64</v>
      </c>
      <c r="Q21" s="17" t="str">
        <f t="shared" si="0"/>
        <v>Kilometers</v>
      </c>
      <c r="R21" s="195" t="s">
        <v>1564</v>
      </c>
    </row>
    <row r="22" spans="2:18" x14ac:dyDescent="0.2">
      <c r="I22" s="194">
        <f t="shared" si="1"/>
        <v>16</v>
      </c>
      <c r="J22" s="57" t="s">
        <v>341</v>
      </c>
      <c r="K22" s="57" t="s">
        <v>61</v>
      </c>
      <c r="L22" s="58" t="s">
        <v>369</v>
      </c>
      <c r="M22" s="18" t="str">
        <f>IF(Fuel_Veh[[#This Row],[Month]]&lt;&gt;"",VLOOKUP(Fuel_Veh[[#This Row],[Month]], dropdown!$S$4:$T$15, 2, FALSE),"")</f>
        <v>Q2</v>
      </c>
      <c r="N22" s="29">
        <v>59.997500000000002</v>
      </c>
      <c r="O22" s="17" t="str">
        <f>IF($K22="","",VLOOKUP($K22,dropdown!$P$14:$Q$18,2,FALSE))</f>
        <v>Liters</v>
      </c>
      <c r="P22" s="29">
        <v>29.13</v>
      </c>
      <c r="Q22" s="17" t="str">
        <f t="shared" si="0"/>
        <v>Kilometers</v>
      </c>
      <c r="R22" s="195" t="s">
        <v>1564</v>
      </c>
    </row>
    <row r="23" spans="2:18" x14ac:dyDescent="0.2">
      <c r="I23" s="194">
        <f t="shared" si="1"/>
        <v>17</v>
      </c>
      <c r="J23" s="57" t="s">
        <v>341</v>
      </c>
      <c r="K23" s="57" t="s">
        <v>61</v>
      </c>
      <c r="L23" s="58" t="s">
        <v>377</v>
      </c>
      <c r="M23" s="18" t="str">
        <f>IF(Fuel_Veh[[#This Row],[Month]]&lt;&gt;"",VLOOKUP(Fuel_Veh[[#This Row],[Month]], dropdown!$S$4:$T$15, 2, FALSE),"")</f>
        <v>Q2</v>
      </c>
      <c r="N23" s="29">
        <v>115.67919999999999</v>
      </c>
      <c r="O23" s="17" t="str">
        <f>IF($K23="","",VLOOKUP($K23,dropdown!$P$14:$Q$18,2,FALSE))</f>
        <v>Liters</v>
      </c>
      <c r="P23" s="29">
        <v>55.04</v>
      </c>
      <c r="Q23" s="17" t="str">
        <f t="shared" si="0"/>
        <v>Kilometers</v>
      </c>
      <c r="R23" s="195" t="s">
        <v>1564</v>
      </c>
    </row>
    <row r="24" spans="2:18" x14ac:dyDescent="0.2">
      <c r="I24" s="194">
        <f t="shared" si="1"/>
        <v>18</v>
      </c>
      <c r="J24" s="57" t="s">
        <v>341</v>
      </c>
      <c r="K24" s="57" t="s">
        <v>61</v>
      </c>
      <c r="L24" s="58" t="s">
        <v>384</v>
      </c>
      <c r="M24" s="18" t="str">
        <f>IF(Fuel_Veh[[#This Row],[Month]]&lt;&gt;"",VLOOKUP(Fuel_Veh[[#This Row],[Month]], dropdown!$S$4:$T$15, 2, FALSE),"")</f>
        <v>Q2</v>
      </c>
      <c r="N24" s="29">
        <v>18.7</v>
      </c>
      <c r="O24" s="17" t="str">
        <f>IF($K24="","",VLOOKUP($K24,dropdown!$P$14:$Q$18,2,FALSE))</f>
        <v>Liters</v>
      </c>
      <c r="P24" s="29">
        <v>30.09</v>
      </c>
      <c r="Q24" s="17" t="str">
        <f t="shared" si="0"/>
        <v>Kilometers</v>
      </c>
      <c r="R24" s="195" t="s">
        <v>1564</v>
      </c>
    </row>
    <row r="25" spans="2:18" x14ac:dyDescent="0.2">
      <c r="I25" s="194">
        <f t="shared" si="1"/>
        <v>19</v>
      </c>
      <c r="J25" s="57" t="s">
        <v>341</v>
      </c>
      <c r="K25" s="57" t="s">
        <v>61</v>
      </c>
      <c r="L25" s="58" t="s">
        <v>388</v>
      </c>
      <c r="M25" s="18" t="str">
        <f>IF(Fuel_Veh[[#This Row],[Month]]&lt;&gt;"",VLOOKUP(Fuel_Veh[[#This Row],[Month]], dropdown!$S$4:$T$15, 2, FALSE),"")</f>
        <v>Q3</v>
      </c>
      <c r="N25" s="29">
        <v>18.5</v>
      </c>
      <c r="O25" s="17" t="str">
        <f>IF($K25="","",VLOOKUP($K25,dropdown!$P$14:$Q$18,2,FALSE))</f>
        <v>Liters</v>
      </c>
      <c r="P25" s="29">
        <v>29.77</v>
      </c>
      <c r="Q25" s="17" t="str">
        <f t="shared" si="0"/>
        <v>Kilometers</v>
      </c>
      <c r="R25" s="195" t="s">
        <v>1564</v>
      </c>
    </row>
    <row r="26" spans="2:18" x14ac:dyDescent="0.2">
      <c r="I26" s="194">
        <f t="shared" si="1"/>
        <v>20</v>
      </c>
      <c r="J26" s="57" t="s">
        <v>341</v>
      </c>
      <c r="K26" s="57" t="s">
        <v>61</v>
      </c>
      <c r="L26" s="196" t="s">
        <v>40</v>
      </c>
      <c r="M26" s="18" t="str">
        <f>IF(Fuel_Veh[[#This Row],[Month]]&lt;&gt;"",VLOOKUP(Fuel_Veh[[#This Row],[Month]], dropdown!$S$4:$T$15, 2, FALSE),"")</f>
        <v>Q3</v>
      </c>
      <c r="N26" s="197">
        <v>0</v>
      </c>
      <c r="O26" s="198" t="str">
        <f>IF($K26="","",VLOOKUP($K26,dropdown!$P$14:$Q$18,2,FALSE))</f>
        <v>Liters</v>
      </c>
      <c r="P26" s="197">
        <v>0.32</v>
      </c>
      <c r="Q26" s="17" t="str">
        <f t="shared" si="0"/>
        <v>Kilometers</v>
      </c>
      <c r="R26" s="195" t="s">
        <v>1564</v>
      </c>
    </row>
    <row r="27" spans="2:18" x14ac:dyDescent="0.2">
      <c r="I27" s="194">
        <f t="shared" si="1"/>
        <v>21</v>
      </c>
      <c r="J27" s="57" t="s">
        <v>341</v>
      </c>
      <c r="K27" s="57" t="s">
        <v>61</v>
      </c>
      <c r="L27" s="58" t="s">
        <v>395</v>
      </c>
      <c r="M27" s="18" t="str">
        <f>IF(Fuel_Veh[[#This Row],[Month]]&lt;&gt;"",VLOOKUP(Fuel_Veh[[#This Row],[Month]], dropdown!$S$4:$T$15, 2, FALSE),"")</f>
        <v>Q3</v>
      </c>
      <c r="N27" s="29">
        <v>237.96209999999999</v>
      </c>
      <c r="O27" s="17" t="str">
        <f>IF($K27="","",VLOOKUP($K27,dropdown!$P$14:$Q$18,2,FALSE))</f>
        <v>Liters</v>
      </c>
      <c r="P27" s="29">
        <v>39.270000000000003</v>
      </c>
      <c r="Q27" s="17" t="str">
        <f t="shared" si="0"/>
        <v>Kilometers</v>
      </c>
      <c r="R27" s="195" t="s">
        <v>1564</v>
      </c>
    </row>
    <row r="28" spans="2:18" x14ac:dyDescent="0.2">
      <c r="I28" s="194">
        <f t="shared" si="1"/>
        <v>22</v>
      </c>
      <c r="J28" s="57" t="s">
        <v>341</v>
      </c>
      <c r="K28" s="57" t="s">
        <v>61</v>
      </c>
      <c r="L28" s="58" t="s">
        <v>398</v>
      </c>
      <c r="M28" s="18" t="str">
        <f>IF(Fuel_Veh[[#This Row],[Month]]&lt;&gt;"",VLOOKUP(Fuel_Veh[[#This Row],[Month]], dropdown!$S$4:$T$15, 2, FALSE),"")</f>
        <v>Q4</v>
      </c>
      <c r="N28" s="29">
        <v>17</v>
      </c>
      <c r="O28" s="17" t="str">
        <f>IF($K28="","",VLOOKUP($K28,dropdown!$P$14:$Q$18,2,FALSE))</f>
        <v>Liters</v>
      </c>
      <c r="P28" s="29">
        <v>27.36</v>
      </c>
      <c r="Q28" s="17" t="str">
        <f t="shared" si="0"/>
        <v>Kilometers</v>
      </c>
      <c r="R28" s="195" t="s">
        <v>1564</v>
      </c>
    </row>
    <row r="29" spans="2:18" x14ac:dyDescent="0.2">
      <c r="I29" s="194">
        <f t="shared" si="1"/>
        <v>23</v>
      </c>
      <c r="J29" s="57" t="s">
        <v>341</v>
      </c>
      <c r="K29" s="57" t="s">
        <v>61</v>
      </c>
      <c r="L29" s="58" t="s">
        <v>402</v>
      </c>
      <c r="M29" s="18" t="str">
        <f>IF(Fuel_Veh[[#This Row],[Month]]&lt;&gt;"",VLOOKUP(Fuel_Veh[[#This Row],[Month]], dropdown!$S$4:$T$15, 2, FALSE),"")</f>
        <v>Q4</v>
      </c>
      <c r="N29" s="29">
        <v>143.61420000000001</v>
      </c>
      <c r="O29" s="17" t="str">
        <f>IF($K29="","",VLOOKUP($K29,dropdown!$P$14:$Q$18,2,FALSE))</f>
        <v>Liters</v>
      </c>
      <c r="P29" s="29">
        <v>399.28</v>
      </c>
      <c r="Q29" s="17" t="str">
        <f t="shared" si="0"/>
        <v>Kilometers</v>
      </c>
      <c r="R29" s="195" t="s">
        <v>1564</v>
      </c>
    </row>
    <row r="30" spans="2:18" x14ac:dyDescent="0.2">
      <c r="I30" s="194">
        <f t="shared" si="1"/>
        <v>24</v>
      </c>
      <c r="J30" s="57" t="s">
        <v>341</v>
      </c>
      <c r="K30" s="345" t="s">
        <v>61</v>
      </c>
      <c r="L30" s="196" t="s">
        <v>405</v>
      </c>
      <c r="M30" s="18" t="str">
        <f>IF(Fuel_Veh[[#This Row],[Month]]&lt;&gt;"",VLOOKUP(Fuel_Veh[[#This Row],[Month]], dropdown!$S$4:$T$15, 2, FALSE),"")</f>
        <v>Q4</v>
      </c>
      <c r="N30" s="197">
        <v>61.873199999999997</v>
      </c>
      <c r="O30" s="198" t="str">
        <f>IF($K30="","",VLOOKUP($K30,dropdown!$P$14:$Q$18,2,FALSE))</f>
        <v>Liters</v>
      </c>
      <c r="P30" s="197">
        <v>40.72</v>
      </c>
      <c r="Q30" s="17" t="str">
        <f t="shared" si="0"/>
        <v>Kilometers</v>
      </c>
      <c r="R30" s="195" t="s">
        <v>1564</v>
      </c>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176</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24" zoomScale="68" zoomScaleNormal="68" workbookViewId="0">
      <selection activeCell="W9" sqref="W9"/>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28</v>
      </c>
      <c r="C2" s="31"/>
      <c r="D2" s="31"/>
      <c r="E2" s="31"/>
      <c r="F2" s="31"/>
      <c r="G2" s="32"/>
      <c r="I2" s="123" t="s">
        <v>179</v>
      </c>
      <c r="J2" s="62"/>
      <c r="K2" s="62"/>
      <c r="L2" s="62"/>
      <c r="M2" s="62"/>
      <c r="N2" s="62"/>
      <c r="O2" s="124"/>
      <c r="P2" s="61"/>
      <c r="Q2" s="61"/>
      <c r="R2" s="61"/>
      <c r="S2" s="61"/>
      <c r="T2" s="61"/>
      <c r="U2" s="61"/>
      <c r="V2" s="403"/>
    </row>
    <row r="3" spans="2:31" ht="13.5" customHeight="1" x14ac:dyDescent="0.2">
      <c r="B3" s="33" t="s">
        <v>8</v>
      </c>
      <c r="C3" s="34"/>
      <c r="D3" s="35" t="s">
        <v>166</v>
      </c>
      <c r="E3" s="34"/>
      <c r="F3" s="34" t="s">
        <v>167</v>
      </c>
      <c r="G3" s="36"/>
      <c r="I3" s="353"/>
      <c r="J3" s="339"/>
      <c r="K3" s="339"/>
      <c r="L3" s="339"/>
      <c r="M3" s="339"/>
      <c r="N3" s="339"/>
      <c r="O3" s="342"/>
      <c r="P3" s="343"/>
      <c r="Q3" s="340"/>
      <c r="R3" s="299"/>
      <c r="S3" s="339"/>
      <c r="T3" s="300"/>
      <c r="U3" s="300"/>
      <c r="V3" s="404"/>
    </row>
    <row r="4" spans="2:31" x14ac:dyDescent="0.2">
      <c r="B4" s="161" t="str">
        <f>'1. Data Info and Summary'!$D$2</f>
        <v>Ozamiz Branch</v>
      </c>
      <c r="C4" s="37"/>
      <c r="D4" s="38">
        <f>IF('1. Data Info and Summary'!$D$3=0,"-",'1. Data Info and Summary'!$D$3)</f>
        <v>2024</v>
      </c>
      <c r="E4" s="37"/>
      <c r="F4" s="37" t="s">
        <v>180</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170</v>
      </c>
      <c r="C6" s="448"/>
      <c r="D6" s="449"/>
      <c r="E6" s="449"/>
      <c r="F6" s="449"/>
      <c r="G6" s="450"/>
      <c r="I6" s="298"/>
      <c r="J6" s="298"/>
      <c r="K6" s="298"/>
      <c r="L6" s="298"/>
      <c r="M6" s="298"/>
      <c r="N6" s="298"/>
      <c r="O6" s="298"/>
      <c r="P6" s="298"/>
      <c r="Q6" s="298"/>
      <c r="R6" s="298"/>
      <c r="S6" s="298"/>
      <c r="T6" s="298"/>
      <c r="U6" s="298"/>
      <c r="V6" s="298"/>
    </row>
    <row r="7" spans="2:31" ht="15" customHeight="1" x14ac:dyDescent="0.2">
      <c r="B7" s="278" t="s">
        <v>172</v>
      </c>
      <c r="C7" s="448"/>
      <c r="D7" s="449"/>
      <c r="E7" s="449"/>
      <c r="F7" s="449"/>
      <c r="G7" s="450"/>
      <c r="I7" s="418" t="s">
        <v>152</v>
      </c>
      <c r="J7" s="417"/>
      <c r="K7" s="415"/>
      <c r="L7" s="415"/>
      <c r="M7" s="415"/>
      <c r="N7" s="415"/>
      <c r="O7" s="455" t="s">
        <v>181</v>
      </c>
      <c r="P7" s="455"/>
      <c r="Q7" s="456" t="s">
        <v>182</v>
      </c>
      <c r="R7" s="457"/>
      <c r="S7" s="458" t="s">
        <v>84</v>
      </c>
      <c r="T7" s="459"/>
      <c r="U7" s="459"/>
      <c r="V7" s="416"/>
      <c r="W7" s="415"/>
      <c r="X7" s="56"/>
      <c r="AB7" s="11"/>
      <c r="AE7" s="11"/>
    </row>
    <row r="8" spans="2:31" ht="25.5" customHeight="1" x14ac:dyDescent="0.2">
      <c r="I8" s="420" t="s">
        <v>171</v>
      </c>
      <c r="J8" s="420" t="s">
        <v>70</v>
      </c>
      <c r="K8" s="421" t="s">
        <v>73</v>
      </c>
      <c r="L8" s="421" t="s">
        <v>76</v>
      </c>
      <c r="M8" s="421" t="s">
        <v>79</v>
      </c>
      <c r="N8" s="421" t="s">
        <v>82</v>
      </c>
      <c r="O8" s="422" t="s">
        <v>183</v>
      </c>
      <c r="P8" s="402" t="s">
        <v>88</v>
      </c>
      <c r="Q8" s="394" t="s">
        <v>90</v>
      </c>
      <c r="R8" s="394" t="s">
        <v>184</v>
      </c>
      <c r="S8" s="394" t="s">
        <v>94</v>
      </c>
      <c r="T8" s="395" t="s">
        <v>185</v>
      </c>
      <c r="U8" s="400" t="s">
        <v>98</v>
      </c>
      <c r="V8" s="416" t="s">
        <v>42</v>
      </c>
      <c r="W8" s="415" t="s">
        <v>52</v>
      </c>
      <c r="X8" s="56"/>
      <c r="AB8" s="11"/>
      <c r="AE8" s="11"/>
    </row>
    <row r="9" spans="2:31" ht="14" x14ac:dyDescent="0.2">
      <c r="B9" s="14" t="s">
        <v>69</v>
      </c>
      <c r="C9" s="14"/>
      <c r="D9" s="14"/>
      <c r="E9" s="14"/>
      <c r="F9" s="14"/>
      <c r="G9" s="14"/>
      <c r="I9" s="396">
        <f>IF($K9="","",1)</f>
        <v>1</v>
      </c>
      <c r="J9" s="434" t="s">
        <v>1725</v>
      </c>
      <c r="K9" s="391" t="s">
        <v>198</v>
      </c>
      <c r="L9" s="392">
        <v>2</v>
      </c>
      <c r="M9" s="393" t="s">
        <v>378</v>
      </c>
      <c r="N9" s="419" t="s">
        <v>350</v>
      </c>
      <c r="O9" s="397"/>
      <c r="P9" s="398"/>
      <c r="Q9" s="397" t="s">
        <v>360</v>
      </c>
      <c r="R9" s="399">
        <v>11</v>
      </c>
      <c r="S9" s="397"/>
      <c r="T9" s="399"/>
      <c r="U9" s="399"/>
      <c r="V9" s="430" t="str">
        <f>IFERROR(VLOOKUP($O9, dropdown!$S$4:$T$15, 2, FALSE),
 IFERROR(VLOOKUP($Q9, dropdown!$S$4:$T$15, 2, FALSE),
 IFERROR(VLOOKUP($S9, dropdown!$S$4:$T$15, 2, FALSE),
 "")))</f>
        <v>Q1</v>
      </c>
      <c r="W9" s="392" t="s">
        <v>2082</v>
      </c>
      <c r="X9" s="56"/>
      <c r="AB9" s="11"/>
      <c r="AE9" s="11"/>
    </row>
    <row r="10" spans="2:31" ht="14" x14ac:dyDescent="0.2">
      <c r="B10" s="175" t="str">
        <f>$Q$7</f>
        <v>In Operation</v>
      </c>
      <c r="C10" s="13" t="s">
        <v>49</v>
      </c>
      <c r="D10" s="40" t="s">
        <v>44</v>
      </c>
      <c r="E10" s="40" t="s">
        <v>147</v>
      </c>
      <c r="F10" s="40" t="s">
        <v>148</v>
      </c>
      <c r="G10" s="40" t="s">
        <v>149</v>
      </c>
      <c r="I10" s="18">
        <f t="shared" ref="I10:I41" si="0">IF($K10="","",$I9+1)</f>
        <v>2</v>
      </c>
      <c r="J10" s="435" t="s">
        <v>1644</v>
      </c>
      <c r="K10" s="57" t="s">
        <v>198</v>
      </c>
      <c r="L10" s="28">
        <v>2</v>
      </c>
      <c r="M10" s="264" t="s">
        <v>378</v>
      </c>
      <c r="N10" s="401" t="s">
        <v>350</v>
      </c>
      <c r="O10" s="397"/>
      <c r="P10" s="398"/>
      <c r="Q10" s="397" t="s">
        <v>360</v>
      </c>
      <c r="R10" s="399"/>
      <c r="S10" s="397"/>
      <c r="T10" s="399"/>
      <c r="U10" s="399"/>
      <c r="V10" s="430" t="str">
        <f>IFERROR(VLOOKUP($O10, dropdown!$S$4:$T$15, 2, FALSE),
 IFERROR(VLOOKUP($Q10, dropdown!$S$4:$T$15, 2, FALSE),
 IFERROR(VLOOKUP($S10, dropdown!$S$4:$T$15, 2, FALSE),
 "")))</f>
        <v>Q1</v>
      </c>
      <c r="W10" s="28" t="s">
        <v>2083</v>
      </c>
      <c r="X10" s="56"/>
      <c r="AB10" s="11"/>
      <c r="AE10" s="11"/>
    </row>
    <row r="11" spans="2:31" ht="14" x14ac:dyDescent="0.2">
      <c r="B11" s="41" t="s">
        <v>186</v>
      </c>
      <c r="C11" s="17" t="s">
        <v>187</v>
      </c>
      <c r="D11" s="176">
        <f>SUMIFS($L$9:$L$107,$N$9:$N$107,$B11,$V$9:$V$107,$D$10)</f>
        <v>0</v>
      </c>
      <c r="E11" s="176">
        <f>SUMIFS($L$9:$L$107,$N$9:$N$107,$B11,$V$9:$V$107,$E$10)</f>
        <v>0</v>
      </c>
      <c r="F11" s="176">
        <f>SUMIFS($L$9:$L$107,$N$9:$N$107,$B11,$V$9:$V$107,$F$10)</f>
        <v>0</v>
      </c>
      <c r="G11" s="176">
        <f>SUMIFS($L$9:$L$107,$N$9:$N$107,$B11,$V$9:$V$107,$G$10)</f>
        <v>0</v>
      </c>
      <c r="I11" s="18">
        <f t="shared" si="0"/>
        <v>3</v>
      </c>
      <c r="J11" s="435" t="s">
        <v>1643</v>
      </c>
      <c r="K11" s="57" t="s">
        <v>198</v>
      </c>
      <c r="L11" s="28">
        <v>2</v>
      </c>
      <c r="M11" s="264" t="s">
        <v>378</v>
      </c>
      <c r="N11" s="401" t="s">
        <v>350</v>
      </c>
      <c r="O11" s="397"/>
      <c r="P11" s="398"/>
      <c r="Q11" s="397" t="s">
        <v>360</v>
      </c>
      <c r="R11" s="399"/>
      <c r="S11" s="397"/>
      <c r="T11" s="399"/>
      <c r="U11" s="399"/>
      <c r="V11" s="430" t="str">
        <f>IFERROR(VLOOKUP($O11, dropdown!$S$4:$T$15, 2, FALSE),
 IFERROR(VLOOKUP($Q11, dropdown!$S$4:$T$15, 2, FALSE),
 IFERROR(VLOOKUP($S11, dropdown!$S$4:$T$15, 2, FALSE),
 "")))</f>
        <v>Q1</v>
      </c>
      <c r="W11" s="28" t="s">
        <v>2084</v>
      </c>
      <c r="X11" s="56"/>
      <c r="AB11" s="11"/>
      <c r="AE11" s="11"/>
    </row>
    <row r="12" spans="2:31" ht="14" x14ac:dyDescent="0.2">
      <c r="B12" s="17" t="s">
        <v>182</v>
      </c>
      <c r="C12" s="17" t="s">
        <v>187</v>
      </c>
      <c r="D12" s="176">
        <f>SUMIFS($L$9:$L$107,$N$9:$N$107,$B12,$V$9:$V$107,$D$10)</f>
        <v>27</v>
      </c>
      <c r="E12" s="176">
        <f>SUMIFS($L$9:$L$107,$N$9:$N$107,$B12,$V$9:$V$107,$E$10)</f>
        <v>0</v>
      </c>
      <c r="F12" s="176">
        <f>SUMIFS($L$9:$L$107,$N$9:$N$107,$B12,$V$9:$V$107,$F$10)</f>
        <v>0</v>
      </c>
      <c r="G12" s="176">
        <f>SUMIFS($L$9:$L$107,$N$9:$N$107,$B12,$V$9:$V$107,$G$10)</f>
        <v>27</v>
      </c>
      <c r="I12" s="18">
        <f t="shared" si="0"/>
        <v>4</v>
      </c>
      <c r="J12" s="435" t="s">
        <v>1645</v>
      </c>
      <c r="K12" s="57" t="s">
        <v>198</v>
      </c>
      <c r="L12" s="28">
        <v>1</v>
      </c>
      <c r="M12" s="264" t="s">
        <v>378</v>
      </c>
      <c r="N12" s="401" t="s">
        <v>350</v>
      </c>
      <c r="O12" s="397"/>
      <c r="P12" s="398"/>
      <c r="Q12" s="397" t="s">
        <v>360</v>
      </c>
      <c r="R12" s="399"/>
      <c r="S12" s="397"/>
      <c r="T12" s="399"/>
      <c r="U12" s="399"/>
      <c r="V12" s="430" t="str">
        <f>IFERROR(VLOOKUP($O12, dropdown!$S$4:$T$15, 2, FALSE),
 IFERROR(VLOOKUP($Q12, dropdown!$S$4:$T$15, 2, FALSE),
 IFERROR(VLOOKUP($S12, dropdown!$S$4:$T$15, 2, FALSE),
 "")))</f>
        <v>Q1</v>
      </c>
      <c r="W12" s="28" t="s">
        <v>2085</v>
      </c>
      <c r="X12" s="56"/>
      <c r="AB12" s="11"/>
      <c r="AE12" s="11"/>
    </row>
    <row r="13" spans="2:31" ht="14" x14ac:dyDescent="0.2">
      <c r="B13" s="17" t="s">
        <v>84</v>
      </c>
      <c r="C13" s="17" t="s">
        <v>187</v>
      </c>
      <c r="D13" s="176">
        <f>SUMIFS($L$9:$L$107,$N$9:$N$107,$B13,$V$9:$V$107,$D$10)</f>
        <v>0</v>
      </c>
      <c r="E13" s="176">
        <f>SUMIFS($L$9:$L$107,$N$9:$N$107,$B13,$V$9:$V$107,$E$10)</f>
        <v>0</v>
      </c>
      <c r="F13" s="176">
        <f>SUMIFS($L$9:$L$107,$N$9:$N$107,$B13,$V$9:$V$107,$F$10)</f>
        <v>0</v>
      </c>
      <c r="G13" s="176">
        <f>SUMIFS($L$9:$L$107,$N$9:$N$107,$B13,$V$9:$V$107,$G$10)</f>
        <v>0</v>
      </c>
      <c r="I13" s="18">
        <f t="shared" si="0"/>
        <v>5</v>
      </c>
      <c r="J13" s="435" t="s">
        <v>1646</v>
      </c>
      <c r="K13" s="57" t="s">
        <v>198</v>
      </c>
      <c r="L13" s="28">
        <v>1</v>
      </c>
      <c r="M13" s="264" t="s">
        <v>378</v>
      </c>
      <c r="N13" s="401" t="s">
        <v>350</v>
      </c>
      <c r="O13" s="397"/>
      <c r="P13" s="398"/>
      <c r="Q13" s="397" t="s">
        <v>360</v>
      </c>
      <c r="R13" s="399"/>
      <c r="S13" s="397"/>
      <c r="T13" s="399"/>
      <c r="U13" s="399"/>
      <c r="V13" s="430" t="str">
        <f>IFERROR(VLOOKUP($O13, dropdown!$S$4:$T$15, 2, FALSE),
 IFERROR(VLOOKUP($Q13, dropdown!$S$4:$T$15, 2, FALSE),
 IFERROR(VLOOKUP($S13, dropdown!$S$4:$T$15, 2, FALSE),
 "")))</f>
        <v>Q1</v>
      </c>
      <c r="W13" s="28" t="s">
        <v>2086</v>
      </c>
      <c r="AB13" s="11"/>
      <c r="AE13" s="11"/>
    </row>
    <row r="14" spans="2:31" ht="17" customHeight="1" x14ac:dyDescent="0.2">
      <c r="D14" s="177" t="str">
        <f>IF(SUM(D$11:D$13)&gt;0,"x","")</f>
        <v>x</v>
      </c>
      <c r="E14" s="177" t="str">
        <f t="shared" ref="E14:G14" si="1">IF(SUM(E$11:E$13)&gt;0,"x","")</f>
        <v/>
      </c>
      <c r="F14" s="177" t="str">
        <f t="shared" si="1"/>
        <v/>
      </c>
      <c r="G14" s="177" t="str">
        <f t="shared" si="1"/>
        <v>x</v>
      </c>
      <c r="I14" s="18">
        <f t="shared" si="0"/>
        <v>6</v>
      </c>
      <c r="J14" s="435" t="s">
        <v>1647</v>
      </c>
      <c r="K14" s="57" t="s">
        <v>198</v>
      </c>
      <c r="L14" s="28">
        <v>1</v>
      </c>
      <c r="M14" s="264" t="s">
        <v>378</v>
      </c>
      <c r="N14" s="401" t="s">
        <v>350</v>
      </c>
      <c r="O14" s="397"/>
      <c r="P14" s="398"/>
      <c r="Q14" s="397" t="s">
        <v>360</v>
      </c>
      <c r="R14" s="399"/>
      <c r="S14" s="397"/>
      <c r="T14" s="399"/>
      <c r="U14" s="399"/>
      <c r="V14" s="430" t="str">
        <f>IFERROR(VLOOKUP($O14, dropdown!$S$4:$T$15, 2, FALSE),
 IFERROR(VLOOKUP($Q14, dropdown!$S$4:$T$15, 2, FALSE),
 IFERROR(VLOOKUP($S14, dropdown!$S$4:$T$15, 2, FALSE),
 "")))</f>
        <v>Q1</v>
      </c>
      <c r="W14" s="28" t="s">
        <v>2087</v>
      </c>
      <c r="AB14" s="11"/>
      <c r="AE14" s="11"/>
    </row>
    <row r="15" spans="2:31" ht="17" customHeight="1" x14ac:dyDescent="0.2">
      <c r="B15" s="119" t="s">
        <v>37</v>
      </c>
      <c r="I15" s="18">
        <f t="shared" si="0"/>
        <v>7</v>
      </c>
      <c r="J15" s="435" t="s">
        <v>1648</v>
      </c>
      <c r="K15" s="57" t="s">
        <v>198</v>
      </c>
      <c r="L15" s="28">
        <v>1</v>
      </c>
      <c r="M15" s="264" t="s">
        <v>378</v>
      </c>
      <c r="N15" s="401" t="s">
        <v>350</v>
      </c>
      <c r="O15" s="397"/>
      <c r="P15" s="398"/>
      <c r="Q15" s="397" t="s">
        <v>360</v>
      </c>
      <c r="R15" s="399"/>
      <c r="S15" s="397"/>
      <c r="T15" s="399"/>
      <c r="U15" s="399"/>
      <c r="V15" s="430" t="str">
        <f>IFERROR(VLOOKUP($O15, dropdown!$S$4:$T$15, 2, FALSE),
 IFERROR(VLOOKUP($Q15, dropdown!$S$4:$T$15, 2, FALSE),
 IFERROR(VLOOKUP($S15, dropdown!$S$4:$T$15, 2, FALSE),
 "")))</f>
        <v>Q1</v>
      </c>
      <c r="W15" s="28" t="s">
        <v>2085</v>
      </c>
      <c r="AB15" s="11"/>
      <c r="AE15" s="11"/>
    </row>
    <row r="16" spans="2:31" ht="14" x14ac:dyDescent="0.2">
      <c r="B16" s="120" t="s">
        <v>173</v>
      </c>
      <c r="I16" s="18">
        <f t="shared" si="0"/>
        <v>8</v>
      </c>
      <c r="J16" s="435" t="s">
        <v>1649</v>
      </c>
      <c r="K16" s="57" t="s">
        <v>198</v>
      </c>
      <c r="L16" s="28">
        <v>1</v>
      </c>
      <c r="M16" s="264" t="s">
        <v>378</v>
      </c>
      <c r="N16" s="401" t="s">
        <v>350</v>
      </c>
      <c r="O16" s="397"/>
      <c r="P16" s="398"/>
      <c r="Q16" s="397" t="s">
        <v>360</v>
      </c>
      <c r="R16" s="399"/>
      <c r="S16" s="397"/>
      <c r="T16" s="399"/>
      <c r="U16" s="399"/>
      <c r="V16" s="430" t="str">
        <f>IFERROR(VLOOKUP($O16, dropdown!$S$4:$T$15, 2, FALSE),
 IFERROR(VLOOKUP($Q16, dropdown!$S$4:$T$15, 2, FALSE),
 IFERROR(VLOOKUP($S16, dropdown!$S$4:$T$15, 2, FALSE),
 "")))</f>
        <v>Q1</v>
      </c>
      <c r="W16" s="28" t="s">
        <v>2078</v>
      </c>
      <c r="AB16" s="11"/>
      <c r="AE16" s="11"/>
    </row>
    <row r="17" spans="2:31" ht="15" customHeight="1" x14ac:dyDescent="0.2">
      <c r="B17" s="121" t="s">
        <v>174</v>
      </c>
      <c r="I17" s="18">
        <f t="shared" si="0"/>
        <v>9</v>
      </c>
      <c r="J17" s="435" t="s">
        <v>1652</v>
      </c>
      <c r="K17" s="57" t="s">
        <v>198</v>
      </c>
      <c r="L17" s="28">
        <v>2</v>
      </c>
      <c r="M17" s="264" t="s">
        <v>378</v>
      </c>
      <c r="N17" s="401" t="s">
        <v>350</v>
      </c>
      <c r="O17" s="397"/>
      <c r="P17" s="398"/>
      <c r="Q17" s="397" t="s">
        <v>360</v>
      </c>
      <c r="R17" s="399"/>
      <c r="S17" s="397"/>
      <c r="T17" s="399"/>
      <c r="U17" s="399"/>
      <c r="V17" s="430" t="str">
        <f>IFERROR(VLOOKUP($O17, dropdown!$S$4:$T$15, 2, FALSE),
 IFERROR(VLOOKUP($Q17, dropdown!$S$4:$T$15, 2, FALSE),
 IFERROR(VLOOKUP($S17, dropdown!$S$4:$T$15, 2, FALSE),
 "")))</f>
        <v>Q1</v>
      </c>
      <c r="W17" s="28" t="s">
        <v>2081</v>
      </c>
      <c r="AB17" s="11"/>
      <c r="AE17" s="11"/>
    </row>
    <row r="18" spans="2:31" ht="15" customHeight="1" x14ac:dyDescent="0.2">
      <c r="B18" s="122" t="s">
        <v>175</v>
      </c>
      <c r="I18" s="18">
        <f t="shared" si="0"/>
        <v>10</v>
      </c>
      <c r="J18" s="435" t="s">
        <v>1653</v>
      </c>
      <c r="K18" s="57" t="s">
        <v>198</v>
      </c>
      <c r="L18" s="28">
        <v>2</v>
      </c>
      <c r="M18" s="264" t="s">
        <v>378</v>
      </c>
      <c r="N18" s="401" t="s">
        <v>350</v>
      </c>
      <c r="O18" s="397"/>
      <c r="P18" s="398"/>
      <c r="Q18" s="397" t="s">
        <v>360</v>
      </c>
      <c r="R18" s="399"/>
      <c r="S18" s="397"/>
      <c r="T18" s="399"/>
      <c r="U18" s="399"/>
      <c r="V18" s="430" t="str">
        <f>IFERROR(VLOOKUP($O18, dropdown!$S$4:$T$15, 2, FALSE),
 IFERROR(VLOOKUP($Q18, dropdown!$S$4:$T$15, 2, FALSE),
 IFERROR(VLOOKUP($S18, dropdown!$S$4:$T$15, 2, FALSE),
 "")))</f>
        <v>Q1</v>
      </c>
      <c r="W18" s="28" t="s">
        <v>2088</v>
      </c>
      <c r="AB18" s="11"/>
      <c r="AE18" s="11"/>
    </row>
    <row r="19" spans="2:31" ht="27" x14ac:dyDescent="0.2">
      <c r="B19" s="382" t="s">
        <v>188</v>
      </c>
      <c r="I19" s="18">
        <f t="shared" si="0"/>
        <v>11</v>
      </c>
      <c r="J19" s="435" t="s">
        <v>1654</v>
      </c>
      <c r="K19" s="57" t="s">
        <v>198</v>
      </c>
      <c r="L19" s="28">
        <v>1</v>
      </c>
      <c r="M19" s="264" t="s">
        <v>378</v>
      </c>
      <c r="N19" s="401" t="s">
        <v>350</v>
      </c>
      <c r="O19" s="397"/>
      <c r="P19" s="398"/>
      <c r="Q19" s="397" t="s">
        <v>360</v>
      </c>
      <c r="R19" s="399"/>
      <c r="S19" s="397"/>
      <c r="T19" s="399"/>
      <c r="U19" s="399"/>
      <c r="V19" s="430" t="str">
        <f>IFERROR(VLOOKUP($O19, dropdown!$S$4:$T$15, 2, FALSE),
 IFERROR(VLOOKUP($Q19, dropdown!$S$4:$T$15, 2, FALSE),
 IFERROR(VLOOKUP($S19, dropdown!$S$4:$T$15, 2, FALSE),
 "")))</f>
        <v>Q1</v>
      </c>
      <c r="W19" s="28" t="s">
        <v>2090</v>
      </c>
      <c r="AB19" s="11"/>
      <c r="AE19" s="11"/>
    </row>
    <row r="20" spans="2:31" ht="14" x14ac:dyDescent="0.2">
      <c r="I20" s="18">
        <f t="shared" si="0"/>
        <v>12</v>
      </c>
      <c r="J20" s="435" t="s">
        <v>1657</v>
      </c>
      <c r="K20" s="57" t="s">
        <v>198</v>
      </c>
      <c r="L20" s="28">
        <v>2</v>
      </c>
      <c r="M20" s="264" t="s">
        <v>378</v>
      </c>
      <c r="N20" s="401" t="s">
        <v>350</v>
      </c>
      <c r="O20" s="397"/>
      <c r="P20" s="398"/>
      <c r="Q20" s="397" t="s">
        <v>360</v>
      </c>
      <c r="R20" s="399"/>
      <c r="S20" s="397"/>
      <c r="T20" s="399"/>
      <c r="U20" s="399"/>
      <c r="V20" s="430" t="str">
        <f>IFERROR(VLOOKUP($O20, dropdown!$S$4:$T$15, 2, FALSE),
 IFERROR(VLOOKUP($Q20, dropdown!$S$4:$T$15, 2, FALSE),
 IFERROR(VLOOKUP($S20, dropdown!$S$4:$T$15, 2, FALSE),
 "")))</f>
        <v>Q1</v>
      </c>
      <c r="W20" s="28" t="s">
        <v>2084</v>
      </c>
      <c r="AB20" s="11"/>
      <c r="AE20" s="11"/>
    </row>
    <row r="21" spans="2:31" ht="14" x14ac:dyDescent="0.2">
      <c r="B21" s="166" t="s">
        <v>189</v>
      </c>
      <c r="I21" s="18">
        <f t="shared" si="0"/>
        <v>13</v>
      </c>
      <c r="J21" s="435" t="s">
        <v>1656</v>
      </c>
      <c r="K21" s="57" t="s">
        <v>198</v>
      </c>
      <c r="L21" s="28">
        <v>1</v>
      </c>
      <c r="M21" s="264" t="s">
        <v>378</v>
      </c>
      <c r="N21" s="401" t="s">
        <v>350</v>
      </c>
      <c r="O21" s="397"/>
      <c r="P21" s="398"/>
      <c r="Q21" s="397" t="s">
        <v>360</v>
      </c>
      <c r="R21" s="399"/>
      <c r="S21" s="397"/>
      <c r="T21" s="399"/>
      <c r="U21" s="399"/>
      <c r="V21" s="430" t="str">
        <f>IFERROR(VLOOKUP($O21, dropdown!$S$4:$T$15, 2, FALSE),
 IFERROR(VLOOKUP($Q21, dropdown!$S$4:$T$15, 2, FALSE),
 IFERROR(VLOOKUP($S21, dropdown!$S$4:$T$15, 2, FALSE),
 "")))</f>
        <v>Q1</v>
      </c>
      <c r="W21" s="28" t="s">
        <v>2089</v>
      </c>
      <c r="AB21" s="11"/>
      <c r="AE21" s="11"/>
    </row>
    <row r="22" spans="2:31" ht="14" x14ac:dyDescent="0.2">
      <c r="B22" s="460" t="s">
        <v>190</v>
      </c>
      <c r="C22" s="451" t="s">
        <v>5</v>
      </c>
      <c r="D22" s="452"/>
      <c r="E22" s="451" t="s">
        <v>191</v>
      </c>
      <c r="F22" s="453"/>
      <c r="G22" s="453"/>
      <c r="I22" s="18">
        <f t="shared" si="0"/>
        <v>14</v>
      </c>
      <c r="J22" s="435" t="s">
        <v>1659</v>
      </c>
      <c r="K22" s="57" t="s">
        <v>198</v>
      </c>
      <c r="L22" s="28">
        <v>1</v>
      </c>
      <c r="M22" s="264" t="s">
        <v>378</v>
      </c>
      <c r="N22" s="401" t="s">
        <v>350</v>
      </c>
      <c r="O22" s="397"/>
      <c r="P22" s="398"/>
      <c r="Q22" s="397" t="s">
        <v>360</v>
      </c>
      <c r="R22" s="399"/>
      <c r="S22" s="397"/>
      <c r="T22" s="399"/>
      <c r="U22" s="399"/>
      <c r="V22" s="430" t="str">
        <f>IFERROR(VLOOKUP($O22, dropdown!$S$4:$T$15, 2, FALSE),
 IFERROR(VLOOKUP($Q22, dropdown!$S$4:$T$15, 2, FALSE),
 IFERROR(VLOOKUP($S22, dropdown!$S$4:$T$15, 2, FALSE),
 "")))</f>
        <v>Q1</v>
      </c>
      <c r="W22" s="28" t="s">
        <v>2087</v>
      </c>
      <c r="AB22" s="11"/>
      <c r="AE22" s="11"/>
    </row>
    <row r="23" spans="2:31" ht="14" x14ac:dyDescent="0.2">
      <c r="B23" s="461"/>
      <c r="C23" s="451"/>
      <c r="D23" s="452"/>
      <c r="E23" s="451"/>
      <c r="F23" s="453"/>
      <c r="G23" s="453"/>
      <c r="I23" s="18">
        <f t="shared" si="0"/>
        <v>15</v>
      </c>
      <c r="J23" s="435" t="s">
        <v>1660</v>
      </c>
      <c r="K23" s="57" t="s">
        <v>198</v>
      </c>
      <c r="L23" s="28">
        <v>1</v>
      </c>
      <c r="M23" s="264" t="s">
        <v>378</v>
      </c>
      <c r="N23" s="401" t="s">
        <v>350</v>
      </c>
      <c r="O23" s="397"/>
      <c r="P23" s="398"/>
      <c r="Q23" s="397" t="s">
        <v>360</v>
      </c>
      <c r="R23" s="399"/>
      <c r="S23" s="397"/>
      <c r="T23" s="399"/>
      <c r="U23" s="399"/>
      <c r="V23" s="430" t="str">
        <f>IFERROR(VLOOKUP($O23, dropdown!$S$4:$T$15, 2, FALSE),
 IFERROR(VLOOKUP($Q23, dropdown!$S$4:$T$15, 2, FALSE),
 IFERROR(VLOOKUP($S23, dropdown!$S$4:$T$15, 2, FALSE),
 "")))</f>
        <v>Q1</v>
      </c>
      <c r="W23" s="28" t="s">
        <v>2091</v>
      </c>
      <c r="AB23" s="11"/>
      <c r="AE23" s="11"/>
    </row>
    <row r="24" spans="2:31" ht="14" x14ac:dyDescent="0.2">
      <c r="B24" s="454" t="s">
        <v>192</v>
      </c>
      <c r="C24" s="454" t="s">
        <v>193</v>
      </c>
      <c r="D24" s="454"/>
      <c r="E24" s="454" t="s">
        <v>194</v>
      </c>
      <c r="F24" s="454"/>
      <c r="G24" s="454"/>
      <c r="I24" s="18">
        <f t="shared" si="0"/>
        <v>16</v>
      </c>
      <c r="J24" s="435" t="s">
        <v>1661</v>
      </c>
      <c r="K24" s="57" t="s">
        <v>198</v>
      </c>
      <c r="L24" s="28">
        <v>2</v>
      </c>
      <c r="M24" s="264" t="s">
        <v>378</v>
      </c>
      <c r="N24" s="401" t="s">
        <v>350</v>
      </c>
      <c r="O24" s="397"/>
      <c r="P24" s="398"/>
      <c r="Q24" s="397" t="s">
        <v>360</v>
      </c>
      <c r="R24" s="399"/>
      <c r="S24" s="397"/>
      <c r="T24" s="399"/>
      <c r="U24" s="399"/>
      <c r="V24" s="430" t="str">
        <f>IFERROR(VLOOKUP($O24, dropdown!$S$4:$T$15, 2, FALSE),
 IFERROR(VLOOKUP($Q24, dropdown!$S$4:$T$15, 2, FALSE),
 IFERROR(VLOOKUP($S24, dropdown!$S$4:$T$15, 2, FALSE),
 "")))</f>
        <v>Q1</v>
      </c>
      <c r="W24" s="28" t="s">
        <v>2092</v>
      </c>
      <c r="X24" s="56"/>
      <c r="AB24" s="11"/>
      <c r="AE24" s="11"/>
    </row>
    <row r="25" spans="2:31" ht="14" x14ac:dyDescent="0.2">
      <c r="B25" s="454"/>
      <c r="C25" s="454"/>
      <c r="D25" s="454"/>
      <c r="E25" s="454"/>
      <c r="F25" s="454"/>
      <c r="G25" s="454"/>
      <c r="I25" s="18">
        <f t="shared" si="0"/>
        <v>17</v>
      </c>
      <c r="J25" s="435" t="s">
        <v>1662</v>
      </c>
      <c r="K25" s="57" t="s">
        <v>198</v>
      </c>
      <c r="L25" s="28">
        <v>2</v>
      </c>
      <c r="M25" s="264" t="s">
        <v>378</v>
      </c>
      <c r="N25" s="401" t="s">
        <v>350</v>
      </c>
      <c r="O25" s="397"/>
      <c r="P25" s="398"/>
      <c r="Q25" s="397" t="s">
        <v>360</v>
      </c>
      <c r="R25" s="399"/>
      <c r="S25" s="397"/>
      <c r="T25" s="399"/>
      <c r="U25" s="399"/>
      <c r="V25" s="430" t="str">
        <f>IFERROR(VLOOKUP($O25, dropdown!$S$4:$T$15, 2, FALSE),
 IFERROR(VLOOKUP($Q25, dropdown!$S$4:$T$15, 2, FALSE),
 IFERROR(VLOOKUP($S25, dropdown!$S$4:$T$15, 2, FALSE),
 "")))</f>
        <v>Q1</v>
      </c>
      <c r="W25" s="28" t="s">
        <v>2084</v>
      </c>
      <c r="X25" s="56"/>
      <c r="AB25" s="11"/>
      <c r="AE25" s="11"/>
    </row>
    <row r="26" spans="2:31" ht="14" x14ac:dyDescent="0.2">
      <c r="B26" s="454" t="s">
        <v>195</v>
      </c>
      <c r="C26" s="454" t="s">
        <v>196</v>
      </c>
      <c r="D26" s="454"/>
      <c r="E26" s="454" t="s">
        <v>197</v>
      </c>
      <c r="F26" s="454"/>
      <c r="G26" s="454"/>
      <c r="I26" s="18">
        <f t="shared" si="0"/>
        <v>18</v>
      </c>
      <c r="J26" s="435" t="s">
        <v>1663</v>
      </c>
      <c r="K26" s="57" t="s">
        <v>198</v>
      </c>
      <c r="L26" s="28">
        <v>1</v>
      </c>
      <c r="M26" s="264" t="s">
        <v>378</v>
      </c>
      <c r="N26" s="401" t="s">
        <v>350</v>
      </c>
      <c r="O26" s="397"/>
      <c r="P26" s="398"/>
      <c r="Q26" s="397" t="s">
        <v>360</v>
      </c>
      <c r="R26" s="399"/>
      <c r="S26" s="397"/>
      <c r="T26" s="399"/>
      <c r="U26" s="399"/>
      <c r="V26" s="430" t="str">
        <f>IFERROR(VLOOKUP($O26, dropdown!$S$4:$T$15, 2, FALSE),
 IFERROR(VLOOKUP($Q26, dropdown!$S$4:$T$15, 2, FALSE),
 IFERROR(VLOOKUP($S26, dropdown!$S$4:$T$15, 2, FALSE),
 "")))</f>
        <v>Q1</v>
      </c>
      <c r="W26" s="28" t="s">
        <v>2091</v>
      </c>
      <c r="X26" s="56"/>
      <c r="AB26" s="11"/>
      <c r="AE26" s="11"/>
    </row>
    <row r="27" spans="2:31" ht="14" x14ac:dyDescent="0.2">
      <c r="B27" s="454"/>
      <c r="C27" s="454"/>
      <c r="D27" s="454"/>
      <c r="E27" s="454"/>
      <c r="F27" s="454"/>
      <c r="G27" s="454"/>
      <c r="I27" s="18">
        <f t="shared" si="0"/>
        <v>19</v>
      </c>
      <c r="J27" s="435" t="s">
        <v>1664</v>
      </c>
      <c r="K27" s="57" t="s">
        <v>198</v>
      </c>
      <c r="L27" s="28">
        <v>1</v>
      </c>
      <c r="M27" s="264" t="s">
        <v>378</v>
      </c>
      <c r="N27" s="401" t="s">
        <v>350</v>
      </c>
      <c r="O27" s="397"/>
      <c r="P27" s="398"/>
      <c r="Q27" s="397" t="s">
        <v>360</v>
      </c>
      <c r="R27" s="399"/>
      <c r="S27" s="397"/>
      <c r="T27" s="399"/>
      <c r="U27" s="399"/>
      <c r="V27" s="430" t="str">
        <f>IFERROR(VLOOKUP($O27, dropdown!$S$4:$T$15, 2, FALSE),
 IFERROR(VLOOKUP($Q27, dropdown!$S$4:$T$15, 2, FALSE),
 IFERROR(VLOOKUP($S27, dropdown!$S$4:$T$15, 2, FALSE),
 "")))</f>
        <v>Q1</v>
      </c>
      <c r="W27" s="28" t="s">
        <v>2085</v>
      </c>
      <c r="X27" s="56"/>
      <c r="AB27" s="11"/>
      <c r="AE27" s="11"/>
    </row>
    <row r="28" spans="2:31" ht="14" x14ac:dyDescent="0.2">
      <c r="B28" s="454" t="s">
        <v>198</v>
      </c>
      <c r="C28" s="454" t="s">
        <v>199</v>
      </c>
      <c r="D28" s="454"/>
      <c r="E28" s="454" t="s">
        <v>200</v>
      </c>
      <c r="F28" s="454"/>
      <c r="G28" s="454"/>
      <c r="I28" s="18">
        <f t="shared" si="0"/>
        <v>20</v>
      </c>
      <c r="J28" s="435" t="s">
        <v>1661</v>
      </c>
      <c r="K28" s="57" t="s">
        <v>198</v>
      </c>
      <c r="L28" s="28">
        <v>2</v>
      </c>
      <c r="M28" s="264" t="s">
        <v>370</v>
      </c>
      <c r="N28" s="401" t="s">
        <v>350</v>
      </c>
      <c r="O28" s="397"/>
      <c r="P28" s="398"/>
      <c r="Q28" s="397"/>
      <c r="R28" s="399"/>
      <c r="S28" s="397"/>
      <c r="T28" s="399"/>
      <c r="U28" s="399"/>
      <c r="V28" s="430" t="str">
        <f>IFERROR(VLOOKUP($O28, dropdown!$S$4:$T$15, 2, FALSE),
 IFERROR(VLOOKUP($Q28, dropdown!$S$4:$T$15, 2, FALSE),
 IFERROR(VLOOKUP($S28, dropdown!$S$4:$T$15, 2, FALSE),
 "")))</f>
        <v/>
      </c>
      <c r="W28" s="28" t="s">
        <v>2106</v>
      </c>
      <c r="X28" s="56"/>
      <c r="AB28" s="11"/>
      <c r="AE28" s="11"/>
    </row>
    <row r="29" spans="2:31" ht="14" x14ac:dyDescent="0.2">
      <c r="B29" s="454"/>
      <c r="C29" s="454"/>
      <c r="D29" s="454"/>
      <c r="E29" s="454"/>
      <c r="F29" s="454"/>
      <c r="G29" s="454"/>
      <c r="I29" s="18">
        <f t="shared" si="0"/>
        <v>21</v>
      </c>
      <c r="J29" s="435" t="s">
        <v>1674</v>
      </c>
      <c r="K29" s="57" t="s">
        <v>198</v>
      </c>
      <c r="L29" s="28">
        <v>1</v>
      </c>
      <c r="M29" s="264" t="s">
        <v>378</v>
      </c>
      <c r="N29" s="401" t="s">
        <v>350</v>
      </c>
      <c r="O29" s="397"/>
      <c r="P29" s="398"/>
      <c r="Q29" s="397"/>
      <c r="R29" s="399"/>
      <c r="S29" s="397"/>
      <c r="T29" s="399"/>
      <c r="U29" s="399"/>
      <c r="V29" s="430" t="str">
        <f>IFERROR(VLOOKUP($O29, dropdown!$S$4:$T$15, 2, FALSE),
 IFERROR(VLOOKUP($Q29, dropdown!$S$4:$T$15, 2, FALSE),
 IFERROR(VLOOKUP($S29, dropdown!$S$4:$T$15, 2, FALSE),
 "")))</f>
        <v/>
      </c>
      <c r="W29" s="28" t="s">
        <v>2107</v>
      </c>
      <c r="X29" s="56"/>
      <c r="AB29" s="11"/>
      <c r="AE29" s="11"/>
    </row>
    <row r="30" spans="2:31" ht="14" x14ac:dyDescent="0.2">
      <c r="B30" s="454" t="s">
        <v>201</v>
      </c>
      <c r="C30" s="454" t="s">
        <v>202</v>
      </c>
      <c r="D30" s="454"/>
      <c r="E30" s="454" t="s">
        <v>203</v>
      </c>
      <c r="F30" s="454"/>
      <c r="G30" s="454"/>
      <c r="I30" s="18">
        <f t="shared" si="0"/>
        <v>22</v>
      </c>
      <c r="J30" s="435" t="s">
        <v>1678</v>
      </c>
      <c r="K30" s="57" t="s">
        <v>198</v>
      </c>
      <c r="L30" s="28">
        <v>1</v>
      </c>
      <c r="M30" s="264" t="s">
        <v>370</v>
      </c>
      <c r="N30" s="401" t="s">
        <v>350</v>
      </c>
      <c r="O30" s="397"/>
      <c r="P30" s="398"/>
      <c r="Q30" s="397"/>
      <c r="R30" s="399"/>
      <c r="S30" s="397"/>
      <c r="T30" s="399"/>
      <c r="U30" s="399"/>
      <c r="V30" s="430" t="str">
        <f>IFERROR(VLOOKUP($O30, dropdown!$S$4:$T$15, 2, FALSE),
 IFERROR(VLOOKUP($Q30, dropdown!$S$4:$T$15, 2, FALSE),
 IFERROR(VLOOKUP($S30, dropdown!$S$4:$T$15, 2, FALSE),
 "")))</f>
        <v/>
      </c>
      <c r="W30" s="28" t="s">
        <v>2108</v>
      </c>
      <c r="X30" s="56"/>
      <c r="AB30" s="11"/>
      <c r="AE30" s="11"/>
    </row>
    <row r="31" spans="2:31" ht="14" x14ac:dyDescent="0.2">
      <c r="B31" s="454"/>
      <c r="C31" s="454"/>
      <c r="D31" s="454"/>
      <c r="E31" s="454"/>
      <c r="F31" s="454"/>
      <c r="G31" s="454"/>
      <c r="I31" s="18">
        <f t="shared" si="0"/>
        <v>23</v>
      </c>
      <c r="J31" s="434" t="s">
        <v>1725</v>
      </c>
      <c r="K31" s="57" t="s">
        <v>198</v>
      </c>
      <c r="L31" s="28">
        <v>2</v>
      </c>
      <c r="M31" s="264" t="s">
        <v>378</v>
      </c>
      <c r="N31" s="401" t="s">
        <v>350</v>
      </c>
      <c r="O31" s="397"/>
      <c r="P31" s="398"/>
      <c r="Q31" s="397" t="s">
        <v>402</v>
      </c>
      <c r="R31" s="399">
        <v>11</v>
      </c>
      <c r="S31" s="397"/>
      <c r="T31" s="399"/>
      <c r="U31" s="399"/>
      <c r="V31" s="430" t="str">
        <f>IFERROR(VLOOKUP($O31, dropdown!$S$4:$T$15, 2, FALSE),
 IFERROR(VLOOKUP($Q31, dropdown!$S$4:$T$15, 2, FALSE),
 IFERROR(VLOOKUP($S31, dropdown!$S$4:$T$15, 2, FALSE),
 "")))</f>
        <v>Q4</v>
      </c>
      <c r="W31" s="392" t="s">
        <v>2082</v>
      </c>
      <c r="X31" s="56"/>
      <c r="AB31" s="11"/>
      <c r="AE31" s="11"/>
    </row>
    <row r="32" spans="2:31" ht="22.5" customHeight="1" x14ac:dyDescent="0.2">
      <c r="I32" s="18">
        <f t="shared" si="0"/>
        <v>24</v>
      </c>
      <c r="J32" s="435" t="s">
        <v>1644</v>
      </c>
      <c r="K32" s="57" t="s">
        <v>198</v>
      </c>
      <c r="L32" s="392">
        <v>2</v>
      </c>
      <c r="M32" s="393" t="s">
        <v>378</v>
      </c>
      <c r="N32" s="419" t="s">
        <v>350</v>
      </c>
      <c r="O32" s="397"/>
      <c r="P32" s="398"/>
      <c r="Q32" s="397" t="s">
        <v>402</v>
      </c>
      <c r="R32" s="399"/>
      <c r="S32" s="397"/>
      <c r="T32" s="399"/>
      <c r="U32" s="399"/>
      <c r="V32" s="430" t="str">
        <f>IFERROR(VLOOKUP($O32, dropdown!$S$4:$T$15, 2, FALSE),
 IFERROR(VLOOKUP($Q32, dropdown!$S$4:$T$15, 2, FALSE),
 IFERROR(VLOOKUP($S32, dropdown!$S$4:$T$15, 2, FALSE),
 "")))</f>
        <v>Q4</v>
      </c>
      <c r="W32" s="28" t="s">
        <v>2083</v>
      </c>
      <c r="X32" s="56"/>
      <c r="AB32" s="11"/>
      <c r="AE32" s="11"/>
    </row>
    <row r="33" spans="9:31" ht="14" x14ac:dyDescent="0.2">
      <c r="I33" s="18">
        <f t="shared" si="0"/>
        <v>25</v>
      </c>
      <c r="J33" s="435" t="s">
        <v>1643</v>
      </c>
      <c r="K33" s="57" t="s">
        <v>198</v>
      </c>
      <c r="L33" s="28">
        <v>2</v>
      </c>
      <c r="M33" s="264" t="s">
        <v>378</v>
      </c>
      <c r="N33" s="401" t="s">
        <v>350</v>
      </c>
      <c r="O33" s="397"/>
      <c r="P33" s="398"/>
      <c r="Q33" s="397" t="s">
        <v>402</v>
      </c>
      <c r="R33" s="399"/>
      <c r="S33" s="397"/>
      <c r="T33" s="399"/>
      <c r="U33" s="399"/>
      <c r="V33" s="430" t="str">
        <f>IFERROR(VLOOKUP($O33, dropdown!$S$4:$T$15, 2, FALSE),
 IFERROR(VLOOKUP($Q33, dropdown!$S$4:$T$15, 2, FALSE),
 IFERROR(VLOOKUP($S33, dropdown!$S$4:$T$15, 2, FALSE),
 "")))</f>
        <v>Q4</v>
      </c>
      <c r="W33" s="28" t="s">
        <v>2084</v>
      </c>
      <c r="X33" s="56"/>
      <c r="AB33" s="11"/>
      <c r="AE33" s="11"/>
    </row>
    <row r="34" spans="9:31" ht="15" customHeight="1" x14ac:dyDescent="0.2">
      <c r="I34" s="18">
        <f t="shared" si="0"/>
        <v>26</v>
      </c>
      <c r="J34" s="435" t="s">
        <v>1645</v>
      </c>
      <c r="K34" s="57" t="s">
        <v>198</v>
      </c>
      <c r="L34" s="28">
        <v>1</v>
      </c>
      <c r="M34" s="264" t="s">
        <v>378</v>
      </c>
      <c r="N34" s="401" t="s">
        <v>350</v>
      </c>
      <c r="O34" s="397"/>
      <c r="P34" s="398"/>
      <c r="Q34" s="397" t="s">
        <v>402</v>
      </c>
      <c r="R34" s="399"/>
      <c r="S34" s="397"/>
      <c r="T34" s="399"/>
      <c r="U34" s="399"/>
      <c r="V34" s="430" t="str">
        <f>IFERROR(VLOOKUP($O34, dropdown!$S$4:$T$15, 2, FALSE),
 IFERROR(VLOOKUP($Q34, dropdown!$S$4:$T$15, 2, FALSE),
 IFERROR(VLOOKUP($S34, dropdown!$S$4:$T$15, 2, FALSE),
 "")))</f>
        <v>Q4</v>
      </c>
      <c r="W34" s="28" t="s">
        <v>2085</v>
      </c>
      <c r="X34" s="56"/>
      <c r="AB34" s="11"/>
      <c r="AE34" s="11"/>
    </row>
    <row r="35" spans="9:31" ht="14" x14ac:dyDescent="0.2">
      <c r="I35" s="18">
        <f t="shared" si="0"/>
        <v>27</v>
      </c>
      <c r="J35" s="435" t="s">
        <v>1646</v>
      </c>
      <c r="K35" s="57" t="s">
        <v>198</v>
      </c>
      <c r="L35" s="28">
        <v>1</v>
      </c>
      <c r="M35" s="264" t="s">
        <v>378</v>
      </c>
      <c r="N35" s="401" t="s">
        <v>350</v>
      </c>
      <c r="O35" s="397"/>
      <c r="P35" s="398"/>
      <c r="Q35" s="397" t="s">
        <v>402</v>
      </c>
      <c r="R35" s="399"/>
      <c r="S35" s="397"/>
      <c r="T35" s="399"/>
      <c r="U35" s="399"/>
      <c r="V35" s="430" t="str">
        <f>IFERROR(VLOOKUP($O35, dropdown!$S$4:$T$15, 2, FALSE),
 IFERROR(VLOOKUP($Q35, dropdown!$S$4:$T$15, 2, FALSE),
 IFERROR(VLOOKUP($S35, dropdown!$S$4:$T$15, 2, FALSE),
 "")))</f>
        <v>Q4</v>
      </c>
      <c r="W35" s="28" t="s">
        <v>2086</v>
      </c>
      <c r="X35" s="56"/>
      <c r="AB35" s="11"/>
      <c r="AE35" s="11"/>
    </row>
    <row r="36" spans="9:31" ht="14" x14ac:dyDescent="0.2">
      <c r="I36" s="18">
        <f t="shared" si="0"/>
        <v>28</v>
      </c>
      <c r="J36" s="435" t="s">
        <v>1647</v>
      </c>
      <c r="K36" s="57" t="s">
        <v>198</v>
      </c>
      <c r="L36" s="28">
        <v>1</v>
      </c>
      <c r="M36" s="264" t="s">
        <v>378</v>
      </c>
      <c r="N36" s="401" t="s">
        <v>350</v>
      </c>
      <c r="O36" s="397"/>
      <c r="P36" s="398"/>
      <c r="Q36" s="397" t="s">
        <v>402</v>
      </c>
      <c r="R36" s="399"/>
      <c r="S36" s="397"/>
      <c r="T36" s="399"/>
      <c r="U36" s="399"/>
      <c r="V36" s="430" t="str">
        <f>IFERROR(VLOOKUP($O36, dropdown!$S$4:$T$15, 2, FALSE),
 IFERROR(VLOOKUP($Q36, dropdown!$S$4:$T$15, 2, FALSE),
 IFERROR(VLOOKUP($S36, dropdown!$S$4:$T$15, 2, FALSE),
 "")))</f>
        <v>Q4</v>
      </c>
      <c r="W36" s="28" t="s">
        <v>2087</v>
      </c>
      <c r="X36" s="56"/>
      <c r="AB36" s="11"/>
      <c r="AE36" s="11"/>
    </row>
    <row r="37" spans="9:31" ht="14" x14ac:dyDescent="0.2">
      <c r="I37" s="18">
        <f t="shared" si="0"/>
        <v>29</v>
      </c>
      <c r="J37" s="435" t="s">
        <v>1648</v>
      </c>
      <c r="K37" s="57" t="s">
        <v>198</v>
      </c>
      <c r="L37" s="28">
        <v>1</v>
      </c>
      <c r="M37" s="264" t="s">
        <v>378</v>
      </c>
      <c r="N37" s="401" t="s">
        <v>350</v>
      </c>
      <c r="O37" s="397"/>
      <c r="P37" s="398"/>
      <c r="Q37" s="397" t="s">
        <v>402</v>
      </c>
      <c r="R37" s="399"/>
      <c r="S37" s="397"/>
      <c r="T37" s="399"/>
      <c r="U37" s="399"/>
      <c r="V37" s="430" t="str">
        <f>IFERROR(VLOOKUP($O37, dropdown!$S$4:$T$15, 2, FALSE),
 IFERROR(VLOOKUP($Q37, dropdown!$S$4:$T$15, 2, FALSE),
 IFERROR(VLOOKUP($S37, dropdown!$S$4:$T$15, 2, FALSE),
 "")))</f>
        <v>Q4</v>
      </c>
      <c r="W37" s="28" t="s">
        <v>2085</v>
      </c>
      <c r="X37" s="56"/>
      <c r="AB37" s="11"/>
      <c r="AE37" s="11"/>
    </row>
    <row r="38" spans="9:31" ht="14" x14ac:dyDescent="0.2">
      <c r="I38" s="18">
        <f t="shared" si="0"/>
        <v>30</v>
      </c>
      <c r="J38" s="435" t="s">
        <v>1649</v>
      </c>
      <c r="K38" s="57" t="s">
        <v>198</v>
      </c>
      <c r="L38" s="28">
        <v>1</v>
      </c>
      <c r="M38" s="264" t="s">
        <v>378</v>
      </c>
      <c r="N38" s="401" t="s">
        <v>350</v>
      </c>
      <c r="O38" s="397"/>
      <c r="P38" s="398"/>
      <c r="Q38" s="397" t="s">
        <v>402</v>
      </c>
      <c r="R38" s="399"/>
      <c r="S38" s="397"/>
      <c r="T38" s="399"/>
      <c r="U38" s="399"/>
      <c r="V38" s="430" t="str">
        <f>IFERROR(VLOOKUP($O38, dropdown!$S$4:$T$15, 2, FALSE),
 IFERROR(VLOOKUP($Q38, dropdown!$S$4:$T$15, 2, FALSE),
 IFERROR(VLOOKUP($S38, dropdown!$S$4:$T$15, 2, FALSE),
 "")))</f>
        <v>Q4</v>
      </c>
      <c r="W38" s="28" t="s">
        <v>2078</v>
      </c>
      <c r="X38" s="56"/>
      <c r="AB38" s="11"/>
      <c r="AE38" s="11"/>
    </row>
    <row r="39" spans="9:31" ht="14" x14ac:dyDescent="0.2">
      <c r="I39" s="18">
        <f t="shared" si="0"/>
        <v>31</v>
      </c>
      <c r="J39" s="435" t="s">
        <v>1652</v>
      </c>
      <c r="K39" s="57" t="s">
        <v>198</v>
      </c>
      <c r="L39" s="28">
        <v>2</v>
      </c>
      <c r="M39" s="264" t="s">
        <v>378</v>
      </c>
      <c r="N39" s="401" t="s">
        <v>350</v>
      </c>
      <c r="O39" s="397"/>
      <c r="P39" s="398"/>
      <c r="Q39" s="397" t="s">
        <v>402</v>
      </c>
      <c r="R39" s="399"/>
      <c r="S39" s="397"/>
      <c r="T39" s="399"/>
      <c r="U39" s="399"/>
      <c r="V39" s="430" t="str">
        <f>IFERROR(VLOOKUP($O39, dropdown!$S$4:$T$15, 2, FALSE),
 IFERROR(VLOOKUP($Q39, dropdown!$S$4:$T$15, 2, FALSE),
 IFERROR(VLOOKUP($S39, dropdown!$S$4:$T$15, 2, FALSE),
 "")))</f>
        <v>Q4</v>
      </c>
      <c r="W39" s="28" t="s">
        <v>2081</v>
      </c>
      <c r="X39" s="56"/>
      <c r="AB39" s="11"/>
      <c r="AE39" s="11"/>
    </row>
    <row r="40" spans="9:31" ht="14" x14ac:dyDescent="0.2">
      <c r="I40" s="18">
        <f t="shared" si="0"/>
        <v>32</v>
      </c>
      <c r="J40" s="435" t="s">
        <v>1653</v>
      </c>
      <c r="K40" s="57" t="s">
        <v>198</v>
      </c>
      <c r="L40" s="28">
        <v>2</v>
      </c>
      <c r="M40" s="264" t="s">
        <v>378</v>
      </c>
      <c r="N40" s="401" t="s">
        <v>350</v>
      </c>
      <c r="O40" s="397"/>
      <c r="P40" s="398"/>
      <c r="Q40" s="397" t="s">
        <v>402</v>
      </c>
      <c r="R40" s="399"/>
      <c r="S40" s="397"/>
      <c r="T40" s="399"/>
      <c r="U40" s="399"/>
      <c r="V40" s="430" t="str">
        <f>IFERROR(VLOOKUP($O40, dropdown!$S$4:$T$15, 2, FALSE),
 IFERROR(VLOOKUP($Q40, dropdown!$S$4:$T$15, 2, FALSE),
 IFERROR(VLOOKUP($S40, dropdown!$S$4:$T$15, 2, FALSE),
 "")))</f>
        <v>Q4</v>
      </c>
      <c r="W40" s="28" t="s">
        <v>2088</v>
      </c>
      <c r="X40" s="56"/>
      <c r="AB40" s="11"/>
      <c r="AE40" s="11"/>
    </row>
    <row r="41" spans="9:31" ht="14" x14ac:dyDescent="0.2">
      <c r="I41" s="18">
        <f t="shared" si="0"/>
        <v>33</v>
      </c>
      <c r="J41" s="435" t="s">
        <v>1654</v>
      </c>
      <c r="K41" s="57" t="s">
        <v>198</v>
      </c>
      <c r="L41" s="28">
        <v>1</v>
      </c>
      <c r="M41" s="264" t="s">
        <v>378</v>
      </c>
      <c r="N41" s="401" t="s">
        <v>350</v>
      </c>
      <c r="O41" s="397"/>
      <c r="P41" s="398"/>
      <c r="Q41" s="397" t="s">
        <v>402</v>
      </c>
      <c r="R41" s="399"/>
      <c r="S41" s="397"/>
      <c r="T41" s="399"/>
      <c r="U41" s="399"/>
      <c r="V41" s="430" t="str">
        <f>IFERROR(VLOOKUP($O41, dropdown!$S$4:$T$15, 2, FALSE),
 IFERROR(VLOOKUP($Q41, dropdown!$S$4:$T$15, 2, FALSE),
 IFERROR(VLOOKUP($S41, dropdown!$S$4:$T$15, 2, FALSE),
 "")))</f>
        <v>Q4</v>
      </c>
      <c r="W41" s="28" t="s">
        <v>2090</v>
      </c>
      <c r="X41" s="56"/>
      <c r="AB41" s="11"/>
      <c r="AE41" s="11"/>
    </row>
    <row r="42" spans="9:31" ht="14" x14ac:dyDescent="0.2">
      <c r="I42" s="18">
        <f t="shared" ref="I42:I73" si="2">IF($K42="","",$I41+1)</f>
        <v>34</v>
      </c>
      <c r="J42" s="435" t="s">
        <v>1657</v>
      </c>
      <c r="K42" s="57" t="s">
        <v>198</v>
      </c>
      <c r="L42" s="28">
        <v>2</v>
      </c>
      <c r="M42" s="264" t="s">
        <v>378</v>
      </c>
      <c r="N42" s="401" t="s">
        <v>350</v>
      </c>
      <c r="O42" s="397"/>
      <c r="P42" s="398"/>
      <c r="Q42" s="397" t="s">
        <v>402</v>
      </c>
      <c r="R42" s="399"/>
      <c r="S42" s="397"/>
      <c r="T42" s="399"/>
      <c r="U42" s="399"/>
      <c r="V42" s="430" t="str">
        <f>IFERROR(VLOOKUP($O42, dropdown!$S$4:$T$15, 2, FALSE),
 IFERROR(VLOOKUP($Q42, dropdown!$S$4:$T$15, 2, FALSE),
 IFERROR(VLOOKUP($S42, dropdown!$S$4:$T$15, 2, FALSE),
 "")))</f>
        <v>Q4</v>
      </c>
      <c r="W42" s="28" t="s">
        <v>2084</v>
      </c>
      <c r="X42" s="56"/>
      <c r="AB42" s="11"/>
      <c r="AE42" s="11"/>
    </row>
    <row r="43" spans="9:31" ht="14" x14ac:dyDescent="0.2">
      <c r="I43" s="18">
        <f t="shared" si="2"/>
        <v>35</v>
      </c>
      <c r="J43" s="435" t="s">
        <v>1656</v>
      </c>
      <c r="K43" s="57" t="s">
        <v>198</v>
      </c>
      <c r="L43" s="28">
        <v>1</v>
      </c>
      <c r="M43" s="264" t="s">
        <v>378</v>
      </c>
      <c r="N43" s="401" t="s">
        <v>350</v>
      </c>
      <c r="O43" s="397"/>
      <c r="P43" s="398"/>
      <c r="Q43" s="397" t="s">
        <v>402</v>
      </c>
      <c r="R43" s="399"/>
      <c r="S43" s="397"/>
      <c r="T43" s="399"/>
      <c r="U43" s="399"/>
      <c r="V43" s="430" t="str">
        <f>IFERROR(VLOOKUP($O43, dropdown!$S$4:$T$15, 2, FALSE),
 IFERROR(VLOOKUP($Q43, dropdown!$S$4:$T$15, 2, FALSE),
 IFERROR(VLOOKUP($S43, dropdown!$S$4:$T$15, 2, FALSE),
 "")))</f>
        <v>Q4</v>
      </c>
      <c r="W43" s="28" t="s">
        <v>2089</v>
      </c>
      <c r="X43" s="56"/>
      <c r="AB43" s="11"/>
      <c r="AE43" s="11"/>
    </row>
    <row r="44" spans="9:31" ht="14" x14ac:dyDescent="0.2">
      <c r="I44" s="18">
        <f t="shared" si="2"/>
        <v>36</v>
      </c>
      <c r="J44" s="435" t="s">
        <v>1659</v>
      </c>
      <c r="K44" s="57" t="s">
        <v>198</v>
      </c>
      <c r="L44" s="28">
        <v>1</v>
      </c>
      <c r="M44" s="264" t="s">
        <v>378</v>
      </c>
      <c r="N44" s="401" t="s">
        <v>350</v>
      </c>
      <c r="O44" s="397"/>
      <c r="P44" s="398"/>
      <c r="Q44" s="397" t="s">
        <v>402</v>
      </c>
      <c r="R44" s="399"/>
      <c r="S44" s="397"/>
      <c r="T44" s="399"/>
      <c r="U44" s="399"/>
      <c r="V44" s="430" t="str">
        <f>IFERROR(VLOOKUP($O44, dropdown!$S$4:$T$15, 2, FALSE),
 IFERROR(VLOOKUP($Q44, dropdown!$S$4:$T$15, 2, FALSE),
 IFERROR(VLOOKUP($S44, dropdown!$S$4:$T$15, 2, FALSE),
 "")))</f>
        <v>Q4</v>
      </c>
      <c r="W44" s="28" t="s">
        <v>2087</v>
      </c>
      <c r="X44" s="56"/>
      <c r="AB44" s="11"/>
      <c r="AE44" s="11"/>
    </row>
    <row r="45" spans="9:31" ht="14" x14ac:dyDescent="0.2">
      <c r="I45" s="18">
        <f t="shared" si="2"/>
        <v>37</v>
      </c>
      <c r="J45" s="435" t="s">
        <v>1660</v>
      </c>
      <c r="K45" s="57" t="s">
        <v>198</v>
      </c>
      <c r="L45" s="28">
        <v>1</v>
      </c>
      <c r="M45" s="264" t="s">
        <v>378</v>
      </c>
      <c r="N45" s="401" t="s">
        <v>350</v>
      </c>
      <c r="O45" s="397"/>
      <c r="P45" s="398"/>
      <c r="Q45" s="397" t="s">
        <v>402</v>
      </c>
      <c r="R45" s="399"/>
      <c r="S45" s="397"/>
      <c r="T45" s="399"/>
      <c r="U45" s="399"/>
      <c r="V45" s="430" t="str">
        <f>IFERROR(VLOOKUP($O45, dropdown!$S$4:$T$15, 2, FALSE),
 IFERROR(VLOOKUP($Q45, dropdown!$S$4:$T$15, 2, FALSE),
 IFERROR(VLOOKUP($S45, dropdown!$S$4:$T$15, 2, FALSE),
 "")))</f>
        <v>Q4</v>
      </c>
      <c r="W45" s="28" t="s">
        <v>2091</v>
      </c>
      <c r="X45" s="56"/>
      <c r="AB45" s="11"/>
      <c r="AE45" s="11"/>
    </row>
    <row r="46" spans="9:31" ht="14" x14ac:dyDescent="0.2">
      <c r="I46" s="18">
        <f t="shared" si="2"/>
        <v>38</v>
      </c>
      <c r="J46" s="435" t="s">
        <v>1661</v>
      </c>
      <c r="K46" s="57" t="s">
        <v>198</v>
      </c>
      <c r="L46" s="28">
        <v>2</v>
      </c>
      <c r="M46" s="264" t="s">
        <v>378</v>
      </c>
      <c r="N46" s="401" t="s">
        <v>350</v>
      </c>
      <c r="O46" s="397"/>
      <c r="P46" s="398"/>
      <c r="Q46" s="397" t="s">
        <v>402</v>
      </c>
      <c r="R46" s="399"/>
      <c r="S46" s="397"/>
      <c r="T46" s="399"/>
      <c r="U46" s="399"/>
      <c r="V46" s="430" t="str">
        <f>IFERROR(VLOOKUP($O46, dropdown!$S$4:$T$15, 2, FALSE),
 IFERROR(VLOOKUP($Q46, dropdown!$S$4:$T$15, 2, FALSE),
 IFERROR(VLOOKUP($S46, dropdown!$S$4:$T$15, 2, FALSE),
 "")))</f>
        <v>Q4</v>
      </c>
      <c r="W46" s="28" t="s">
        <v>2092</v>
      </c>
      <c r="X46" s="56"/>
      <c r="AB46" s="11"/>
      <c r="AE46" s="11"/>
    </row>
    <row r="47" spans="9:31" ht="14" x14ac:dyDescent="0.2">
      <c r="I47" s="18">
        <f t="shared" si="2"/>
        <v>39</v>
      </c>
      <c r="J47" s="435" t="s">
        <v>1662</v>
      </c>
      <c r="K47" s="57" t="s">
        <v>198</v>
      </c>
      <c r="L47" s="28">
        <v>2</v>
      </c>
      <c r="M47" s="264" t="s">
        <v>378</v>
      </c>
      <c r="N47" s="401" t="s">
        <v>350</v>
      </c>
      <c r="O47" s="397"/>
      <c r="P47" s="398"/>
      <c r="Q47" s="397" t="s">
        <v>402</v>
      </c>
      <c r="R47" s="399"/>
      <c r="S47" s="397"/>
      <c r="T47" s="399"/>
      <c r="U47" s="399"/>
      <c r="V47" s="430" t="str">
        <f>IFERROR(VLOOKUP($O47, dropdown!$S$4:$T$15, 2, FALSE),
 IFERROR(VLOOKUP($Q47, dropdown!$S$4:$T$15, 2, FALSE),
 IFERROR(VLOOKUP($S47, dropdown!$S$4:$T$15, 2, FALSE),
 "")))</f>
        <v>Q4</v>
      </c>
      <c r="W47" s="28" t="s">
        <v>2084</v>
      </c>
      <c r="X47" s="56"/>
      <c r="AB47" s="11"/>
      <c r="AE47" s="11"/>
    </row>
    <row r="48" spans="9:31" ht="14" x14ac:dyDescent="0.2">
      <c r="I48" s="18">
        <f t="shared" si="2"/>
        <v>40</v>
      </c>
      <c r="J48" s="435" t="s">
        <v>1663</v>
      </c>
      <c r="K48" s="57" t="s">
        <v>198</v>
      </c>
      <c r="L48" s="28">
        <v>1</v>
      </c>
      <c r="M48" s="264" t="s">
        <v>378</v>
      </c>
      <c r="N48" s="401" t="s">
        <v>350</v>
      </c>
      <c r="O48" s="397"/>
      <c r="P48" s="398"/>
      <c r="Q48" s="397" t="s">
        <v>402</v>
      </c>
      <c r="R48" s="399"/>
      <c r="S48" s="397"/>
      <c r="T48" s="399"/>
      <c r="U48" s="399"/>
      <c r="V48" s="430" t="str">
        <f>IFERROR(VLOOKUP($O48, dropdown!$S$4:$T$15, 2, FALSE),
 IFERROR(VLOOKUP($Q48, dropdown!$S$4:$T$15, 2, FALSE),
 IFERROR(VLOOKUP($S48, dropdown!$S$4:$T$15, 2, FALSE),
 "")))</f>
        <v>Q4</v>
      </c>
      <c r="W48" s="28" t="s">
        <v>2091</v>
      </c>
      <c r="X48" s="56"/>
      <c r="AB48" s="11"/>
      <c r="AE48" s="11"/>
    </row>
    <row r="49" spans="9:31" ht="14" x14ac:dyDescent="0.2">
      <c r="I49" s="18">
        <f t="shared" si="2"/>
        <v>41</v>
      </c>
      <c r="J49" s="435" t="s">
        <v>1664</v>
      </c>
      <c r="K49" s="57" t="s">
        <v>198</v>
      </c>
      <c r="L49" s="28">
        <v>1</v>
      </c>
      <c r="M49" s="264" t="s">
        <v>378</v>
      </c>
      <c r="N49" s="401" t="s">
        <v>350</v>
      </c>
      <c r="O49" s="397"/>
      <c r="P49" s="398"/>
      <c r="Q49" s="397" t="s">
        <v>402</v>
      </c>
      <c r="R49" s="399"/>
      <c r="S49" s="397"/>
      <c r="T49" s="399"/>
      <c r="U49" s="399"/>
      <c r="V49" s="430" t="str">
        <f>IFERROR(VLOOKUP($O49, dropdown!$S$4:$T$15, 2, FALSE),
 IFERROR(VLOOKUP($Q49, dropdown!$S$4:$T$15, 2, FALSE),
 IFERROR(VLOOKUP($S49, dropdown!$S$4:$T$15, 2, FALSE),
 "")))</f>
        <v>Q4</v>
      </c>
      <c r="W49" s="28" t="s">
        <v>2085</v>
      </c>
      <c r="X49" s="56"/>
      <c r="AB49" s="11"/>
      <c r="AE49" s="11"/>
    </row>
    <row r="50" spans="9:31" ht="14" x14ac:dyDescent="0.2">
      <c r="I50" s="18">
        <f t="shared" si="2"/>
        <v>42</v>
      </c>
      <c r="J50" s="435" t="s">
        <v>1674</v>
      </c>
      <c r="K50" s="57" t="s">
        <v>198</v>
      </c>
      <c r="L50" s="28">
        <v>1</v>
      </c>
      <c r="M50" s="264" t="s">
        <v>378</v>
      </c>
      <c r="N50" s="401" t="s">
        <v>350</v>
      </c>
      <c r="O50" s="397"/>
      <c r="P50" s="398"/>
      <c r="Q50" s="397"/>
      <c r="R50" s="399"/>
      <c r="S50" s="397"/>
      <c r="T50" s="399"/>
      <c r="U50" s="399"/>
      <c r="V50" s="430" t="str">
        <f>IFERROR(VLOOKUP($O50, dropdown!$S$4:$T$15, 2, FALSE),
 IFERROR(VLOOKUP($Q50, dropdown!$S$4:$T$15, 2, FALSE),
 IFERROR(VLOOKUP($S50, dropdown!$S$4:$T$15, 2, FALSE),
 "")))</f>
        <v/>
      </c>
      <c r="W50" s="28" t="s">
        <v>2107</v>
      </c>
      <c r="X50" s="56"/>
      <c r="AB50" s="11"/>
      <c r="AE50" s="11"/>
    </row>
    <row r="51" spans="9:31" ht="14" x14ac:dyDescent="0.2">
      <c r="I51" s="18">
        <f t="shared" si="2"/>
        <v>43</v>
      </c>
      <c r="J51" s="435" t="s">
        <v>1660</v>
      </c>
      <c r="K51" s="57" t="s">
        <v>198</v>
      </c>
      <c r="L51" s="28">
        <v>2</v>
      </c>
      <c r="M51" s="264" t="s">
        <v>378</v>
      </c>
      <c r="N51" s="401" t="s">
        <v>350</v>
      </c>
      <c r="O51" s="397"/>
      <c r="P51" s="398"/>
      <c r="Q51" s="397"/>
      <c r="R51" s="399"/>
      <c r="S51" s="397"/>
      <c r="T51" s="399"/>
      <c r="U51" s="399"/>
      <c r="V51" s="430" t="str">
        <f>IFERROR(VLOOKUP($O51, dropdown!$S$4:$T$15, 2, FALSE),
 IFERROR(VLOOKUP($Q51, dropdown!$S$4:$T$15, 2, FALSE),
 IFERROR(VLOOKUP($S51, dropdown!$S$4:$T$15, 2, FALSE),
 "")))</f>
        <v/>
      </c>
      <c r="W51" s="28" t="s">
        <v>2098</v>
      </c>
      <c r="X51" s="56"/>
      <c r="AB51" s="11"/>
      <c r="AE51" s="11"/>
    </row>
    <row r="52" spans="9:31" ht="14" x14ac:dyDescent="0.2">
      <c r="I52" s="18">
        <f t="shared" si="2"/>
        <v>44</v>
      </c>
      <c r="J52" s="435" t="s">
        <v>1661</v>
      </c>
      <c r="K52" s="57" t="s">
        <v>198</v>
      </c>
      <c r="L52" s="28">
        <v>2</v>
      </c>
      <c r="M52" s="264" t="s">
        <v>370</v>
      </c>
      <c r="N52" s="401" t="s">
        <v>350</v>
      </c>
      <c r="O52" s="397"/>
      <c r="P52" s="398"/>
      <c r="Q52" s="397"/>
      <c r="R52" s="399"/>
      <c r="S52" s="397"/>
      <c r="T52" s="399"/>
      <c r="U52" s="399"/>
      <c r="V52" s="430" t="str">
        <f>IFERROR(VLOOKUP($O52, dropdown!$S$4:$T$15, 2, FALSE),
 IFERROR(VLOOKUP($Q52, dropdown!$S$4:$T$15, 2, FALSE),
 IFERROR(VLOOKUP($S52, dropdown!$S$4:$T$15, 2, FALSE),
 "")))</f>
        <v/>
      </c>
      <c r="W52" s="28" t="s">
        <v>2106</v>
      </c>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176</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D4" zoomScaleNormal="100" workbookViewId="0">
      <selection activeCell="O23" sqref="O23"/>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28</v>
      </c>
      <c r="C2" s="31"/>
      <c r="D2" s="31"/>
      <c r="E2" s="31"/>
      <c r="F2" s="31"/>
      <c r="G2" s="32"/>
      <c r="I2" s="307" t="s">
        <v>204</v>
      </c>
      <c r="J2" s="308"/>
      <c r="K2" s="309"/>
      <c r="L2" s="309"/>
      <c r="M2" s="310"/>
      <c r="N2" s="311"/>
      <c r="O2" s="372"/>
    </row>
    <row r="3" spans="2:17" x14ac:dyDescent="0.2">
      <c r="B3" s="33" t="s">
        <v>8</v>
      </c>
      <c r="C3" s="34"/>
      <c r="D3" s="35" t="s">
        <v>166</v>
      </c>
      <c r="E3" s="34"/>
      <c r="F3" s="34" t="s">
        <v>167</v>
      </c>
      <c r="G3" s="36"/>
      <c r="I3" s="284" t="s">
        <v>168</v>
      </c>
      <c r="J3" s="285"/>
      <c r="K3" s="286"/>
      <c r="L3" s="286"/>
      <c r="M3" s="287"/>
      <c r="N3" s="314"/>
      <c r="O3" s="289"/>
    </row>
    <row r="4" spans="2:17" x14ac:dyDescent="0.2">
      <c r="B4" s="161" t="str">
        <f>'1. Data Info and Summary'!$D$2</f>
        <v>Ozamiz Branch</v>
      </c>
      <c r="C4" s="37"/>
      <c r="D4" s="38">
        <f>IF('1. Data Info and Summary'!$D$3=0,"-",'1. Data Info and Summary'!$D$3)</f>
        <v>2024</v>
      </c>
      <c r="E4" s="37"/>
      <c r="F4" s="37" t="s">
        <v>160</v>
      </c>
      <c r="G4" s="39"/>
      <c r="I4" s="316"/>
      <c r="J4" s="272"/>
      <c r="O4" s="291"/>
    </row>
    <row r="5" spans="2:17" x14ac:dyDescent="0.2">
      <c r="B5" s="271"/>
      <c r="D5" s="271"/>
      <c r="I5" s="317"/>
      <c r="J5" s="292"/>
      <c r="K5" s="294"/>
      <c r="L5" s="294"/>
      <c r="M5" s="295"/>
      <c r="N5" s="318"/>
      <c r="O5" s="297"/>
    </row>
    <row r="6" spans="2:17" x14ac:dyDescent="0.2">
      <c r="B6" s="278" t="s">
        <v>170</v>
      </c>
      <c r="C6" s="448" t="s">
        <v>1490</v>
      </c>
      <c r="D6" s="449"/>
      <c r="E6" s="449"/>
      <c r="F6" s="449"/>
      <c r="G6" s="450"/>
    </row>
    <row r="7" spans="2:17" ht="12.75" customHeight="1" x14ac:dyDescent="0.2">
      <c r="B7" s="278" t="s">
        <v>172</v>
      </c>
      <c r="C7" s="448"/>
      <c r="D7" s="449"/>
      <c r="E7" s="449"/>
      <c r="F7" s="449"/>
      <c r="G7" s="450"/>
      <c r="I7" s="248" t="s">
        <v>171</v>
      </c>
      <c r="J7" s="249" t="s">
        <v>38</v>
      </c>
      <c r="K7" s="249" t="s">
        <v>42</v>
      </c>
      <c r="L7" s="250" t="s">
        <v>104</v>
      </c>
      <c r="M7" s="251" t="s">
        <v>106</v>
      </c>
      <c r="N7" s="252" t="s">
        <v>108</v>
      </c>
      <c r="O7" s="253" t="s">
        <v>52</v>
      </c>
      <c r="P7" s="48"/>
      <c r="Q7" s="20"/>
    </row>
    <row r="8" spans="2:17" x14ac:dyDescent="0.2">
      <c r="B8" s="271"/>
      <c r="D8" s="271"/>
      <c r="I8" s="194">
        <f>IF($L8="","",1)</f>
        <v>1</v>
      </c>
      <c r="J8" s="58" t="s">
        <v>336</v>
      </c>
      <c r="K8" s="18" t="str">
        <f>IF(Electricity[[#This Row],[Month]]&lt;&gt;"",VLOOKUP(Electricity[[#This Row],[Month]], dropdown!$S$4:$T$15, 2, FALSE),"")</f>
        <v>Q1</v>
      </c>
      <c r="L8" s="29">
        <v>18690</v>
      </c>
      <c r="M8" s="47">
        <v>257176.18</v>
      </c>
      <c r="N8" s="165" t="s">
        <v>501</v>
      </c>
      <c r="O8" s="195" t="s">
        <v>2050</v>
      </c>
      <c r="P8" s="48"/>
      <c r="Q8" s="20"/>
    </row>
    <row r="9" spans="2:17" x14ac:dyDescent="0.2">
      <c r="I9" s="194"/>
      <c r="J9" s="58" t="s">
        <v>87</v>
      </c>
      <c r="K9" s="426" t="str">
        <f>IF(Electricity[[#This Row],[Month]]&lt;&gt;"",VLOOKUP(Electricity[[#This Row],[Month]], dropdown!$S$4:$T$15, 2, FALSE),"")</f>
        <v>Q1</v>
      </c>
      <c r="L9" s="29">
        <v>20580</v>
      </c>
      <c r="M9" s="47">
        <v>297727.34999999998</v>
      </c>
      <c r="N9" s="165" t="s">
        <v>501</v>
      </c>
      <c r="O9" s="195" t="s">
        <v>2051</v>
      </c>
      <c r="P9" s="48"/>
      <c r="Q9" s="20"/>
    </row>
    <row r="10" spans="2:17" ht="15" x14ac:dyDescent="0.2">
      <c r="B10" s="334" t="s">
        <v>102</v>
      </c>
      <c r="C10" s="14"/>
      <c r="D10" s="14"/>
      <c r="E10" s="14"/>
      <c r="F10" s="14"/>
      <c r="G10" s="14"/>
      <c r="I10" s="194"/>
      <c r="J10" s="58" t="s">
        <v>360</v>
      </c>
      <c r="K10" s="426" t="str">
        <f>IF(Electricity[[#This Row],[Month]]&lt;&gt;"",VLOOKUP(Electricity[[#This Row],[Month]], dropdown!$S$4:$T$15, 2, FALSE),"")</f>
        <v>Q1</v>
      </c>
      <c r="L10" s="29">
        <v>17640</v>
      </c>
      <c r="M10" s="47">
        <v>263978.46999999997</v>
      </c>
      <c r="N10" s="165" t="s">
        <v>501</v>
      </c>
      <c r="O10" s="195" t="s">
        <v>2052</v>
      </c>
      <c r="P10" s="48"/>
      <c r="Q10" s="20"/>
    </row>
    <row r="11" spans="2:17" x14ac:dyDescent="0.2">
      <c r="B11" s="13" t="s">
        <v>153</v>
      </c>
      <c r="C11" s="13" t="s">
        <v>49</v>
      </c>
      <c r="D11" s="40" t="s">
        <v>44</v>
      </c>
      <c r="E11" s="40" t="s">
        <v>147</v>
      </c>
      <c r="F11" s="40" t="s">
        <v>148</v>
      </c>
      <c r="G11" s="40" t="s">
        <v>149</v>
      </c>
      <c r="I11" s="194"/>
      <c r="J11" s="58" t="s">
        <v>369</v>
      </c>
      <c r="K11" s="426" t="str">
        <f>IF(Electricity[[#This Row],[Month]]&lt;&gt;"",VLOOKUP(Electricity[[#This Row],[Month]], dropdown!$S$4:$T$15, 2, FALSE),"")</f>
        <v>Q2</v>
      </c>
      <c r="L11" s="29">
        <v>20370</v>
      </c>
      <c r="M11" s="47">
        <v>290721.73</v>
      </c>
      <c r="N11" s="165" t="s">
        <v>501</v>
      </c>
      <c r="O11" s="195" t="s">
        <v>2053</v>
      </c>
      <c r="P11" s="48"/>
      <c r="Q11" s="20"/>
    </row>
    <row r="12" spans="2:17" x14ac:dyDescent="0.2">
      <c r="B12" s="17" t="s">
        <v>205</v>
      </c>
      <c r="C12" s="17" t="s">
        <v>206</v>
      </c>
      <c r="D12" s="41">
        <f>SUMIFS(Electricity[Consumption (kWh)],Electricity[Quarter],D$11)</f>
        <v>56910</v>
      </c>
      <c r="E12" s="41">
        <f>SUMIFS(Electricity[Consumption (kWh)],Electricity[Quarter],E$11)</f>
        <v>62160</v>
      </c>
      <c r="F12" s="41">
        <f>SUMIFS(Electricity[Consumption (kWh)],Electricity[Quarter],F$11)</f>
        <v>61110</v>
      </c>
      <c r="G12" s="41">
        <f>SUMIFS(Electricity[Consumption (kWh)],Electricity[Quarter],G$11)</f>
        <v>60480</v>
      </c>
      <c r="I12" s="194"/>
      <c r="J12" s="58" t="s">
        <v>377</v>
      </c>
      <c r="K12" s="426" t="str">
        <f>IF(Electricity[[#This Row],[Month]]&lt;&gt;"",VLOOKUP(Electricity[[#This Row],[Month]], dropdown!$S$4:$T$15, 2, FALSE),"")</f>
        <v>Q2</v>
      </c>
      <c r="L12" s="29">
        <v>21000</v>
      </c>
      <c r="M12" s="47">
        <v>288452.7</v>
      </c>
      <c r="N12" s="165" t="s">
        <v>501</v>
      </c>
      <c r="O12" s="195" t="s">
        <v>2054</v>
      </c>
      <c r="P12" s="48"/>
      <c r="Q12" s="20"/>
    </row>
    <row r="13" spans="2:17" x14ac:dyDescent="0.2">
      <c r="D13" s="167" t="str">
        <f>IF(SUM(D$12:D$12)&gt;0,"x","")</f>
        <v>x</v>
      </c>
      <c r="E13" s="167" t="str">
        <f>IF(SUM(E$12:E$12)&gt;0,"x","")</f>
        <v>x</v>
      </c>
      <c r="F13" s="167" t="str">
        <f>IF(SUM(F$12:F$12)&gt;0,"x","")</f>
        <v>x</v>
      </c>
      <c r="G13" s="167" t="str">
        <f>IF(SUM(G$12:G$12)&gt;0,"x","")</f>
        <v>x</v>
      </c>
      <c r="I13" s="194"/>
      <c r="J13" s="58" t="s">
        <v>384</v>
      </c>
      <c r="K13" s="426" t="str">
        <f>IF(Electricity[[#This Row],[Month]]&lt;&gt;"",VLOOKUP(Electricity[[#This Row],[Month]], dropdown!$S$4:$T$15, 2, FALSE),"")</f>
        <v>Q2</v>
      </c>
      <c r="L13" s="29">
        <v>20790</v>
      </c>
      <c r="M13" s="47">
        <v>306437.96000000002</v>
      </c>
      <c r="N13" s="165" t="s">
        <v>501</v>
      </c>
      <c r="O13" s="195" t="s">
        <v>2055</v>
      </c>
      <c r="P13" s="48"/>
      <c r="Q13" s="20"/>
    </row>
    <row r="14" spans="2:17" x14ac:dyDescent="0.2">
      <c r="B14" s="119" t="s">
        <v>37</v>
      </c>
      <c r="D14" s="168"/>
      <c r="I14" s="194"/>
      <c r="J14" s="58" t="s">
        <v>388</v>
      </c>
      <c r="K14" s="426" t="str">
        <f>IF(Electricity[[#This Row],[Month]]&lt;&gt;"",VLOOKUP(Electricity[[#This Row],[Month]], dropdown!$S$4:$T$15, 2, FALSE),"")</f>
        <v>Q3</v>
      </c>
      <c r="L14" s="29">
        <v>19950</v>
      </c>
      <c r="M14" s="47">
        <v>252104.57</v>
      </c>
      <c r="N14" s="165" t="s">
        <v>501</v>
      </c>
      <c r="O14" s="195" t="s">
        <v>2056</v>
      </c>
      <c r="P14" s="48"/>
      <c r="Q14" s="20"/>
    </row>
    <row r="15" spans="2:17" x14ac:dyDescent="0.2">
      <c r="B15" s="120" t="s">
        <v>173</v>
      </c>
      <c r="D15" s="168"/>
      <c r="I15" s="194"/>
      <c r="J15" s="58" t="s">
        <v>40</v>
      </c>
      <c r="K15" s="426" t="str">
        <f>IF(Electricity[[#This Row],[Month]]&lt;&gt;"",VLOOKUP(Electricity[[#This Row],[Month]], dropdown!$S$4:$T$15, 2, FALSE),"")</f>
        <v>Q3</v>
      </c>
      <c r="L15" s="29">
        <v>19950</v>
      </c>
      <c r="M15" s="47">
        <v>264511.46000000002</v>
      </c>
      <c r="N15" s="165" t="s">
        <v>501</v>
      </c>
      <c r="O15" s="195" t="s">
        <v>2057</v>
      </c>
      <c r="P15" s="48"/>
      <c r="Q15" s="20"/>
    </row>
    <row r="16" spans="2:17" x14ac:dyDescent="0.2">
      <c r="B16" s="121" t="s">
        <v>174</v>
      </c>
      <c r="I16" s="194"/>
      <c r="J16" s="58" t="s">
        <v>395</v>
      </c>
      <c r="K16" s="426" t="str">
        <f>IF(Electricity[[#This Row],[Month]]&lt;&gt;"",VLOOKUP(Electricity[[#This Row],[Month]], dropdown!$S$4:$T$15, 2, FALSE),"")</f>
        <v>Q3</v>
      </c>
      <c r="L16" s="29">
        <v>21210</v>
      </c>
      <c r="M16" s="47">
        <v>260656.78</v>
      </c>
      <c r="N16" s="165" t="s">
        <v>501</v>
      </c>
      <c r="O16" s="195" t="s">
        <v>2058</v>
      </c>
      <c r="P16" s="48"/>
      <c r="Q16" s="20"/>
    </row>
    <row r="17" spans="2:17" x14ac:dyDescent="0.2">
      <c r="B17" s="122" t="s">
        <v>175</v>
      </c>
      <c r="I17" s="194"/>
      <c r="J17" s="58" t="s">
        <v>398</v>
      </c>
      <c r="K17" s="426" t="str">
        <f>IF(Electricity[[#This Row],[Month]]&lt;&gt;"",VLOOKUP(Electricity[[#This Row],[Month]], dropdown!$S$4:$T$15, 2, FALSE),"")</f>
        <v>Q4</v>
      </c>
      <c r="L17" s="29">
        <v>19950</v>
      </c>
      <c r="M17" s="47">
        <v>247990.48</v>
      </c>
      <c r="N17" s="165" t="s">
        <v>501</v>
      </c>
      <c r="O17" s="195" t="s">
        <v>2059</v>
      </c>
      <c r="P17" s="48"/>
      <c r="Q17" s="20"/>
    </row>
    <row r="18" spans="2:17" x14ac:dyDescent="0.2">
      <c r="I18" s="194">
        <f t="shared" ref="I18:I49" si="0">IF($L18="","",$I17+1)</f>
        <v>1</v>
      </c>
      <c r="J18" s="58" t="s">
        <v>402</v>
      </c>
      <c r="K18" s="426" t="str">
        <f>IF(Electricity[[#This Row],[Month]]&lt;&gt;"",VLOOKUP(Electricity[[#This Row],[Month]], dropdown!$S$4:$T$15, 2, FALSE),"")</f>
        <v>Q4</v>
      </c>
      <c r="L18" s="29">
        <v>19950</v>
      </c>
      <c r="M18" s="47">
        <v>260224.35</v>
      </c>
      <c r="N18" s="165" t="s">
        <v>501</v>
      </c>
      <c r="O18" s="195" t="s">
        <v>2060</v>
      </c>
      <c r="P18" s="48"/>
      <c r="Q18" s="20"/>
    </row>
    <row r="19" spans="2:17" x14ac:dyDescent="0.2">
      <c r="I19" s="194">
        <f t="shared" si="0"/>
        <v>2</v>
      </c>
      <c r="J19" s="58" t="s">
        <v>405</v>
      </c>
      <c r="K19" s="426" t="str">
        <f>IF(Electricity[[#This Row],[Month]]&lt;&gt;"",VLOOKUP(Electricity[[#This Row],[Month]], dropdown!$S$4:$T$15, 2, FALSE),"")</f>
        <v>Q4</v>
      </c>
      <c r="L19" s="29">
        <v>20580</v>
      </c>
      <c r="M19" s="47">
        <v>267117.96000000002</v>
      </c>
      <c r="N19" s="165" t="s">
        <v>501</v>
      </c>
      <c r="O19" s="195" t="s">
        <v>2061</v>
      </c>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176</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28</v>
      </c>
      <c r="C2" s="31"/>
      <c r="D2" s="31"/>
      <c r="E2" s="31"/>
      <c r="F2" s="31"/>
      <c r="G2" s="32"/>
      <c r="I2" s="369" t="s">
        <v>207</v>
      </c>
      <c r="J2" s="370"/>
      <c r="K2" s="370"/>
      <c r="L2" s="371"/>
      <c r="M2" s="371"/>
      <c r="N2" s="372"/>
    </row>
    <row r="3" spans="2:16" x14ac:dyDescent="0.2">
      <c r="B3" s="33" t="s">
        <v>8</v>
      </c>
      <c r="C3" s="34"/>
      <c r="D3" s="35" t="s">
        <v>166</v>
      </c>
      <c r="E3" s="34"/>
      <c r="F3" s="34" t="s">
        <v>167</v>
      </c>
      <c r="G3" s="34"/>
      <c r="I3" s="428" t="s">
        <v>208</v>
      </c>
      <c r="J3" s="285"/>
      <c r="K3" s="285"/>
      <c r="L3" s="285"/>
      <c r="M3" s="285"/>
      <c r="N3" s="289"/>
    </row>
    <row r="4" spans="2:16" x14ac:dyDescent="0.2">
      <c r="B4" s="161" t="str">
        <f>'1. Data Info and Summary'!$D$2</f>
        <v>Ozamiz Branch</v>
      </c>
      <c r="C4" s="37"/>
      <c r="D4" s="38">
        <f>IF('1. Data Info and Summary'!$D$3=0,"-",'1. Data Info and Summary'!$D$3)</f>
        <v>2024</v>
      </c>
      <c r="E4" s="37"/>
      <c r="F4" s="37" t="s">
        <v>209</v>
      </c>
      <c r="G4" s="39"/>
      <c r="I4" s="429"/>
      <c r="J4" s="293"/>
      <c r="K4" s="293"/>
      <c r="L4" s="293"/>
      <c r="M4" s="293"/>
      <c r="N4" s="297"/>
    </row>
    <row r="5" spans="2:16" x14ac:dyDescent="0.2">
      <c r="B5" s="271"/>
      <c r="D5" s="271"/>
    </row>
    <row r="6" spans="2:16" ht="30" x14ac:dyDescent="0.2">
      <c r="B6" s="278" t="s">
        <v>170</v>
      </c>
      <c r="C6" s="448"/>
      <c r="D6" s="449"/>
      <c r="E6" s="449"/>
      <c r="F6" s="449"/>
      <c r="G6" s="450"/>
      <c r="I6" s="248" t="s">
        <v>171</v>
      </c>
      <c r="J6" s="249" t="s">
        <v>38</v>
      </c>
      <c r="K6" s="249" t="s">
        <v>42</v>
      </c>
      <c r="L6" s="250" t="s">
        <v>113</v>
      </c>
      <c r="M6" s="352" t="s">
        <v>210</v>
      </c>
      <c r="N6" s="253" t="s">
        <v>52</v>
      </c>
      <c r="O6" s="349"/>
    </row>
    <row r="7" spans="2:16" x14ac:dyDescent="0.2">
      <c r="B7" s="278" t="s">
        <v>172</v>
      </c>
      <c r="C7" s="448"/>
      <c r="D7" s="449"/>
      <c r="E7" s="449"/>
      <c r="F7" s="449"/>
      <c r="G7" s="450"/>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211</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212</v>
      </c>
      <c r="C10" s="13" t="s">
        <v>49</v>
      </c>
      <c r="D10" s="40" t="s">
        <v>44</v>
      </c>
      <c r="E10" s="40" t="s">
        <v>147</v>
      </c>
      <c r="F10" s="40" t="s">
        <v>148</v>
      </c>
      <c r="G10" s="40" t="s">
        <v>149</v>
      </c>
      <c r="I10" s="194" t="str">
        <f>IF(Electricity6[[#This Row],[Month]]="","",I9+1)</f>
        <v/>
      </c>
      <c r="J10" s="58"/>
      <c r="K10" s="18" t="str">
        <f>IF(Electricity6[[#This Row],[Month]]&lt;&gt;"",VLOOKUP(Electricity6[[#This Row],[Month]], dropdown!$S$4:$T$15, 2, FALSE),"")</f>
        <v/>
      </c>
      <c r="L10" s="29"/>
      <c r="M10" s="350"/>
      <c r="N10" s="195"/>
    </row>
    <row r="11" spans="2:16" x14ac:dyDescent="0.2">
      <c r="B11" s="17" t="s">
        <v>205</v>
      </c>
      <c r="C11" s="17" t="s">
        <v>206</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37</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173</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174</v>
      </c>
      <c r="I15" s="194" t="str">
        <f>IF(Electricity6[[#This Row],[Month]]="","",I14+1)</f>
        <v/>
      </c>
      <c r="J15" s="58"/>
      <c r="K15" s="18" t="str">
        <f>IF(Electricity6[[#This Row],[Month]]&lt;&gt;"",VLOOKUP(Electricity6[[#This Row],[Month]], dropdown!$S$4:$T$15, 2, FALSE),"")</f>
        <v/>
      </c>
      <c r="L15" s="29"/>
      <c r="M15" s="350"/>
      <c r="N15" s="195"/>
    </row>
    <row r="16" spans="2:16" x14ac:dyDescent="0.2">
      <c r="B16" s="122" t="s">
        <v>175</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176</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G1" zoomScaleNormal="100" workbookViewId="0">
      <selection activeCell="N22" sqref="N22"/>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28</v>
      </c>
      <c r="C2" s="31"/>
      <c r="D2" s="31"/>
      <c r="E2" s="31"/>
      <c r="F2" s="31"/>
      <c r="G2" s="32"/>
      <c r="I2" s="135" t="s">
        <v>213</v>
      </c>
      <c r="J2" s="131"/>
      <c r="K2" s="63"/>
      <c r="L2" s="63"/>
      <c r="M2" s="63"/>
      <c r="N2" s="64"/>
      <c r="O2" s="67"/>
      <c r="P2" s="67"/>
      <c r="Q2" s="133"/>
      <c r="R2" s="67"/>
      <c r="S2" s="67"/>
      <c r="T2" s="67"/>
      <c r="U2" s="142"/>
      <c r="V2" s="67"/>
      <c r="W2" s="365"/>
    </row>
    <row r="3" spans="2:23" ht="14" x14ac:dyDescent="0.2">
      <c r="B3" s="33" t="s">
        <v>8</v>
      </c>
      <c r="C3" s="34"/>
      <c r="D3" s="35" t="s">
        <v>166</v>
      </c>
      <c r="E3" s="34"/>
      <c r="F3" s="34" t="s">
        <v>167</v>
      </c>
      <c r="G3" s="36"/>
      <c r="I3" s="54" t="s">
        <v>214</v>
      </c>
      <c r="J3" s="366"/>
      <c r="W3" s="367"/>
    </row>
    <row r="4" spans="2:23" ht="14" x14ac:dyDescent="0.2">
      <c r="B4" s="161" t="str">
        <f>'1. Data Info and Summary'!$D$2</f>
        <v>Ozamiz Branch</v>
      </c>
      <c r="C4" s="37"/>
      <c r="D4" s="38">
        <f>IF('1. Data Info and Summary'!$D$3=0,"-",'1. Data Info and Summary'!$D$3)</f>
        <v>2024</v>
      </c>
      <c r="E4" s="37"/>
      <c r="F4" s="37" t="s">
        <v>162</v>
      </c>
      <c r="G4" s="39"/>
      <c r="I4" s="136" t="s">
        <v>215</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170</v>
      </c>
      <c r="C6" s="448"/>
      <c r="D6" s="449"/>
      <c r="E6" s="449"/>
      <c r="F6" s="449"/>
      <c r="G6" s="450"/>
      <c r="I6" s="134" t="s">
        <v>118</v>
      </c>
      <c r="J6" s="65"/>
      <c r="K6" s="65"/>
      <c r="L6" s="65"/>
      <c r="M6" s="65"/>
      <c r="N6" s="66"/>
      <c r="P6" s="134" t="s">
        <v>126</v>
      </c>
      <c r="Q6" s="65"/>
      <c r="R6" s="65"/>
      <c r="S6" s="65"/>
      <c r="T6" s="66"/>
      <c r="U6" s="66"/>
      <c r="W6" s="20"/>
    </row>
    <row r="7" spans="2:23" ht="12.75" customHeight="1" x14ac:dyDescent="0.2">
      <c r="B7" s="278" t="s">
        <v>172</v>
      </c>
      <c r="C7" s="448"/>
      <c r="D7" s="449"/>
      <c r="E7" s="449"/>
      <c r="F7" s="449"/>
      <c r="G7" s="450"/>
      <c r="I7" s="248" t="s">
        <v>171</v>
      </c>
      <c r="J7" s="249" t="s">
        <v>38</v>
      </c>
      <c r="K7" s="249" t="s">
        <v>42</v>
      </c>
      <c r="L7" s="249" t="s">
        <v>120</v>
      </c>
      <c r="M7" s="250" t="s">
        <v>123</v>
      </c>
      <c r="N7" s="253" t="s">
        <v>52</v>
      </c>
      <c r="O7" s="68"/>
      <c r="P7" s="248" t="s">
        <v>171</v>
      </c>
      <c r="Q7" s="249" t="s">
        <v>38</v>
      </c>
      <c r="R7" s="249" t="s">
        <v>42</v>
      </c>
      <c r="S7" s="261" t="s">
        <v>129</v>
      </c>
      <c r="T7" s="250" t="s">
        <v>216</v>
      </c>
      <c r="U7" s="262" t="s">
        <v>52</v>
      </c>
      <c r="W7" s="20"/>
    </row>
    <row r="8" spans="2:23" ht="14" x14ac:dyDescent="0.2">
      <c r="B8" s="20"/>
      <c r="C8" s="20"/>
      <c r="D8" s="20"/>
      <c r="E8" s="20"/>
      <c r="F8" s="20"/>
      <c r="G8" s="20"/>
      <c r="I8" s="194">
        <f>IF($M8="","",1)</f>
        <v>1</v>
      </c>
      <c r="J8" s="58" t="s">
        <v>336</v>
      </c>
      <c r="K8" s="18" t="str">
        <f>IF(water_in[[#This Row],[Month]]&lt;&gt;"",VLOOKUP(water_in[[#This Row],[Month]], dropdown!$S$4:$T$15, 2, FALSE),"")</f>
        <v>Q1</v>
      </c>
      <c r="L8" s="58" t="s">
        <v>122</v>
      </c>
      <c r="M8" s="29">
        <v>220</v>
      </c>
      <c r="N8" s="195" t="s">
        <v>2062</v>
      </c>
      <c r="O8" s="44"/>
      <c r="P8" s="194">
        <f>IF($T8="","",1)</f>
        <v>1</v>
      </c>
      <c r="Q8" s="58" t="s">
        <v>336</v>
      </c>
      <c r="R8" s="18" t="str">
        <f>IF(water_out[[#This Row],[Month]]&lt;&gt;"",VLOOKUP(water_out[[#This Row],[Month]], dropdown!$S$4:$T$15, 2, FALSE),"")</f>
        <v>Q1</v>
      </c>
      <c r="S8" s="60" t="s">
        <v>339</v>
      </c>
      <c r="T8" s="29">
        <v>0</v>
      </c>
      <c r="U8" s="195" t="s">
        <v>2041</v>
      </c>
      <c r="W8" s="20"/>
    </row>
    <row r="9" spans="2:23" ht="14" x14ac:dyDescent="0.2">
      <c r="B9" s="14" t="s">
        <v>217</v>
      </c>
      <c r="C9" s="14"/>
      <c r="D9" s="14"/>
      <c r="E9" s="14"/>
      <c r="F9" s="14"/>
      <c r="G9" s="14"/>
      <c r="I9" s="194">
        <f>IF($M9="","",$I8+1)</f>
        <v>2</v>
      </c>
      <c r="J9" s="58" t="s">
        <v>87</v>
      </c>
      <c r="K9" s="18" t="str">
        <f>IF(water_in[[#This Row],[Month]]&lt;&gt;"",VLOOKUP(water_in[[#This Row],[Month]], dropdown!$S$4:$T$15, 2, FALSE),"")</f>
        <v>Q1</v>
      </c>
      <c r="L9" s="58" t="s">
        <v>122</v>
      </c>
      <c r="M9" s="29">
        <v>190</v>
      </c>
      <c r="N9" s="195" t="s">
        <v>2063</v>
      </c>
      <c r="O9" s="44"/>
      <c r="P9" s="194">
        <f>IF($T9="","",$P8+1)</f>
        <v>2</v>
      </c>
      <c r="Q9" s="58" t="s">
        <v>87</v>
      </c>
      <c r="R9" s="18" t="str">
        <f>IF(water_out[[#This Row],[Month]]&lt;&gt;"",VLOOKUP(water_out[[#This Row],[Month]], dropdown!$S$4:$T$15, 2, FALSE),"")</f>
        <v>Q1</v>
      </c>
      <c r="S9" s="60" t="s">
        <v>339</v>
      </c>
      <c r="T9" s="29">
        <v>0</v>
      </c>
      <c r="U9" s="195" t="s">
        <v>2041</v>
      </c>
      <c r="W9" s="20"/>
    </row>
    <row r="10" spans="2:23" ht="14" x14ac:dyDescent="0.2">
      <c r="B10" s="13" t="s">
        <v>155</v>
      </c>
      <c r="C10" s="13" t="s">
        <v>49</v>
      </c>
      <c r="D10" s="40" t="s">
        <v>44</v>
      </c>
      <c r="E10" s="40" t="s">
        <v>147</v>
      </c>
      <c r="F10" s="40" t="s">
        <v>148</v>
      </c>
      <c r="G10" s="40" t="s">
        <v>149</v>
      </c>
      <c r="I10" s="194">
        <f t="shared" ref="I10:I73" si="0">IF($M10="","",$I9+1)</f>
        <v>3</v>
      </c>
      <c r="J10" s="58" t="s">
        <v>360</v>
      </c>
      <c r="K10" s="426" t="str">
        <f>IF(water_in[[#This Row],[Month]]&lt;&gt;"",VLOOKUP(water_in[[#This Row],[Month]], dropdown!$S$4:$T$15, 2, FALSE),"")</f>
        <v>Q1</v>
      </c>
      <c r="L10" s="58" t="s">
        <v>122</v>
      </c>
      <c r="M10" s="29">
        <v>229</v>
      </c>
      <c r="N10" s="195" t="s">
        <v>2064</v>
      </c>
      <c r="O10" s="44"/>
      <c r="P10" s="194">
        <f t="shared" ref="P10:P73" si="1">IF($T10="","",$P9+1)</f>
        <v>3</v>
      </c>
      <c r="Q10" s="58" t="s">
        <v>360</v>
      </c>
      <c r="R10" s="18" t="str">
        <f>IF(water_out[[#This Row],[Month]]&lt;&gt;"",VLOOKUP(water_out[[#This Row],[Month]], dropdown!$S$4:$T$15, 2, FALSE),"")</f>
        <v>Q1</v>
      </c>
      <c r="S10" s="60" t="s">
        <v>339</v>
      </c>
      <c r="T10" s="29">
        <v>0</v>
      </c>
      <c r="U10" s="195" t="s">
        <v>2041</v>
      </c>
      <c r="W10" s="20"/>
    </row>
    <row r="11" spans="2:23" ht="14" x14ac:dyDescent="0.2">
      <c r="B11" s="17" t="s">
        <v>118</v>
      </c>
      <c r="C11" s="17" t="s">
        <v>218</v>
      </c>
      <c r="D11" s="41">
        <f>SUMIFS(water_in[Volume (m3)],water_in[Quarter],D$10)</f>
        <v>639</v>
      </c>
      <c r="E11" s="41">
        <f>SUMIFS(water_in[Volume (m3)],water_in[Quarter],E$10)</f>
        <v>687</v>
      </c>
      <c r="F11" s="41">
        <f>SUMIFS(water_in[Volume (m3)],water_in[Quarter],F$10)</f>
        <v>805</v>
      </c>
      <c r="G11" s="41">
        <f>SUMIFS(water_in[Volume (m3)],water_in[Quarter],G$10)</f>
        <v>776</v>
      </c>
      <c r="I11" s="194">
        <f t="shared" si="0"/>
        <v>4</v>
      </c>
      <c r="J11" s="58" t="s">
        <v>369</v>
      </c>
      <c r="K11" s="426" t="str">
        <f>IF(water_in[[#This Row],[Month]]&lt;&gt;"",VLOOKUP(water_in[[#This Row],[Month]], dropdown!$S$4:$T$15, 2, FALSE),"")</f>
        <v>Q2</v>
      </c>
      <c r="L11" s="58" t="s">
        <v>122</v>
      </c>
      <c r="M11" s="29">
        <v>240</v>
      </c>
      <c r="N11" s="195" t="s">
        <v>2065</v>
      </c>
      <c r="O11" s="44"/>
      <c r="P11" s="194">
        <f t="shared" si="1"/>
        <v>4</v>
      </c>
      <c r="Q11" s="58" t="s">
        <v>369</v>
      </c>
      <c r="R11" s="18" t="str">
        <f>IF(water_out[[#This Row],[Month]]&lt;&gt;"",VLOOKUP(water_out[[#This Row],[Month]], dropdown!$S$4:$T$15, 2, FALSE),"")</f>
        <v>Q2</v>
      </c>
      <c r="S11" s="60" t="s">
        <v>339</v>
      </c>
      <c r="T11" s="29">
        <v>0</v>
      </c>
      <c r="U11" s="195" t="s">
        <v>2041</v>
      </c>
      <c r="W11" s="20"/>
    </row>
    <row r="12" spans="2:23" ht="14" x14ac:dyDescent="0.2">
      <c r="B12" s="17" t="s">
        <v>126</v>
      </c>
      <c r="C12" s="17" t="s">
        <v>218</v>
      </c>
      <c r="D12" s="41">
        <f>SUMIFS(water_out[Volume2 (m3)],water_out[Quarter],D$10)</f>
        <v>0</v>
      </c>
      <c r="E12" s="41">
        <f>SUMIFS(water_out[Volume2 (m3)],water_out[Quarter],E$10)</f>
        <v>0</v>
      </c>
      <c r="F12" s="41">
        <f>SUMIFS(water_out[Volume2 (m3)],water_out[Quarter],F$10)</f>
        <v>9</v>
      </c>
      <c r="G12" s="41">
        <f>SUMIFS(water_out[Volume2 (m3)],water_out[Quarter],G$10)</f>
        <v>7.5</v>
      </c>
      <c r="I12" s="194">
        <f t="shared" si="0"/>
        <v>5</v>
      </c>
      <c r="J12" s="58" t="s">
        <v>377</v>
      </c>
      <c r="K12" s="426" t="str">
        <f>IF(water_in[[#This Row],[Month]]&lt;&gt;"",VLOOKUP(water_in[[#This Row],[Month]], dropdown!$S$4:$T$15, 2, FALSE),"")</f>
        <v>Q2</v>
      </c>
      <c r="L12" s="58" t="s">
        <v>122</v>
      </c>
      <c r="M12" s="29">
        <v>227</v>
      </c>
      <c r="N12" s="195" t="s">
        <v>2066</v>
      </c>
      <c r="O12" s="44" t="str">
        <f>IF(J12="","",VLOOKUP($J12,dropdown!$S$3:$T$15,2,FALSE))</f>
        <v>Q2</v>
      </c>
      <c r="P12" s="194">
        <f t="shared" si="1"/>
        <v>5</v>
      </c>
      <c r="Q12" s="58" t="s">
        <v>377</v>
      </c>
      <c r="R12" s="18" t="str">
        <f>IF(water_out[[#This Row],[Month]]&lt;&gt;"",VLOOKUP(water_out[[#This Row],[Month]], dropdown!$S$4:$T$15, 2, FALSE),"")</f>
        <v>Q2</v>
      </c>
      <c r="S12" s="60" t="s">
        <v>339</v>
      </c>
      <c r="T12" s="29">
        <v>0</v>
      </c>
      <c r="U12" s="195" t="s">
        <v>2041</v>
      </c>
      <c r="W12" s="20"/>
    </row>
    <row r="13" spans="2:23" ht="14" x14ac:dyDescent="0.2">
      <c r="D13" s="167" t="str">
        <f>IF(SUM(D$11:D$12)&gt;0,"x","")</f>
        <v>x</v>
      </c>
      <c r="E13" s="167" t="str">
        <f>IF(SUM(E$11:E$12)&gt;0,"x","")</f>
        <v>x</v>
      </c>
      <c r="F13" s="167" t="str">
        <f>IF(SUM(F$11:F$12)&gt;0,"x","")</f>
        <v>x</v>
      </c>
      <c r="G13" s="167" t="str">
        <f>IF(SUM(G$11:G$12)&gt;0,"x","")</f>
        <v>x</v>
      </c>
      <c r="I13" s="194">
        <f t="shared" si="0"/>
        <v>6</v>
      </c>
      <c r="J13" s="58" t="s">
        <v>384</v>
      </c>
      <c r="K13" s="426" t="str">
        <f>IF(water_in[[#This Row],[Month]]&lt;&gt;"",VLOOKUP(water_in[[#This Row],[Month]], dropdown!$S$4:$T$15, 2, FALSE),"")</f>
        <v>Q2</v>
      </c>
      <c r="L13" s="58" t="s">
        <v>122</v>
      </c>
      <c r="M13" s="29">
        <v>220</v>
      </c>
      <c r="N13" s="195" t="s">
        <v>2067</v>
      </c>
      <c r="O13" s="44" t="str">
        <f>IF(J13="","",VLOOKUP($J13,dropdown!$S$3:$T$15,2,FALSE))</f>
        <v>Q2</v>
      </c>
      <c r="P13" s="194">
        <f t="shared" si="1"/>
        <v>6</v>
      </c>
      <c r="Q13" s="58" t="s">
        <v>384</v>
      </c>
      <c r="R13" s="18" t="str">
        <f>IF(water_out[[#This Row],[Month]]&lt;&gt;"",VLOOKUP(water_out[[#This Row],[Month]], dropdown!$S$4:$T$15, 2, FALSE),"")</f>
        <v>Q2</v>
      </c>
      <c r="S13" s="60" t="s">
        <v>339</v>
      </c>
      <c r="T13" s="29">
        <v>0</v>
      </c>
      <c r="U13" s="195" t="s">
        <v>2041</v>
      </c>
      <c r="W13" s="20"/>
    </row>
    <row r="14" spans="2:23" ht="14" x14ac:dyDescent="0.2">
      <c r="B14" s="119" t="s">
        <v>37</v>
      </c>
      <c r="I14" s="194">
        <f t="shared" si="0"/>
        <v>7</v>
      </c>
      <c r="J14" s="58" t="s">
        <v>388</v>
      </c>
      <c r="K14" s="426" t="str">
        <f>IF(water_in[[#This Row],[Month]]&lt;&gt;"",VLOOKUP(water_in[[#This Row],[Month]], dropdown!$S$4:$T$15, 2, FALSE),"")</f>
        <v>Q3</v>
      </c>
      <c r="L14" s="58" t="s">
        <v>122</v>
      </c>
      <c r="M14" s="29">
        <v>297</v>
      </c>
      <c r="N14" s="195" t="s">
        <v>2068</v>
      </c>
      <c r="O14" s="44" t="str">
        <f>IF(J14="","",VLOOKUP($J14,dropdown!$S$3:$T$15,2,FALSE))</f>
        <v>Q3</v>
      </c>
      <c r="P14" s="194">
        <f t="shared" si="1"/>
        <v>7</v>
      </c>
      <c r="Q14" s="58" t="s">
        <v>388</v>
      </c>
      <c r="R14" s="18" t="str">
        <f>IF(water_out[[#This Row],[Month]]&lt;&gt;"",VLOOKUP(water_out[[#This Row],[Month]], dropdown!$S$4:$T$15, 2, FALSE),"")</f>
        <v>Q3</v>
      </c>
      <c r="S14" s="60" t="s">
        <v>131</v>
      </c>
      <c r="T14" s="29">
        <v>9</v>
      </c>
      <c r="U14" s="195" t="s">
        <v>2028</v>
      </c>
      <c r="W14" s="20"/>
    </row>
    <row r="15" spans="2:23" ht="11" customHeight="1" x14ac:dyDescent="0.2">
      <c r="B15" s="120" t="s">
        <v>173</v>
      </c>
      <c r="I15" s="194">
        <f t="shared" si="0"/>
        <v>8</v>
      </c>
      <c r="J15" s="58" t="s">
        <v>40</v>
      </c>
      <c r="K15" s="426" t="str">
        <f>IF(water_in[[#This Row],[Month]]&lt;&gt;"",VLOOKUP(water_in[[#This Row],[Month]], dropdown!$S$4:$T$15, 2, FALSE),"")</f>
        <v>Q3</v>
      </c>
      <c r="L15" s="58" t="s">
        <v>122</v>
      </c>
      <c r="M15" s="29">
        <v>256</v>
      </c>
      <c r="N15" s="195" t="s">
        <v>2069</v>
      </c>
      <c r="O15" s="44" t="str">
        <f>IF(J15="","",VLOOKUP($J15,dropdown!$S$3:$T$15,2,FALSE))</f>
        <v>Q3</v>
      </c>
      <c r="P15" s="194">
        <f t="shared" si="1"/>
        <v>8</v>
      </c>
      <c r="Q15" s="58" t="s">
        <v>40</v>
      </c>
      <c r="R15" s="18" t="str">
        <f>IF(water_out[[#This Row],[Month]]&lt;&gt;"",VLOOKUP(water_out[[#This Row],[Month]], dropdown!$S$4:$T$15, 2, FALSE),"")</f>
        <v>Q3</v>
      </c>
      <c r="S15" s="60" t="s">
        <v>339</v>
      </c>
      <c r="T15" s="29">
        <v>0</v>
      </c>
      <c r="U15" s="195" t="s">
        <v>2041</v>
      </c>
      <c r="W15" s="20"/>
    </row>
    <row r="16" spans="2:23" ht="14" x14ac:dyDescent="0.2">
      <c r="B16" s="121" t="s">
        <v>174</v>
      </c>
      <c r="I16" s="194">
        <f t="shared" si="0"/>
        <v>9</v>
      </c>
      <c r="J16" s="58" t="s">
        <v>395</v>
      </c>
      <c r="K16" s="426" t="str">
        <f>IF(water_in[[#This Row],[Month]]&lt;&gt;"",VLOOKUP(water_in[[#This Row],[Month]], dropdown!$S$4:$T$15, 2, FALSE),"")</f>
        <v>Q3</v>
      </c>
      <c r="L16" s="58" t="s">
        <v>122</v>
      </c>
      <c r="M16" s="29">
        <v>252</v>
      </c>
      <c r="N16" s="195" t="s">
        <v>2070</v>
      </c>
      <c r="O16" s="44" t="str">
        <f>IF(J16="","",VLOOKUP($J16,dropdown!$S$3:$T$15,2,FALSE))</f>
        <v>Q3</v>
      </c>
      <c r="P16" s="194">
        <f t="shared" si="1"/>
        <v>9</v>
      </c>
      <c r="Q16" s="58" t="s">
        <v>395</v>
      </c>
      <c r="R16" s="18" t="str">
        <f>IF(water_out[[#This Row],[Month]]&lt;&gt;"",VLOOKUP(water_out[[#This Row],[Month]], dropdown!$S$4:$T$15, 2, FALSE),"")</f>
        <v>Q3</v>
      </c>
      <c r="S16" s="60" t="s">
        <v>339</v>
      </c>
      <c r="T16" s="29">
        <v>0</v>
      </c>
      <c r="U16" s="195" t="s">
        <v>2041</v>
      </c>
      <c r="W16" s="20"/>
    </row>
    <row r="17" spans="2:23" ht="14" x14ac:dyDescent="0.2">
      <c r="B17" s="122" t="s">
        <v>175</v>
      </c>
      <c r="I17" s="194">
        <f t="shared" si="0"/>
        <v>10</v>
      </c>
      <c r="J17" s="58" t="s">
        <v>398</v>
      </c>
      <c r="K17" s="426" t="str">
        <f>IF(water_in[[#This Row],[Month]]&lt;&gt;"",VLOOKUP(water_in[[#This Row],[Month]], dropdown!$S$4:$T$15, 2, FALSE),"")</f>
        <v>Q4</v>
      </c>
      <c r="L17" s="58" t="s">
        <v>122</v>
      </c>
      <c r="M17" s="29">
        <v>237</v>
      </c>
      <c r="N17" s="195" t="s">
        <v>2071</v>
      </c>
      <c r="O17" s="44" t="str">
        <f>IF(J17="","",VLOOKUP($J17,dropdown!$S$3:$T$15,2,FALSE))</f>
        <v>Q4</v>
      </c>
      <c r="P17" s="194">
        <f t="shared" si="1"/>
        <v>10</v>
      </c>
      <c r="Q17" s="58" t="s">
        <v>398</v>
      </c>
      <c r="R17" s="18" t="str">
        <f>IF(water_out[[#This Row],[Month]]&lt;&gt;"",VLOOKUP(water_out[[#This Row],[Month]], dropdown!$S$4:$T$15, 2, FALSE),"")</f>
        <v>Q4</v>
      </c>
      <c r="S17" s="60" t="s">
        <v>339</v>
      </c>
      <c r="T17" s="29">
        <v>0</v>
      </c>
      <c r="U17" s="195" t="s">
        <v>2041</v>
      </c>
      <c r="V17" s="44" t="s">
        <v>42</v>
      </c>
      <c r="W17" s="20"/>
    </row>
    <row r="18" spans="2:23" ht="14" x14ac:dyDescent="0.2">
      <c r="I18" s="194">
        <f t="shared" si="0"/>
        <v>11</v>
      </c>
      <c r="J18" s="58" t="s">
        <v>402</v>
      </c>
      <c r="K18" s="426" t="str">
        <f>IF(water_in[[#This Row],[Month]]&lt;&gt;"",VLOOKUP(water_in[[#This Row],[Month]], dropdown!$S$4:$T$15, 2, FALSE),"")</f>
        <v>Q4</v>
      </c>
      <c r="L18" s="58" t="s">
        <v>122</v>
      </c>
      <c r="M18" s="29">
        <v>280</v>
      </c>
      <c r="N18" s="195" t="s">
        <v>2072</v>
      </c>
      <c r="O18" s="44" t="str">
        <f>IF(J18="","",VLOOKUP($J18,dropdown!$S$3:$T$15,2,FALSE))</f>
        <v>Q4</v>
      </c>
      <c r="P18" s="194">
        <f t="shared" si="1"/>
        <v>11</v>
      </c>
      <c r="Q18" s="58" t="s">
        <v>402</v>
      </c>
      <c r="R18" s="18" t="str">
        <f>IF(water_out[[#This Row],[Month]]&lt;&gt;"",VLOOKUP(water_out[[#This Row],[Month]], dropdown!$S$4:$T$15, 2, FALSE),"")</f>
        <v>Q4</v>
      </c>
      <c r="S18" s="60" t="s">
        <v>339</v>
      </c>
      <c r="T18" s="29">
        <v>0</v>
      </c>
      <c r="U18" s="195" t="s">
        <v>2041</v>
      </c>
      <c r="V18" s="44" t="str">
        <f>IF(Q8="","",VLOOKUP($Q8,dropdown!$S$3:$T$15,2,FALSE))</f>
        <v>Q1</v>
      </c>
      <c r="W18" s="20"/>
    </row>
    <row r="19" spans="2:23" ht="14" x14ac:dyDescent="0.2">
      <c r="I19" s="194">
        <f t="shared" si="0"/>
        <v>12</v>
      </c>
      <c r="J19" s="58" t="s">
        <v>405</v>
      </c>
      <c r="K19" s="426" t="str">
        <f>IF(water_in[[#This Row],[Month]]&lt;&gt;"",VLOOKUP(water_in[[#This Row],[Month]], dropdown!$S$4:$T$15, 2, FALSE),"")</f>
        <v>Q4</v>
      </c>
      <c r="L19" s="58" t="s">
        <v>122</v>
      </c>
      <c r="M19" s="29">
        <v>259</v>
      </c>
      <c r="N19" s="195" t="s">
        <v>2073</v>
      </c>
      <c r="O19" s="44" t="str">
        <f>IF(J19="","",VLOOKUP($J19,dropdown!$S$3:$T$15,2,FALSE))</f>
        <v>Q4</v>
      </c>
      <c r="P19" s="194">
        <f t="shared" si="1"/>
        <v>12</v>
      </c>
      <c r="Q19" s="58" t="s">
        <v>405</v>
      </c>
      <c r="R19" s="18" t="str">
        <f>IF(water_out[[#This Row],[Month]]&lt;&gt;"",VLOOKUP(water_out[[#This Row],[Month]], dropdown!$S$4:$T$15, 2, FALSE),"")</f>
        <v>Q4</v>
      </c>
      <c r="S19" s="60" t="s">
        <v>131</v>
      </c>
      <c r="T19" s="29">
        <v>7.5</v>
      </c>
      <c r="U19" s="195" t="s">
        <v>2028</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176</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28</v>
      </c>
      <c r="C2" s="31"/>
      <c r="D2" s="31"/>
      <c r="E2" s="31"/>
      <c r="F2" s="31"/>
      <c r="G2" s="32"/>
      <c r="I2" s="307" t="s">
        <v>219</v>
      </c>
      <c r="J2" s="308"/>
      <c r="K2" s="309"/>
      <c r="L2" s="310"/>
      <c r="M2" s="311"/>
      <c r="N2" s="312"/>
      <c r="O2" s="313"/>
    </row>
    <row r="3" spans="2:15" x14ac:dyDescent="0.2">
      <c r="B3" s="33" t="s">
        <v>8</v>
      </c>
      <c r="C3" s="34"/>
      <c r="D3" s="35" t="s">
        <v>166</v>
      </c>
      <c r="E3" s="34"/>
      <c r="F3" s="34" t="s">
        <v>167</v>
      </c>
      <c r="G3" s="36"/>
      <c r="I3" s="284" t="s">
        <v>220</v>
      </c>
      <c r="J3" s="285"/>
      <c r="K3" s="286"/>
      <c r="L3" s="287"/>
      <c r="M3" s="314"/>
      <c r="N3" s="315"/>
      <c r="O3" s="289"/>
    </row>
    <row r="4" spans="2:15" x14ac:dyDescent="0.2">
      <c r="B4" s="161" t="str">
        <f>'1. Data Info and Summary'!$D$2</f>
        <v>Ozamiz Branch</v>
      </c>
      <c r="C4" s="37"/>
      <c r="D4" s="38">
        <f>'1. Data Info and Summary'!$D$3</f>
        <v>2024</v>
      </c>
      <c r="E4" s="37"/>
      <c r="F4" s="37" t="s">
        <v>221</v>
      </c>
      <c r="G4" s="39"/>
      <c r="I4" s="290" t="s">
        <v>222</v>
      </c>
      <c r="O4" s="291"/>
    </row>
    <row r="5" spans="2:15" x14ac:dyDescent="0.2">
      <c r="B5" s="271"/>
      <c r="D5" s="271"/>
      <c r="I5" s="324" t="s">
        <v>223</v>
      </c>
      <c r="O5" s="291"/>
    </row>
    <row r="6" spans="2:15" x14ac:dyDescent="0.2">
      <c r="B6" s="278" t="s">
        <v>224</v>
      </c>
      <c r="C6" s="279"/>
      <c r="D6" s="278" t="s">
        <v>225</v>
      </c>
      <c r="E6" s="279"/>
      <c r="I6" s="323" t="s">
        <v>226</v>
      </c>
      <c r="J6" s="293"/>
      <c r="K6" s="294"/>
      <c r="L6" s="295"/>
      <c r="M6" s="318"/>
      <c r="N6" s="319"/>
      <c r="O6" s="297"/>
    </row>
    <row r="7" spans="2:15" x14ac:dyDescent="0.2">
      <c r="B7" s="278" t="s">
        <v>227</v>
      </c>
      <c r="C7" s="279"/>
      <c r="D7" s="278" t="s">
        <v>227</v>
      </c>
      <c r="E7" s="279"/>
      <c r="I7" s="271"/>
    </row>
    <row r="8" spans="2:15" x14ac:dyDescent="0.2">
      <c r="B8" s="278" t="s">
        <v>228</v>
      </c>
      <c r="C8" s="280"/>
      <c r="D8" s="278" t="s">
        <v>228</v>
      </c>
      <c r="E8" s="280"/>
      <c r="I8" s="271"/>
    </row>
    <row r="9" spans="2:15" x14ac:dyDescent="0.2">
      <c r="B9" s="327"/>
      <c r="C9" s="328"/>
      <c r="D9" s="327"/>
      <c r="E9" s="306"/>
      <c r="I9" s="271"/>
    </row>
    <row r="10" spans="2:15" ht="19" x14ac:dyDescent="0.25">
      <c r="B10" s="257" t="s">
        <v>229</v>
      </c>
      <c r="C10" s="31"/>
      <c r="D10" s="31"/>
      <c r="E10" s="31"/>
      <c r="F10" s="31"/>
      <c r="G10" s="32"/>
      <c r="I10" s="271"/>
    </row>
    <row r="11" spans="2:15" x14ac:dyDescent="0.2">
      <c r="I11" s="321" t="s">
        <v>230</v>
      </c>
    </row>
    <row r="12" spans="2:15" ht="15" x14ac:dyDescent="0.2">
      <c r="B12" s="119" t="s">
        <v>37</v>
      </c>
      <c r="C12"/>
      <c r="D12" s="119" t="s">
        <v>231</v>
      </c>
      <c r="E12" s="119"/>
      <c r="F12" s="119"/>
      <c r="G12"/>
      <c r="I12" s="216" t="s">
        <v>232</v>
      </c>
      <c r="J12" s="217" t="s">
        <v>233</v>
      </c>
      <c r="K12" s="217" t="s">
        <v>234</v>
      </c>
      <c r="L12" s="221" t="s">
        <v>235</v>
      </c>
      <c r="M12" s="218" t="s">
        <v>236</v>
      </c>
      <c r="N12" s="219" t="s">
        <v>237</v>
      </c>
      <c r="O12" s="223" t="s">
        <v>238</v>
      </c>
    </row>
    <row r="13" spans="2:15" ht="16" x14ac:dyDescent="0.2">
      <c r="B13" s="330" t="s">
        <v>173</v>
      </c>
      <c r="C13"/>
      <c r="D13" s="325">
        <v>1000</v>
      </c>
      <c r="E13" s="326"/>
      <c r="F13" s="120" t="s">
        <v>239</v>
      </c>
      <c r="G13"/>
      <c r="I13" s="220" t="s">
        <v>240</v>
      </c>
      <c r="J13" s="220" t="s">
        <v>241</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174</v>
      </c>
      <c r="C14"/>
      <c r="D14" s="119" t="s">
        <v>242</v>
      </c>
      <c r="E14" s="119"/>
      <c r="F14" s="119"/>
      <c r="G14"/>
      <c r="I14" s="220" t="s">
        <v>243</v>
      </c>
      <c r="J14" s="220" t="s">
        <v>244</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175</v>
      </c>
      <c r="C15"/>
      <c r="D15" s="222">
        <v>4.0800000000000003E-2</v>
      </c>
      <c r="E15" s="215"/>
      <c r="F15" s="122" t="s">
        <v>245</v>
      </c>
      <c r="G15"/>
      <c r="I15" s="220" t="s">
        <v>246</v>
      </c>
      <c r="J15" s="220" t="s">
        <v>247</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248</v>
      </c>
      <c r="J16" s="220" t="s">
        <v>249</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250</v>
      </c>
      <c r="D17" s="119" t="s">
        <v>251</v>
      </c>
      <c r="E17" s="119"/>
      <c r="F17" s="119"/>
      <c r="I17" s="220" t="s">
        <v>252</v>
      </c>
      <c r="J17" s="220" t="s">
        <v>253</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254</v>
      </c>
      <c r="I18" s="220" t="s">
        <v>255</v>
      </c>
      <c r="J18" s="220" t="s">
        <v>256</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257</v>
      </c>
      <c r="I19" s="220" t="s">
        <v>258</v>
      </c>
      <c r="J19" s="220" t="s">
        <v>259</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260</v>
      </c>
      <c r="J20" s="220" t="s">
        <v>261</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262</v>
      </c>
      <c r="J21" s="220" t="s">
        <v>263</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264</v>
      </c>
      <c r="J22" s="220" t="s">
        <v>265</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266</v>
      </c>
      <c r="J23" s="220" t="s">
        <v>267</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268</v>
      </c>
      <c r="J24" s="220" t="s">
        <v>269</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270</v>
      </c>
      <c r="J25" s="220" t="s">
        <v>271</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272</v>
      </c>
      <c r="J26" s="220" t="s">
        <v>273</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274</v>
      </c>
      <c r="J27" s="220" t="s">
        <v>275</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276</v>
      </c>
      <c r="J28" s="220" t="s">
        <v>277</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278</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158</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49" zoomScaleNormal="100" workbookViewId="0">
      <selection activeCell="O48" sqref="O48"/>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28</v>
      </c>
      <c r="C2" s="31"/>
      <c r="D2" s="31"/>
      <c r="E2" s="31"/>
      <c r="F2" s="31"/>
      <c r="G2" s="32"/>
      <c r="I2" s="377" t="s">
        <v>279</v>
      </c>
      <c r="J2" s="378"/>
      <c r="K2" s="378"/>
      <c r="L2" s="379"/>
      <c r="M2" s="380"/>
      <c r="N2" s="379"/>
      <c r="O2" s="381"/>
      <c r="Q2" s="44"/>
    </row>
    <row r="3" spans="2:17" x14ac:dyDescent="0.2">
      <c r="B3" s="33" t="s">
        <v>8</v>
      </c>
      <c r="C3" s="34"/>
      <c r="D3" s="35" t="s">
        <v>166</v>
      </c>
      <c r="E3" s="34"/>
      <c r="F3" s="34" t="s">
        <v>167</v>
      </c>
      <c r="G3" s="36"/>
      <c r="I3" s="54"/>
      <c r="O3" s="23"/>
      <c r="Q3" s="44"/>
    </row>
    <row r="4" spans="2:17" x14ac:dyDescent="0.2">
      <c r="B4" s="161" t="str">
        <f>'1. Data Info and Summary'!$D$2</f>
        <v>Ozamiz Branch</v>
      </c>
      <c r="C4" s="37"/>
      <c r="D4" s="38">
        <f>IF('1. Data Info and Summary'!$D$3=0,"-",'1. Data Info and Summary'!$D$3)</f>
        <v>2024</v>
      </c>
      <c r="E4" s="37"/>
      <c r="F4" s="37" t="s">
        <v>163</v>
      </c>
      <c r="G4" s="39"/>
      <c r="I4" s="42"/>
      <c r="J4" s="25"/>
      <c r="K4" s="25"/>
      <c r="L4" s="24"/>
      <c r="M4" s="26"/>
      <c r="N4" s="24"/>
      <c r="O4" s="27"/>
      <c r="Q4" s="44"/>
    </row>
    <row r="5" spans="2:17" x14ac:dyDescent="0.2">
      <c r="B5" s="212"/>
      <c r="C5" s="213"/>
      <c r="D5" s="212"/>
      <c r="E5" s="213"/>
      <c r="F5" s="213"/>
      <c r="G5" s="213"/>
      <c r="Q5" s="44"/>
    </row>
    <row r="6" spans="2:17" x14ac:dyDescent="0.2">
      <c r="B6" s="278" t="s">
        <v>170</v>
      </c>
      <c r="C6" s="448"/>
      <c r="D6" s="449"/>
      <c r="E6" s="449"/>
      <c r="F6" s="449"/>
      <c r="G6" s="450"/>
      <c r="I6" s="409" t="s">
        <v>280</v>
      </c>
      <c r="J6" s="407"/>
      <c r="K6" s="407"/>
      <c r="L6" s="407"/>
      <c r="M6" s="408"/>
      <c r="N6" s="407"/>
      <c r="O6" s="407"/>
      <c r="Q6" s="44"/>
    </row>
    <row r="7" spans="2:17" ht="25.5" customHeight="1" x14ac:dyDescent="0.2">
      <c r="B7" s="278" t="s">
        <v>172</v>
      </c>
      <c r="C7" s="448"/>
      <c r="D7" s="449"/>
      <c r="E7" s="449"/>
      <c r="F7" s="449"/>
      <c r="G7" s="450"/>
      <c r="I7" s="248" t="s">
        <v>171</v>
      </c>
      <c r="J7" s="249" t="s">
        <v>38</v>
      </c>
      <c r="K7" s="249" t="s">
        <v>42</v>
      </c>
      <c r="L7" s="249" t="s">
        <v>135</v>
      </c>
      <c r="M7" s="254" t="s">
        <v>138</v>
      </c>
      <c r="N7" s="255" t="s">
        <v>140</v>
      </c>
      <c r="O7" s="253" t="s">
        <v>52</v>
      </c>
      <c r="Q7" s="44"/>
    </row>
    <row r="8" spans="2:17" x14ac:dyDescent="0.2">
      <c r="I8" s="194">
        <f>IF($J8="","",1)</f>
        <v>1</v>
      </c>
      <c r="J8" s="58" t="s">
        <v>336</v>
      </c>
      <c r="K8" s="194" t="str">
        <f>IF(Waste[[#This Row],[Month]]&lt;&gt;"",VLOOKUP(Waste[[#This Row],[Month]], dropdown!$S$4:$T$15, 2, FALSE),"")</f>
        <v>Q1</v>
      </c>
      <c r="L8" s="57" t="s">
        <v>316</v>
      </c>
      <c r="M8" s="29">
        <v>16</v>
      </c>
      <c r="N8" s="57" t="s">
        <v>311</v>
      </c>
      <c r="O8" s="195" t="s">
        <v>2017</v>
      </c>
      <c r="Q8" s="44"/>
    </row>
    <row r="9" spans="2:17" x14ac:dyDescent="0.2">
      <c r="B9" s="14" t="s">
        <v>132</v>
      </c>
      <c r="C9" s="14"/>
      <c r="D9" s="14"/>
      <c r="E9" s="14"/>
      <c r="F9" s="14"/>
      <c r="G9" s="14"/>
      <c r="I9" s="194">
        <f t="shared" ref="I9:I72" si="0">IF($J9="","",$I8+1)</f>
        <v>2</v>
      </c>
      <c r="J9" s="58" t="s">
        <v>87</v>
      </c>
      <c r="K9" s="194" t="str">
        <f>IF(Waste[[#This Row],[Month]]&lt;&gt;"",VLOOKUP(Waste[[#This Row],[Month]], dropdown!$S$4:$T$15, 2, FALSE),"")</f>
        <v>Q1</v>
      </c>
      <c r="L9" s="57" t="s">
        <v>316</v>
      </c>
      <c r="M9" s="29">
        <v>16</v>
      </c>
      <c r="N9" s="57" t="s">
        <v>311</v>
      </c>
      <c r="O9" s="195" t="s">
        <v>2017</v>
      </c>
      <c r="Q9" s="44"/>
    </row>
    <row r="10" spans="2:17" x14ac:dyDescent="0.2">
      <c r="B10" s="13" t="s">
        <v>135</v>
      </c>
      <c r="C10" s="13" t="s">
        <v>49</v>
      </c>
      <c r="D10" s="40" t="s">
        <v>44</v>
      </c>
      <c r="E10" s="40" t="s">
        <v>147</v>
      </c>
      <c r="F10" s="40" t="s">
        <v>148</v>
      </c>
      <c r="G10" s="40" t="s">
        <v>149</v>
      </c>
      <c r="I10" s="194">
        <f t="shared" si="0"/>
        <v>3</v>
      </c>
      <c r="J10" s="58" t="s">
        <v>360</v>
      </c>
      <c r="K10" s="194" t="str">
        <f>IF(Waste[[#This Row],[Month]]&lt;&gt;"",VLOOKUP(Waste[[#This Row],[Month]], dropdown!$S$4:$T$15, 2, FALSE),"")</f>
        <v>Q1</v>
      </c>
      <c r="L10" s="57" t="s">
        <v>316</v>
      </c>
      <c r="M10" s="29">
        <v>16</v>
      </c>
      <c r="N10" s="57" t="s">
        <v>311</v>
      </c>
      <c r="O10" s="195" t="s">
        <v>2017</v>
      </c>
      <c r="Q10" s="44"/>
    </row>
    <row r="11" spans="2:17" x14ac:dyDescent="0.2">
      <c r="B11" s="17" t="str">
        <f>dropdown!$B4</f>
        <v>Compostable</v>
      </c>
      <c r="C11" s="17" t="s">
        <v>281</v>
      </c>
      <c r="D11" s="41">
        <f>SUMIFS(Waste[Weight (kg)],Waste[Quarter],D$10,Waste[Waste Composition],$B$11)</f>
        <v>65</v>
      </c>
      <c r="E11" s="41">
        <f>SUMIFS(Waste[Weight (kg)],Waste[Quarter],E$10,Waste[Waste Composition],$B11)</f>
        <v>65</v>
      </c>
      <c r="F11" s="41">
        <f>SUMIFS(Waste[Weight (kg)],Waste[Quarter],F$10,Waste[Waste Composition],$B11)</f>
        <v>66</v>
      </c>
      <c r="G11" s="41">
        <f>SUMIFS(Waste[Weight (kg)],Waste[Quarter],G$10,Waste[Waste Composition],$B11)</f>
        <v>66</v>
      </c>
      <c r="I11" s="194">
        <f t="shared" si="0"/>
        <v>4</v>
      </c>
      <c r="J11" s="58" t="s">
        <v>336</v>
      </c>
      <c r="K11" s="194" t="str">
        <f>IF(Waste[[#This Row],[Month]]&lt;&gt;"",VLOOKUP(Waste[[#This Row],[Month]], dropdown!$S$4:$T$15, 2, FALSE),"")</f>
        <v>Q1</v>
      </c>
      <c r="L11" s="57" t="s">
        <v>365</v>
      </c>
      <c r="M11" s="29">
        <v>3400</v>
      </c>
      <c r="N11" s="57" t="s">
        <v>311</v>
      </c>
      <c r="O11" s="195" t="s">
        <v>2018</v>
      </c>
      <c r="Q11" s="44"/>
    </row>
    <row r="12" spans="2:17" x14ac:dyDescent="0.2">
      <c r="B12" s="17" t="str">
        <f>dropdown!$B5</f>
        <v>Recyclable</v>
      </c>
      <c r="C12" s="17" t="s">
        <v>281</v>
      </c>
      <c r="D12" s="41">
        <f>SUMIFS(Waste[Weight (kg)],Waste[Quarter],D$10,Waste[Waste Composition],$B12)</f>
        <v>48</v>
      </c>
      <c r="E12" s="41">
        <f>SUMIFS(Waste[Weight (kg)],Waste[Quarter],E$10,Waste[Waste Composition],$B12)</f>
        <v>24</v>
      </c>
      <c r="F12" s="41">
        <f>SUMIFS(Waste[Weight (kg)],Waste[Quarter],F$10,Waste[Waste Composition],$B12)</f>
        <v>30</v>
      </c>
      <c r="G12" s="41">
        <f>SUMIFS(Waste[Weight (kg)],Waste[Quarter],G$10,Waste[Waste Composition],$B12)</f>
        <v>25</v>
      </c>
      <c r="I12" s="194">
        <f t="shared" si="0"/>
        <v>5</v>
      </c>
      <c r="J12" s="58" t="s">
        <v>87</v>
      </c>
      <c r="K12" s="194" t="str">
        <f>IF(Waste[[#This Row],[Month]]&lt;&gt;"",VLOOKUP(Waste[[#This Row],[Month]], dropdown!$S$4:$T$15, 2, FALSE),"")</f>
        <v>Q1</v>
      </c>
      <c r="L12" s="57" t="s">
        <v>365</v>
      </c>
      <c r="M12" s="29">
        <v>5760</v>
      </c>
      <c r="N12" s="57" t="s">
        <v>311</v>
      </c>
      <c r="O12" s="195" t="s">
        <v>2018</v>
      </c>
      <c r="Q12" s="44"/>
    </row>
    <row r="13" spans="2:17" ht="15" x14ac:dyDescent="0.2">
      <c r="B13" s="17" t="str">
        <f>dropdown!$B6</f>
        <v>Infectious</v>
      </c>
      <c r="C13" s="17" t="s">
        <v>281</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360</v>
      </c>
      <c r="K13" s="194" t="str">
        <f>IF(Waste[[#This Row],[Month]]&lt;&gt;"",VLOOKUP(Waste[[#This Row],[Month]], dropdown!$S$4:$T$15, 2, FALSE),"")</f>
        <v>Q1</v>
      </c>
      <c r="L13" s="57" t="s">
        <v>365</v>
      </c>
      <c r="M13" s="29">
        <v>1800</v>
      </c>
      <c r="N13" s="57" t="s">
        <v>311</v>
      </c>
      <c r="O13" s="195" t="s">
        <v>2018</v>
      </c>
    </row>
    <row r="14" spans="2:17" ht="14" customHeight="1" x14ac:dyDescent="0.2">
      <c r="B14" s="17" t="str">
        <f>dropdown!$B7</f>
        <v>Security</v>
      </c>
      <c r="C14" s="17" t="s">
        <v>281</v>
      </c>
      <c r="D14" s="41">
        <f>SUMIFS(Waste[Weight (kg)],Waste[Quarter],D$10,Waste[Waste Composition],$B14)</f>
        <v>10960</v>
      </c>
      <c r="E14" s="41">
        <f>SUMIFS(Waste[Weight (kg)],Waste[Quarter],E$10,Waste[Waste Composition],$B14)</f>
        <v>4460</v>
      </c>
      <c r="F14" s="41">
        <f>SUMIFS(Waste[Weight (kg)],Waste[Quarter],F$10,Waste[Waste Composition],$B14)</f>
        <v>9400</v>
      </c>
      <c r="G14" s="41">
        <f>SUMIFS(Waste[Weight (kg)],Waste[Quarter],G$10,Waste[Waste Composition],$B14)</f>
        <v>6660</v>
      </c>
      <c r="I14" s="194">
        <f t="shared" si="0"/>
        <v>7</v>
      </c>
      <c r="J14" s="58" t="s">
        <v>336</v>
      </c>
      <c r="K14" s="194" t="str">
        <f>IF(Waste[[#This Row],[Month]]&lt;&gt;"",VLOOKUP(Waste[[#This Row],[Month]], dropdown!$S$4:$T$15, 2, FALSE),"")</f>
        <v>Q1</v>
      </c>
      <c r="L14" s="57" t="s">
        <v>381</v>
      </c>
      <c r="M14" s="29">
        <v>21</v>
      </c>
      <c r="N14" s="57" t="s">
        <v>311</v>
      </c>
      <c r="O14" s="195" t="s">
        <v>1862</v>
      </c>
      <c r="Q14" s="44"/>
    </row>
    <row r="15" spans="2:17" ht="15" customHeight="1" x14ac:dyDescent="0.2">
      <c r="B15" s="17" t="str">
        <f>dropdown!$B8</f>
        <v>Hazardous</v>
      </c>
      <c r="C15" s="17" t="s">
        <v>281</v>
      </c>
      <c r="D15" s="41">
        <f>SUMIFS(Waste[Weight (kg)],Waste[Quarter],D$10,Waste[Waste Composition],$B15)</f>
        <v>21.1</v>
      </c>
      <c r="E15" s="41">
        <f>SUMIFS(Waste[Weight (kg)],Waste[Quarter],E$10,Waste[Waste Composition],$B15)</f>
        <v>165.29999999999998</v>
      </c>
      <c r="F15" s="41">
        <f>SUMIFS(Waste[Weight (kg)],Waste[Quarter],F$10,Waste[Waste Composition],$B15)</f>
        <v>1.9</v>
      </c>
      <c r="G15" s="41">
        <f>SUMIFS(Waste[Weight (kg)],Waste[Quarter],G$10,Waste[Waste Composition],$B15)</f>
        <v>55.55</v>
      </c>
      <c r="I15" s="194">
        <f t="shared" si="0"/>
        <v>8</v>
      </c>
      <c r="J15" s="58" t="s">
        <v>87</v>
      </c>
      <c r="K15" s="194" t="str">
        <f>IF(Waste[[#This Row],[Month]]&lt;&gt;"",VLOOKUP(Waste[[#This Row],[Month]], dropdown!$S$4:$T$15, 2, FALSE),"")</f>
        <v>Q1</v>
      </c>
      <c r="L15" s="57" t="s">
        <v>381</v>
      </c>
      <c r="M15" s="29">
        <v>20</v>
      </c>
      <c r="N15" s="57" t="s">
        <v>311</v>
      </c>
      <c r="O15" s="195" t="s">
        <v>1862</v>
      </c>
    </row>
    <row r="16" spans="2:17" x14ac:dyDescent="0.2">
      <c r="B16" s="17" t="str">
        <f>dropdown!$B9</f>
        <v>Residual/Landfill</v>
      </c>
      <c r="C16" s="17" t="s">
        <v>281</v>
      </c>
      <c r="D16" s="41">
        <f>SUMIFS(Waste[Weight (kg)],Waste[Quarter],D$10,Waste[Waste Composition],$B16)</f>
        <v>65</v>
      </c>
      <c r="E16" s="41">
        <f>SUMIFS(Waste[Weight (kg)],Waste[Quarter],E$10,Waste[Waste Composition],$B16)</f>
        <v>22</v>
      </c>
      <c r="F16" s="41">
        <f>SUMIFS(Waste[Weight (kg)],Waste[Quarter],F$10,Waste[Waste Composition],$B16)</f>
        <v>25</v>
      </c>
      <c r="G16" s="41">
        <f>SUMIFS(Waste[Weight (kg)],Waste[Quarter],G$10,Waste[Waste Composition],$B16)</f>
        <v>20</v>
      </c>
      <c r="I16" s="194">
        <f t="shared" si="0"/>
        <v>9</v>
      </c>
      <c r="J16" s="58" t="s">
        <v>360</v>
      </c>
      <c r="K16" s="194" t="str">
        <f>IF(Waste[[#This Row],[Month]]&lt;&gt;"",VLOOKUP(Waste[[#This Row],[Month]], dropdown!$S$4:$T$15, 2, FALSE),"")</f>
        <v>Q1</v>
      </c>
      <c r="L16" s="57" t="s">
        <v>381</v>
      </c>
      <c r="M16" s="29">
        <v>24</v>
      </c>
      <c r="N16" s="57" t="s">
        <v>311</v>
      </c>
      <c r="O16" s="195" t="s">
        <v>1862</v>
      </c>
    </row>
    <row r="17" spans="2:15" x14ac:dyDescent="0.2">
      <c r="I17" s="194">
        <f t="shared" si="0"/>
        <v>10</v>
      </c>
      <c r="J17" s="58" t="s">
        <v>87</v>
      </c>
      <c r="K17" s="194" t="str">
        <f>IF(Waste[[#This Row],[Month]]&lt;&gt;"",VLOOKUP(Waste[[#This Row],[Month]], dropdown!$S$4:$T$15, 2, FALSE),"")</f>
        <v>Q1</v>
      </c>
      <c r="L17" s="57" t="s">
        <v>315</v>
      </c>
      <c r="M17" s="29">
        <v>2.8</v>
      </c>
      <c r="N17" s="57" t="s">
        <v>362</v>
      </c>
      <c r="O17" s="195" t="s">
        <v>1881</v>
      </c>
    </row>
    <row r="18" spans="2:15" x14ac:dyDescent="0.2">
      <c r="B18" s="267" t="s">
        <v>37</v>
      </c>
      <c r="I18" s="194">
        <f t="shared" si="0"/>
        <v>11</v>
      </c>
      <c r="J18" s="58" t="s">
        <v>360</v>
      </c>
      <c r="K18" s="194" t="str">
        <f>IF(Waste[[#This Row],[Month]]&lt;&gt;"",VLOOKUP(Waste[[#This Row],[Month]], dropdown!$S$4:$T$15, 2, FALSE),"")</f>
        <v>Q1</v>
      </c>
      <c r="L18" s="57" t="s">
        <v>315</v>
      </c>
      <c r="M18" s="29">
        <v>18.3</v>
      </c>
      <c r="N18" s="57" t="s">
        <v>362</v>
      </c>
      <c r="O18" s="195" t="s">
        <v>1882</v>
      </c>
    </row>
    <row r="19" spans="2:15" x14ac:dyDescent="0.2">
      <c r="B19" s="268" t="s">
        <v>173</v>
      </c>
      <c r="I19" s="194">
        <f t="shared" ref="I19" si="1">IF($J19="","",$I18+1)</f>
        <v>12</v>
      </c>
      <c r="J19" s="58" t="s">
        <v>369</v>
      </c>
      <c r="K19" s="194" t="str">
        <f>IF(Waste[[#This Row],[Month]]&lt;&gt;"",VLOOKUP(Waste[[#This Row],[Month]], dropdown!$S$4:$T$15, 2, FALSE),"")</f>
        <v>Q2</v>
      </c>
      <c r="L19" s="57" t="s">
        <v>316</v>
      </c>
      <c r="M19" s="29">
        <v>9</v>
      </c>
      <c r="N19" s="57" t="s">
        <v>311</v>
      </c>
      <c r="O19" s="195" t="s">
        <v>1859</v>
      </c>
    </row>
    <row r="20" spans="2:15" x14ac:dyDescent="0.2">
      <c r="B20" s="266" t="s">
        <v>174</v>
      </c>
      <c r="I20" s="194">
        <f t="shared" si="0"/>
        <v>13</v>
      </c>
      <c r="J20" s="58" t="s">
        <v>377</v>
      </c>
      <c r="K20" s="194" t="str">
        <f>IF(Waste[[#This Row],[Month]]&lt;&gt;"",VLOOKUP(Waste[[#This Row],[Month]], dropdown!$S$4:$T$15, 2, FALSE),"")</f>
        <v>Q2</v>
      </c>
      <c r="L20" s="57" t="s">
        <v>316</v>
      </c>
      <c r="M20" s="29">
        <v>7</v>
      </c>
      <c r="N20" s="57" t="s">
        <v>311</v>
      </c>
      <c r="O20" s="195" t="s">
        <v>1859</v>
      </c>
    </row>
    <row r="21" spans="2:15" x14ac:dyDescent="0.2">
      <c r="B21" s="17" t="s">
        <v>175</v>
      </c>
      <c r="I21" s="194">
        <f t="shared" si="0"/>
        <v>14</v>
      </c>
      <c r="J21" s="58" t="s">
        <v>384</v>
      </c>
      <c r="K21" s="194" t="str">
        <f>IF(Waste[[#This Row],[Month]]&lt;&gt;"",VLOOKUP(Waste[[#This Row],[Month]], dropdown!$S$4:$T$15, 2, FALSE),"")</f>
        <v>Q2</v>
      </c>
      <c r="L21" s="57" t="s">
        <v>316</v>
      </c>
      <c r="M21" s="29">
        <v>8</v>
      </c>
      <c r="N21" s="57" t="s">
        <v>311</v>
      </c>
      <c r="O21" s="195" t="s">
        <v>1859</v>
      </c>
    </row>
    <row r="22" spans="2:15" x14ac:dyDescent="0.2">
      <c r="I22" s="194">
        <f t="shared" si="0"/>
        <v>15</v>
      </c>
      <c r="J22" s="58" t="s">
        <v>369</v>
      </c>
      <c r="K22" s="194" t="str">
        <f>IF(Waste[[#This Row],[Month]]&lt;&gt;"",VLOOKUP(Waste[[#This Row],[Month]], dropdown!$S$4:$T$15, 2, FALSE),"")</f>
        <v>Q2</v>
      </c>
      <c r="L22" s="57" t="s">
        <v>365</v>
      </c>
      <c r="M22" s="29">
        <v>3000</v>
      </c>
      <c r="N22" s="57" t="s">
        <v>311</v>
      </c>
      <c r="O22" s="195" t="s">
        <v>2018</v>
      </c>
    </row>
    <row r="23" spans="2:15" x14ac:dyDescent="0.2">
      <c r="I23" s="194">
        <f t="shared" si="0"/>
        <v>16</v>
      </c>
      <c r="J23" s="58" t="s">
        <v>377</v>
      </c>
      <c r="K23" s="194" t="str">
        <f>IF(Waste[[#This Row],[Month]]&lt;&gt;"",VLOOKUP(Waste[[#This Row],[Month]], dropdown!$S$4:$T$15, 2, FALSE),"")</f>
        <v>Q2</v>
      </c>
      <c r="L23" s="57" t="s">
        <v>365</v>
      </c>
      <c r="M23" s="29">
        <v>0</v>
      </c>
      <c r="N23" s="57"/>
      <c r="O23" s="195" t="s">
        <v>1929</v>
      </c>
    </row>
    <row r="24" spans="2:15" x14ac:dyDescent="0.2">
      <c r="I24" s="194">
        <f t="shared" si="0"/>
        <v>17</v>
      </c>
      <c r="J24" s="58" t="s">
        <v>384</v>
      </c>
      <c r="K24" s="194" t="str">
        <f>IF(Waste[[#This Row],[Month]]&lt;&gt;"",VLOOKUP(Waste[[#This Row],[Month]], dropdown!$S$4:$T$15, 2, FALSE),"")</f>
        <v>Q2</v>
      </c>
      <c r="L24" s="57" t="s">
        <v>365</v>
      </c>
      <c r="M24" s="29">
        <v>1460</v>
      </c>
      <c r="N24" s="57" t="s">
        <v>311</v>
      </c>
      <c r="O24" s="195" t="s">
        <v>2018</v>
      </c>
    </row>
    <row r="25" spans="2:15" x14ac:dyDescent="0.2">
      <c r="I25" s="194">
        <f t="shared" si="0"/>
        <v>18</v>
      </c>
      <c r="J25" s="58" t="s">
        <v>369</v>
      </c>
      <c r="K25" s="194" t="str">
        <f>IF(Waste[[#This Row],[Month]]&lt;&gt;"",VLOOKUP(Waste[[#This Row],[Month]], dropdown!$S$4:$T$15, 2, FALSE),"")</f>
        <v>Q2</v>
      </c>
      <c r="L25" s="57" t="s">
        <v>381</v>
      </c>
      <c r="M25" s="29">
        <v>8</v>
      </c>
      <c r="N25" s="57" t="s">
        <v>311</v>
      </c>
      <c r="O25" s="195" t="s">
        <v>1862</v>
      </c>
    </row>
    <row r="26" spans="2:15" x14ac:dyDescent="0.2">
      <c r="I26" s="194">
        <f t="shared" si="0"/>
        <v>19</v>
      </c>
      <c r="J26" s="58" t="s">
        <v>377</v>
      </c>
      <c r="K26" s="194" t="str">
        <f>IF(Waste[[#This Row],[Month]]&lt;&gt;"",VLOOKUP(Waste[[#This Row],[Month]], dropdown!$S$4:$T$15, 2, FALSE),"")</f>
        <v>Q2</v>
      </c>
      <c r="L26" s="57" t="s">
        <v>381</v>
      </c>
      <c r="M26" s="29">
        <v>9</v>
      </c>
      <c r="N26" s="57" t="s">
        <v>311</v>
      </c>
      <c r="O26" s="195" t="s">
        <v>1862</v>
      </c>
    </row>
    <row r="27" spans="2:15" x14ac:dyDescent="0.2">
      <c r="I27" s="194">
        <f t="shared" si="0"/>
        <v>20</v>
      </c>
      <c r="J27" s="58" t="s">
        <v>384</v>
      </c>
      <c r="K27" s="194" t="str">
        <f>IF(Waste[[#This Row],[Month]]&lt;&gt;"",VLOOKUP(Waste[[#This Row],[Month]], dropdown!$S$4:$T$15, 2, FALSE),"")</f>
        <v>Q2</v>
      </c>
      <c r="L27" s="57" t="s">
        <v>381</v>
      </c>
      <c r="M27" s="29">
        <v>5</v>
      </c>
      <c r="N27" s="57" t="s">
        <v>311</v>
      </c>
      <c r="O27" s="195" t="s">
        <v>1862</v>
      </c>
    </row>
    <row r="28" spans="2:15" x14ac:dyDescent="0.2">
      <c r="I28" s="194">
        <f t="shared" si="0"/>
        <v>21</v>
      </c>
      <c r="J28" s="58" t="s">
        <v>369</v>
      </c>
      <c r="K28" s="194" t="str">
        <f>IF(Waste[[#This Row],[Month]]&lt;&gt;"",VLOOKUP(Waste[[#This Row],[Month]], dropdown!$S$4:$T$15, 2, FALSE),"")</f>
        <v>Q2</v>
      </c>
      <c r="L28" s="57" t="s">
        <v>315</v>
      </c>
      <c r="M28" s="29">
        <v>145.5</v>
      </c>
      <c r="N28" s="57" t="s">
        <v>311</v>
      </c>
      <c r="O28" s="195" t="s">
        <v>1878</v>
      </c>
    </row>
    <row r="29" spans="2:15" x14ac:dyDescent="0.2">
      <c r="I29" s="194">
        <f t="shared" si="0"/>
        <v>22</v>
      </c>
      <c r="J29" s="58" t="s">
        <v>377</v>
      </c>
      <c r="K29" s="194" t="str">
        <f>IF(Waste[[#This Row],[Month]]&lt;&gt;"",VLOOKUP(Waste[[#This Row],[Month]], dropdown!$S$4:$T$15, 2, FALSE),"")</f>
        <v>Q2</v>
      </c>
      <c r="L29" s="57" t="s">
        <v>315</v>
      </c>
      <c r="M29" s="29">
        <v>9.1</v>
      </c>
      <c r="N29" s="57" t="s">
        <v>311</v>
      </c>
      <c r="O29" s="195" t="s">
        <v>1879</v>
      </c>
    </row>
    <row r="30" spans="2:15" x14ac:dyDescent="0.2">
      <c r="I30" s="194">
        <f t="shared" si="0"/>
        <v>23</v>
      </c>
      <c r="J30" s="58" t="s">
        <v>384</v>
      </c>
      <c r="K30" s="194" t="str">
        <f>IF(Waste[[#This Row],[Month]]&lt;&gt;"",VLOOKUP(Waste[[#This Row],[Month]], dropdown!$S$4:$T$15, 2, FALSE),"")</f>
        <v>Q2</v>
      </c>
      <c r="L30" s="57" t="s">
        <v>315</v>
      </c>
      <c r="M30" s="29">
        <v>10.7</v>
      </c>
      <c r="N30" s="57" t="s">
        <v>311</v>
      </c>
      <c r="O30" s="195" t="s">
        <v>1880</v>
      </c>
    </row>
    <row r="31" spans="2:15" x14ac:dyDescent="0.2">
      <c r="I31" s="194">
        <f t="shared" si="0"/>
        <v>24</v>
      </c>
      <c r="J31" s="58" t="s">
        <v>388</v>
      </c>
      <c r="K31" s="194" t="str">
        <f>IF(Waste[[#This Row],[Month]]&lt;&gt;"",VLOOKUP(Waste[[#This Row],[Month]], dropdown!$S$4:$T$15, 2, FALSE),"")</f>
        <v>Q3</v>
      </c>
      <c r="L31" s="57" t="s">
        <v>316</v>
      </c>
      <c r="M31" s="29">
        <v>12</v>
      </c>
      <c r="N31" s="57" t="s">
        <v>311</v>
      </c>
      <c r="O31" s="195" t="s">
        <v>2017</v>
      </c>
    </row>
    <row r="32" spans="2:15" x14ac:dyDescent="0.2">
      <c r="I32" s="194">
        <f t="shared" si="0"/>
        <v>25</v>
      </c>
      <c r="J32" s="58" t="s">
        <v>40</v>
      </c>
      <c r="K32" s="194" t="str">
        <f>IF(Waste[[#This Row],[Month]]&lt;&gt;"",VLOOKUP(Waste[[#This Row],[Month]], dropdown!$S$4:$T$15, 2, FALSE),"")</f>
        <v>Q3</v>
      </c>
      <c r="L32" s="57" t="s">
        <v>316</v>
      </c>
      <c r="M32" s="29">
        <v>8</v>
      </c>
      <c r="N32" s="57" t="s">
        <v>311</v>
      </c>
      <c r="O32" s="195" t="s">
        <v>2017</v>
      </c>
    </row>
    <row r="33" spans="9:15" x14ac:dyDescent="0.2">
      <c r="I33" s="194">
        <f t="shared" si="0"/>
        <v>26</v>
      </c>
      <c r="J33" s="58" t="s">
        <v>395</v>
      </c>
      <c r="K33" s="194" t="str">
        <f>IF(Waste[[#This Row],[Month]]&lt;&gt;"",VLOOKUP(Waste[[#This Row],[Month]], dropdown!$S$4:$T$15, 2, FALSE),"")</f>
        <v>Q3</v>
      </c>
      <c r="L33" s="57" t="s">
        <v>316</v>
      </c>
      <c r="M33" s="29">
        <v>10</v>
      </c>
      <c r="N33" s="57" t="s">
        <v>311</v>
      </c>
      <c r="O33" s="195" t="s">
        <v>2017</v>
      </c>
    </row>
    <row r="34" spans="9:15" x14ac:dyDescent="0.2">
      <c r="I34" s="194">
        <f t="shared" si="0"/>
        <v>27</v>
      </c>
      <c r="J34" s="58" t="s">
        <v>388</v>
      </c>
      <c r="K34" s="194" t="str">
        <f>IF(Waste[[#This Row],[Month]]&lt;&gt;"",VLOOKUP(Waste[[#This Row],[Month]], dropdown!$S$4:$T$15, 2, FALSE),"")</f>
        <v>Q3</v>
      </c>
      <c r="L34" s="57" t="s">
        <v>365</v>
      </c>
      <c r="M34" s="29">
        <v>3120</v>
      </c>
      <c r="N34" s="57" t="s">
        <v>311</v>
      </c>
      <c r="O34" s="195" t="s">
        <v>2018</v>
      </c>
    </row>
    <row r="35" spans="9:15" x14ac:dyDescent="0.2">
      <c r="I35" s="194">
        <f t="shared" si="0"/>
        <v>28</v>
      </c>
      <c r="J35" s="58" t="s">
        <v>40</v>
      </c>
      <c r="K35" s="194" t="str">
        <f>IF(Waste[[#This Row],[Month]]&lt;&gt;"",VLOOKUP(Waste[[#This Row],[Month]], dropdown!$S$4:$T$15, 2, FALSE),"")</f>
        <v>Q3</v>
      </c>
      <c r="L35" s="57" t="s">
        <v>365</v>
      </c>
      <c r="M35" s="29">
        <v>2800</v>
      </c>
      <c r="N35" s="57" t="s">
        <v>311</v>
      </c>
      <c r="O35" s="195" t="s">
        <v>2018</v>
      </c>
    </row>
    <row r="36" spans="9:15" x14ac:dyDescent="0.2">
      <c r="I36" s="194">
        <f t="shared" si="0"/>
        <v>29</v>
      </c>
      <c r="J36" s="58" t="s">
        <v>395</v>
      </c>
      <c r="K36" s="194" t="str">
        <f>IF(Waste[[#This Row],[Month]]&lt;&gt;"",VLOOKUP(Waste[[#This Row],[Month]], dropdown!$S$4:$T$15, 2, FALSE),"")</f>
        <v>Q3</v>
      </c>
      <c r="L36" s="57" t="s">
        <v>365</v>
      </c>
      <c r="M36" s="29">
        <v>3480</v>
      </c>
      <c r="N36" s="57" t="s">
        <v>311</v>
      </c>
      <c r="O36" s="195" t="s">
        <v>2018</v>
      </c>
    </row>
    <row r="37" spans="9:15" x14ac:dyDescent="0.2">
      <c r="I37" s="194">
        <f t="shared" si="0"/>
        <v>30</v>
      </c>
      <c r="J37" s="58" t="s">
        <v>388</v>
      </c>
      <c r="K37" s="194" t="str">
        <f>IF(Waste[[#This Row],[Month]]&lt;&gt;"",VLOOKUP(Waste[[#This Row],[Month]], dropdown!$S$4:$T$15, 2, FALSE),"")</f>
        <v>Q3</v>
      </c>
      <c r="L37" s="57" t="s">
        <v>381</v>
      </c>
      <c r="M37" s="29">
        <v>8</v>
      </c>
      <c r="N37" s="57" t="s">
        <v>311</v>
      </c>
      <c r="O37" s="195" t="s">
        <v>1862</v>
      </c>
    </row>
    <row r="38" spans="9:15" x14ac:dyDescent="0.2">
      <c r="I38" s="194">
        <f t="shared" si="0"/>
        <v>31</v>
      </c>
      <c r="J38" s="58" t="s">
        <v>40</v>
      </c>
      <c r="K38" s="194" t="str">
        <f>IF(Waste[[#This Row],[Month]]&lt;&gt;"",VLOOKUP(Waste[[#This Row],[Month]], dropdown!$S$4:$T$15, 2, FALSE),"")</f>
        <v>Q3</v>
      </c>
      <c r="L38" s="57" t="s">
        <v>381</v>
      </c>
      <c r="M38" s="29">
        <v>9</v>
      </c>
      <c r="N38" s="57" t="s">
        <v>311</v>
      </c>
      <c r="O38" s="195" t="s">
        <v>1862</v>
      </c>
    </row>
    <row r="39" spans="9:15" x14ac:dyDescent="0.2">
      <c r="I39" s="194">
        <f t="shared" si="0"/>
        <v>32</v>
      </c>
      <c r="J39" s="58" t="s">
        <v>395</v>
      </c>
      <c r="K39" s="194" t="str">
        <f>IF(Waste[[#This Row],[Month]]&lt;&gt;"",VLOOKUP(Waste[[#This Row],[Month]], dropdown!$S$4:$T$15, 2, FALSE),"")</f>
        <v>Q3</v>
      </c>
      <c r="L39" s="57" t="s">
        <v>381</v>
      </c>
      <c r="M39" s="29">
        <v>8</v>
      </c>
      <c r="N39" s="57" t="s">
        <v>311</v>
      </c>
      <c r="O39" s="195" t="s">
        <v>1862</v>
      </c>
    </row>
    <row r="40" spans="9:15" x14ac:dyDescent="0.2">
      <c r="I40" s="194">
        <f t="shared" si="0"/>
        <v>33</v>
      </c>
      <c r="J40" s="58" t="s">
        <v>388</v>
      </c>
      <c r="K40" s="194" t="str">
        <f>IF(Waste[[#This Row],[Month]]&lt;&gt;"",VLOOKUP(Waste[[#This Row],[Month]], dropdown!$S$4:$T$15, 2, FALSE),"")</f>
        <v>Q3</v>
      </c>
      <c r="L40" s="57" t="s">
        <v>315</v>
      </c>
      <c r="M40" s="29">
        <v>0</v>
      </c>
      <c r="N40" s="57" t="s">
        <v>311</v>
      </c>
      <c r="O40" s="195" t="s">
        <v>1942</v>
      </c>
    </row>
    <row r="41" spans="9:15" x14ac:dyDescent="0.2">
      <c r="I41" s="194">
        <f t="shared" si="0"/>
        <v>34</v>
      </c>
      <c r="J41" s="58" t="s">
        <v>40</v>
      </c>
      <c r="K41" s="194" t="str">
        <f>IF(Waste[[#This Row],[Month]]&lt;&gt;"",VLOOKUP(Waste[[#This Row],[Month]], dropdown!$S$4:$T$15, 2, FALSE),"")</f>
        <v>Q3</v>
      </c>
      <c r="L41" s="57" t="s">
        <v>315</v>
      </c>
      <c r="M41" s="29">
        <v>1.9</v>
      </c>
      <c r="N41" s="57" t="s">
        <v>311</v>
      </c>
      <c r="O41" s="195" t="s">
        <v>1892</v>
      </c>
    </row>
    <row r="42" spans="9:15" x14ac:dyDescent="0.2">
      <c r="I42" s="194">
        <f t="shared" si="0"/>
        <v>35</v>
      </c>
      <c r="J42" s="58" t="s">
        <v>395</v>
      </c>
      <c r="K42" s="194" t="str">
        <f>IF(Waste[[#This Row],[Month]]&lt;&gt;"",VLOOKUP(Waste[[#This Row],[Month]], dropdown!$S$4:$T$15, 2, FALSE),"")</f>
        <v>Q3</v>
      </c>
      <c r="L42" s="57" t="s">
        <v>315</v>
      </c>
      <c r="M42" s="29">
        <v>0</v>
      </c>
      <c r="N42" s="57"/>
      <c r="O42" s="195" t="s">
        <v>1942</v>
      </c>
    </row>
    <row r="43" spans="9:15" x14ac:dyDescent="0.2">
      <c r="I43" s="194">
        <f t="shared" si="0"/>
        <v>36</v>
      </c>
      <c r="J43" s="58" t="s">
        <v>398</v>
      </c>
      <c r="K43" s="194" t="str">
        <f>IF(Waste[[#This Row],[Month]]&lt;&gt;"",VLOOKUP(Waste[[#This Row],[Month]], dropdown!$S$4:$T$15, 2, FALSE),"")</f>
        <v>Q4</v>
      </c>
      <c r="L43" s="57" t="s">
        <v>316</v>
      </c>
      <c r="M43" s="29">
        <v>9</v>
      </c>
      <c r="N43" s="57" t="s">
        <v>311</v>
      </c>
      <c r="O43" s="195" t="s">
        <v>2017</v>
      </c>
    </row>
    <row r="44" spans="9:15" x14ac:dyDescent="0.2">
      <c r="I44" s="194">
        <f t="shared" si="0"/>
        <v>37</v>
      </c>
      <c r="J44" s="58" t="s">
        <v>402</v>
      </c>
      <c r="K44" s="194" t="str">
        <f>IF(Waste[[#This Row],[Month]]&lt;&gt;"",VLOOKUP(Waste[[#This Row],[Month]], dropdown!$S$4:$T$15, 2, FALSE),"")</f>
        <v>Q4</v>
      </c>
      <c r="L44" s="57" t="s">
        <v>316</v>
      </c>
      <c r="M44" s="29">
        <v>8</v>
      </c>
      <c r="N44" s="57" t="s">
        <v>311</v>
      </c>
      <c r="O44" s="195" t="s">
        <v>2017</v>
      </c>
    </row>
    <row r="45" spans="9:15" x14ac:dyDescent="0.2">
      <c r="I45" s="194">
        <f t="shared" si="0"/>
        <v>38</v>
      </c>
      <c r="J45" s="58" t="s">
        <v>405</v>
      </c>
      <c r="K45" s="194" t="str">
        <f>IF(Waste[[#This Row],[Month]]&lt;&gt;"",VLOOKUP(Waste[[#This Row],[Month]], dropdown!$S$4:$T$15, 2, FALSE),"")</f>
        <v>Q4</v>
      </c>
      <c r="L45" s="57" t="s">
        <v>316</v>
      </c>
      <c r="M45" s="29">
        <v>8</v>
      </c>
      <c r="N45" s="57" t="s">
        <v>311</v>
      </c>
      <c r="O45" s="195" t="s">
        <v>2017</v>
      </c>
    </row>
    <row r="46" spans="9:15" x14ac:dyDescent="0.2">
      <c r="I46" s="194">
        <f t="shared" si="0"/>
        <v>39</v>
      </c>
      <c r="J46" s="58" t="s">
        <v>398</v>
      </c>
      <c r="K46" s="194" t="str">
        <f>IF(Waste[[#This Row],[Month]]&lt;&gt;"",VLOOKUP(Waste[[#This Row],[Month]], dropdown!$S$4:$T$15, 2, FALSE),"")</f>
        <v>Q4</v>
      </c>
      <c r="L46" s="57" t="s">
        <v>365</v>
      </c>
      <c r="M46" s="29">
        <v>2340</v>
      </c>
      <c r="N46" s="57" t="s">
        <v>311</v>
      </c>
      <c r="O46" s="195" t="s">
        <v>2018</v>
      </c>
    </row>
    <row r="47" spans="9:15" x14ac:dyDescent="0.2">
      <c r="I47" s="194">
        <f t="shared" si="0"/>
        <v>40</v>
      </c>
      <c r="J47" s="58" t="s">
        <v>402</v>
      </c>
      <c r="K47" s="194" t="str">
        <f>IF(Waste[[#This Row],[Month]]&lt;&gt;"",VLOOKUP(Waste[[#This Row],[Month]], dropdown!$S$4:$T$15, 2, FALSE),"")</f>
        <v>Q4</v>
      </c>
      <c r="L47" s="57" t="s">
        <v>365</v>
      </c>
      <c r="M47" s="29">
        <v>1540</v>
      </c>
      <c r="N47" s="57" t="s">
        <v>311</v>
      </c>
      <c r="O47" s="195" t="s">
        <v>2018</v>
      </c>
    </row>
    <row r="48" spans="9:15" x14ac:dyDescent="0.2">
      <c r="I48" s="194">
        <f t="shared" si="0"/>
        <v>41</v>
      </c>
      <c r="J48" s="58" t="s">
        <v>405</v>
      </c>
      <c r="K48" s="194" t="str">
        <f>IF(Waste[[#This Row],[Month]]&lt;&gt;"",VLOOKUP(Waste[[#This Row],[Month]], dropdown!$S$4:$T$15, 2, FALSE),"")</f>
        <v>Q4</v>
      </c>
      <c r="L48" s="57" t="s">
        <v>365</v>
      </c>
      <c r="M48" s="29">
        <v>2780</v>
      </c>
      <c r="N48" s="57" t="s">
        <v>311</v>
      </c>
      <c r="O48" s="195" t="s">
        <v>2018</v>
      </c>
    </row>
    <row r="49" spans="9:15" x14ac:dyDescent="0.2">
      <c r="I49" s="194">
        <f t="shared" si="0"/>
        <v>42</v>
      </c>
      <c r="J49" s="58" t="s">
        <v>398</v>
      </c>
      <c r="K49" s="194" t="str">
        <f>IF(Waste[[#This Row],[Month]]&lt;&gt;"",VLOOKUP(Waste[[#This Row],[Month]], dropdown!$S$4:$T$15, 2, FALSE),"")</f>
        <v>Q4</v>
      </c>
      <c r="L49" s="57" t="s">
        <v>381</v>
      </c>
      <c r="M49" s="29">
        <v>9</v>
      </c>
      <c r="N49" s="57" t="s">
        <v>311</v>
      </c>
      <c r="O49" s="195" t="s">
        <v>1862</v>
      </c>
    </row>
    <row r="50" spans="9:15" x14ac:dyDescent="0.2">
      <c r="I50" s="194">
        <f t="shared" si="0"/>
        <v>43</v>
      </c>
      <c r="J50" s="58" t="s">
        <v>402</v>
      </c>
      <c r="K50" s="194" t="str">
        <f>IF(Waste[[#This Row],[Month]]&lt;&gt;"",VLOOKUP(Waste[[#This Row],[Month]], dropdown!$S$4:$T$15, 2, FALSE),"")</f>
        <v>Q4</v>
      </c>
      <c r="L50" s="57" t="s">
        <v>381</v>
      </c>
      <c r="M50" s="29">
        <v>6</v>
      </c>
      <c r="N50" s="57" t="s">
        <v>311</v>
      </c>
      <c r="O50" s="195" t="s">
        <v>1862</v>
      </c>
    </row>
    <row r="51" spans="9:15" x14ac:dyDescent="0.2">
      <c r="I51" s="194">
        <f t="shared" si="0"/>
        <v>44</v>
      </c>
      <c r="J51" s="58" t="s">
        <v>405</v>
      </c>
      <c r="K51" s="194" t="str">
        <f>IF(Waste[[#This Row],[Month]]&lt;&gt;"",VLOOKUP(Waste[[#This Row],[Month]], dropdown!$S$4:$T$15, 2, FALSE),"")</f>
        <v>Q4</v>
      </c>
      <c r="L51" s="57" t="s">
        <v>381</v>
      </c>
      <c r="M51" s="29">
        <v>5</v>
      </c>
      <c r="N51" s="57" t="s">
        <v>311</v>
      </c>
      <c r="O51" s="195" t="s">
        <v>1862</v>
      </c>
    </row>
    <row r="52" spans="9:15" x14ac:dyDescent="0.2">
      <c r="I52" s="194">
        <f t="shared" si="0"/>
        <v>45</v>
      </c>
      <c r="J52" s="58" t="s">
        <v>398</v>
      </c>
      <c r="K52" s="194" t="str">
        <f>IF(Waste[[#This Row],[Month]]&lt;&gt;"",VLOOKUP(Waste[[#This Row],[Month]], dropdown!$S$4:$T$15, 2, FALSE),"")</f>
        <v>Q4</v>
      </c>
      <c r="L52" s="57" t="s">
        <v>315</v>
      </c>
      <c r="M52" s="29">
        <v>0</v>
      </c>
      <c r="N52" s="57"/>
      <c r="O52" s="195" t="s">
        <v>1942</v>
      </c>
    </row>
    <row r="53" spans="9:15" x14ac:dyDescent="0.2">
      <c r="I53" s="194">
        <f t="shared" si="0"/>
        <v>46</v>
      </c>
      <c r="J53" s="58" t="s">
        <v>402</v>
      </c>
      <c r="K53" s="194" t="str">
        <f>IF(Waste[[#This Row],[Month]]&lt;&gt;"",VLOOKUP(Waste[[#This Row],[Month]], dropdown!$S$4:$T$15, 2, FALSE),"")</f>
        <v>Q4</v>
      </c>
      <c r="L53" s="57" t="s">
        <v>315</v>
      </c>
      <c r="M53" s="29">
        <v>46.6</v>
      </c>
      <c r="N53" s="57" t="s">
        <v>311</v>
      </c>
      <c r="O53" s="195" t="s">
        <v>1949</v>
      </c>
    </row>
    <row r="54" spans="9:15" x14ac:dyDescent="0.2">
      <c r="I54" s="194">
        <f t="shared" si="0"/>
        <v>47</v>
      </c>
      <c r="J54" s="58" t="s">
        <v>405</v>
      </c>
      <c r="K54" s="194" t="str">
        <f>IF(Waste[[#This Row],[Month]]&lt;&gt;"",VLOOKUP(Waste[[#This Row],[Month]], dropdown!$S$4:$T$15, 2, FALSE),"")</f>
        <v>Q4</v>
      </c>
      <c r="L54" s="57" t="s">
        <v>315</v>
      </c>
      <c r="M54" s="29">
        <v>8.9499999999999993</v>
      </c>
      <c r="N54" s="57" t="s">
        <v>311</v>
      </c>
      <c r="O54" s="195" t="s">
        <v>1950</v>
      </c>
    </row>
    <row r="55" spans="9:15" x14ac:dyDescent="0.2">
      <c r="I55" s="194">
        <f t="shared" si="0"/>
        <v>48</v>
      </c>
      <c r="J55" s="58" t="s">
        <v>336</v>
      </c>
      <c r="K55" s="194" t="str">
        <f>IF(Waste[[#This Row],[Month]]&lt;&gt;"",VLOOKUP(Waste[[#This Row],[Month]], dropdown!$S$4:$T$15, 2, FALSE),"")</f>
        <v>Q1</v>
      </c>
      <c r="L55" s="57" t="s">
        <v>137</v>
      </c>
      <c r="M55" s="29">
        <v>23</v>
      </c>
      <c r="N55" s="57" t="s">
        <v>311</v>
      </c>
      <c r="O55" s="195" t="s">
        <v>2003</v>
      </c>
    </row>
    <row r="56" spans="9:15" x14ac:dyDescent="0.2">
      <c r="I56" s="194">
        <f t="shared" si="0"/>
        <v>49</v>
      </c>
      <c r="J56" s="58" t="s">
        <v>87</v>
      </c>
      <c r="K56" s="194" t="str">
        <f>IF(Waste[[#This Row],[Month]]&lt;&gt;"",VLOOKUP(Waste[[#This Row],[Month]], dropdown!$S$4:$T$15, 2, FALSE),"")</f>
        <v>Q1</v>
      </c>
      <c r="L56" s="57" t="s">
        <v>137</v>
      </c>
      <c r="M56" s="29">
        <v>21</v>
      </c>
      <c r="N56" s="57" t="s">
        <v>311</v>
      </c>
      <c r="O56" s="195" t="s">
        <v>2003</v>
      </c>
    </row>
    <row r="57" spans="9:15" x14ac:dyDescent="0.2">
      <c r="I57" s="194">
        <f t="shared" si="0"/>
        <v>50</v>
      </c>
      <c r="J57" s="58" t="s">
        <v>360</v>
      </c>
      <c r="K57" s="194" t="str">
        <f>IF(Waste[[#This Row],[Month]]&lt;&gt;"",VLOOKUP(Waste[[#This Row],[Month]], dropdown!$S$4:$T$15, 2, FALSE),"")</f>
        <v>Q1</v>
      </c>
      <c r="L57" s="57" t="s">
        <v>137</v>
      </c>
      <c r="M57" s="29">
        <v>21</v>
      </c>
      <c r="N57" s="57" t="s">
        <v>311</v>
      </c>
      <c r="O57" s="195" t="s">
        <v>2003</v>
      </c>
    </row>
    <row r="58" spans="9:15" x14ac:dyDescent="0.2">
      <c r="I58" s="194">
        <f t="shared" si="0"/>
        <v>51</v>
      </c>
      <c r="J58" s="58" t="s">
        <v>369</v>
      </c>
      <c r="K58" s="194" t="str">
        <f>IF(Waste[[#This Row],[Month]]&lt;&gt;"",VLOOKUP(Waste[[#This Row],[Month]], dropdown!$S$4:$T$15, 2, FALSE),"")</f>
        <v>Q2</v>
      </c>
      <c r="L58" s="57" t="s">
        <v>137</v>
      </c>
      <c r="M58" s="29">
        <v>22</v>
      </c>
      <c r="N58" s="57" t="s">
        <v>311</v>
      </c>
      <c r="O58" s="195" t="s">
        <v>2003</v>
      </c>
    </row>
    <row r="59" spans="9:15" x14ac:dyDescent="0.2">
      <c r="I59" s="194">
        <f t="shared" si="0"/>
        <v>52</v>
      </c>
      <c r="J59" s="58" t="s">
        <v>377</v>
      </c>
      <c r="K59" s="194" t="str">
        <f>IF(Waste[[#This Row],[Month]]&lt;&gt;"",VLOOKUP(Waste[[#This Row],[Month]], dropdown!$S$4:$T$15, 2, FALSE),"")</f>
        <v>Q2</v>
      </c>
      <c r="L59" s="57" t="s">
        <v>137</v>
      </c>
      <c r="M59" s="29">
        <v>23</v>
      </c>
      <c r="N59" s="57" t="s">
        <v>311</v>
      </c>
      <c r="O59" s="195" t="s">
        <v>2003</v>
      </c>
    </row>
    <row r="60" spans="9:15" x14ac:dyDescent="0.2">
      <c r="I60" s="194">
        <f t="shared" si="0"/>
        <v>53</v>
      </c>
      <c r="J60" s="58" t="s">
        <v>384</v>
      </c>
      <c r="K60" s="194" t="str">
        <f>IF(Waste[[#This Row],[Month]]&lt;&gt;"",VLOOKUP(Waste[[#This Row],[Month]], dropdown!$S$4:$T$15, 2, FALSE),"")</f>
        <v>Q2</v>
      </c>
      <c r="L60" s="57" t="s">
        <v>137</v>
      </c>
      <c r="M60" s="29">
        <v>20</v>
      </c>
      <c r="N60" s="57" t="s">
        <v>311</v>
      </c>
      <c r="O60" s="195" t="s">
        <v>2003</v>
      </c>
    </row>
    <row r="61" spans="9:15" x14ac:dyDescent="0.2">
      <c r="I61" s="194">
        <f t="shared" si="0"/>
        <v>54</v>
      </c>
      <c r="J61" s="58" t="s">
        <v>388</v>
      </c>
      <c r="K61" s="194" t="str">
        <f>IF(Waste[[#This Row],[Month]]&lt;&gt;"",VLOOKUP(Waste[[#This Row],[Month]], dropdown!$S$4:$T$15, 2, FALSE),"")</f>
        <v>Q3</v>
      </c>
      <c r="L61" s="57" t="s">
        <v>137</v>
      </c>
      <c r="M61" s="29">
        <v>23</v>
      </c>
      <c r="N61" s="57" t="s">
        <v>311</v>
      </c>
      <c r="O61" s="195" t="s">
        <v>2003</v>
      </c>
    </row>
    <row r="62" spans="9:15" x14ac:dyDescent="0.2">
      <c r="I62" s="194">
        <f t="shared" si="0"/>
        <v>55</v>
      </c>
      <c r="J62" s="58" t="s">
        <v>40</v>
      </c>
      <c r="K62" s="194" t="str">
        <f>IF(Waste[[#This Row],[Month]]&lt;&gt;"",VLOOKUP(Waste[[#This Row],[Month]], dropdown!$S$4:$T$15, 2, FALSE),"")</f>
        <v>Q3</v>
      </c>
      <c r="L62" s="57" t="s">
        <v>137</v>
      </c>
      <c r="M62" s="29">
        <v>22</v>
      </c>
      <c r="N62" s="57" t="s">
        <v>311</v>
      </c>
      <c r="O62" s="195" t="s">
        <v>2003</v>
      </c>
    </row>
    <row r="63" spans="9:15" x14ac:dyDescent="0.2">
      <c r="I63" s="194">
        <f t="shared" si="0"/>
        <v>56</v>
      </c>
      <c r="J63" s="58" t="s">
        <v>395</v>
      </c>
      <c r="K63" s="194" t="str">
        <f>IF(Waste[[#This Row],[Month]]&lt;&gt;"",VLOOKUP(Waste[[#This Row],[Month]], dropdown!$S$4:$T$15, 2, FALSE),"")</f>
        <v>Q3</v>
      </c>
      <c r="L63" s="57" t="s">
        <v>137</v>
      </c>
      <c r="M63" s="29">
        <v>21</v>
      </c>
      <c r="N63" s="57" t="s">
        <v>311</v>
      </c>
      <c r="O63" s="195" t="s">
        <v>2003</v>
      </c>
    </row>
    <row r="64" spans="9:15" x14ac:dyDescent="0.2">
      <c r="I64" s="194">
        <f t="shared" si="0"/>
        <v>57</v>
      </c>
      <c r="J64" s="58" t="s">
        <v>398</v>
      </c>
      <c r="K64" s="194" t="str">
        <f>IF(Waste[[#This Row],[Month]]&lt;&gt;"",VLOOKUP(Waste[[#This Row],[Month]], dropdown!$S$4:$T$15, 2, FALSE),"")</f>
        <v>Q4</v>
      </c>
      <c r="L64" s="57" t="s">
        <v>137</v>
      </c>
      <c r="M64" s="29">
        <v>23</v>
      </c>
      <c r="N64" s="57" t="s">
        <v>311</v>
      </c>
      <c r="O64" s="195" t="s">
        <v>2003</v>
      </c>
    </row>
    <row r="65" spans="9:15" x14ac:dyDescent="0.2">
      <c r="I65" s="194">
        <f t="shared" si="0"/>
        <v>58</v>
      </c>
      <c r="J65" s="58" t="s">
        <v>402</v>
      </c>
      <c r="K65" s="194" t="str">
        <f>IF(Waste[[#This Row],[Month]]&lt;&gt;"",VLOOKUP(Waste[[#This Row],[Month]], dropdown!$S$4:$T$15, 2, FALSE),"")</f>
        <v>Q4</v>
      </c>
      <c r="L65" s="57" t="s">
        <v>137</v>
      </c>
      <c r="M65" s="29">
        <v>21</v>
      </c>
      <c r="N65" s="57" t="s">
        <v>311</v>
      </c>
      <c r="O65" s="195" t="s">
        <v>2003</v>
      </c>
    </row>
    <row r="66" spans="9:15" x14ac:dyDescent="0.2">
      <c r="I66" s="194">
        <f t="shared" si="0"/>
        <v>59</v>
      </c>
      <c r="J66" s="58" t="s">
        <v>405</v>
      </c>
      <c r="K66" s="194" t="str">
        <f>IF(Waste[[#This Row],[Month]]&lt;&gt;"",VLOOKUP(Waste[[#This Row],[Month]], dropdown!$S$4:$T$15, 2, FALSE),"")</f>
        <v>Q4</v>
      </c>
      <c r="L66" s="57" t="s">
        <v>137</v>
      </c>
      <c r="M66" s="29">
        <v>22</v>
      </c>
      <c r="N66" s="57" t="s">
        <v>311</v>
      </c>
      <c r="O66" s="195" t="s">
        <v>2003</v>
      </c>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176</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Ozamiz Branch</v>
      </c>
      <c r="E6" s="462" t="s">
        <v>282</v>
      </c>
      <c r="F6" s="462"/>
      <c r="G6" s="462"/>
      <c r="H6" s="462"/>
      <c r="I6" s="462"/>
      <c r="J6" s="462"/>
      <c r="K6" s="462"/>
      <c r="L6" s="462"/>
      <c r="M6" s="462"/>
      <c r="N6" s="462"/>
      <c r="O6" s="462"/>
      <c r="P6" s="462"/>
      <c r="Q6" s="462"/>
    </row>
    <row r="7" spans="2:17" ht="20" customHeight="1" x14ac:dyDescent="0.2">
      <c r="B7" s="70" t="s">
        <v>12</v>
      </c>
      <c r="C7" s="59">
        <f>'1. Data Info and Summary'!$D$3</f>
        <v>2024</v>
      </c>
      <c r="E7" s="462"/>
      <c r="F7" s="462"/>
      <c r="G7" s="462"/>
      <c r="H7" s="462"/>
      <c r="I7" s="462"/>
      <c r="J7" s="462"/>
      <c r="K7" s="462"/>
      <c r="L7" s="462"/>
      <c r="M7" s="462"/>
      <c r="N7" s="462"/>
      <c r="O7" s="462"/>
      <c r="P7" s="462"/>
      <c r="Q7" s="462"/>
    </row>
    <row r="8" spans="2:17" ht="20" customHeight="1" x14ac:dyDescent="0.2">
      <c r="B8" s="71"/>
    </row>
    <row r="9" spans="2:17" x14ac:dyDescent="0.2">
      <c r="C9" s="53"/>
      <c r="E9" s="464" t="s">
        <v>283</v>
      </c>
      <c r="F9" s="464"/>
      <c r="G9" s="464"/>
      <c r="H9" s="464"/>
      <c r="I9" s="464"/>
      <c r="J9" s="464"/>
      <c r="L9" s="464" t="s">
        <v>284</v>
      </c>
      <c r="M9" s="464"/>
      <c r="N9" s="464"/>
      <c r="O9" s="464"/>
      <c r="P9" s="464"/>
      <c r="Q9" s="464"/>
    </row>
    <row r="10" spans="2:17" ht="8" customHeight="1" x14ac:dyDescent="0.2">
      <c r="B10" s="71"/>
    </row>
    <row r="11" spans="2:17" x14ac:dyDescent="0.2">
      <c r="E11" s="463" t="s">
        <v>285</v>
      </c>
      <c r="F11" s="463"/>
      <c r="G11" s="463"/>
      <c r="H11" s="463"/>
      <c r="I11" s="463"/>
      <c r="J11" s="463"/>
      <c r="L11" s="463" t="s">
        <v>286</v>
      </c>
      <c r="M11" s="463"/>
      <c r="N11" s="463"/>
      <c r="O11" s="463"/>
      <c r="P11" s="463"/>
      <c r="Q11" s="463"/>
    </row>
    <row r="12" spans="2:17" x14ac:dyDescent="0.2">
      <c r="E12" s="72" t="str">
        <f>'1. Data Info and Summary'!$C17</f>
        <v>Fuel Type</v>
      </c>
      <c r="F12" s="75" t="s">
        <v>287</v>
      </c>
      <c r="G12" s="72" t="s">
        <v>49</v>
      </c>
      <c r="H12" s="77"/>
      <c r="I12" s="75" t="s">
        <v>288</v>
      </c>
      <c r="J12" s="75" t="s">
        <v>289</v>
      </c>
      <c r="L12" s="72" t="str">
        <f>'2.3a Electricity'!$B$11</f>
        <v>Electricity</v>
      </c>
      <c r="M12" s="79" t="s">
        <v>287</v>
      </c>
      <c r="N12" s="72" t="str">
        <f>'2.3a Electricity'!$C$11</f>
        <v>Unit</v>
      </c>
      <c r="O12" s="77"/>
      <c r="P12" s="75" t="s">
        <v>288</v>
      </c>
      <c r="Q12" s="72" t="s">
        <v>289</v>
      </c>
    </row>
    <row r="13" spans="2:17" x14ac:dyDescent="0.2">
      <c r="E13" s="73" t="str">
        <f>'1. Data Info and Summary'!$C18</f>
        <v>Diesel - Standby generator sets</v>
      </c>
      <c r="F13" s="78">
        <f>'1. Data Info and Summary'!$E18</f>
        <v>910.7299999999999</v>
      </c>
      <c r="G13" s="73" t="str">
        <f>'1. Data Info and Summary'!$D18</f>
        <v>Liters</v>
      </c>
      <c r="I13" s="76">
        <f>VLOOKUP($E13,Emission_Factors!$A$1:$G$20,5,FALSE)</f>
        <v>2.68</v>
      </c>
      <c r="J13" s="141">
        <f>F13*I13</f>
        <v>2440.7563999999998</v>
      </c>
      <c r="L13" s="73" t="s">
        <v>153</v>
      </c>
      <c r="M13" s="78">
        <f>SUM('2.3a Electricity'!$D$12:$G$12)</f>
        <v>240660</v>
      </c>
      <c r="N13" s="73" t="str">
        <f>'2.3a Electricity'!$C$12</f>
        <v>Kilowatt-hour</v>
      </c>
      <c r="P13" s="76">
        <f>VLOOKUP($L13,Emission_Factors!$A$1:$G$20,5,FALSE)</f>
        <v>0.56000000000000005</v>
      </c>
      <c r="Q13" s="141">
        <f>M13*P13</f>
        <v>134769.60000000001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290</v>
      </c>
      <c r="F18" s="78"/>
      <c r="G18" s="73"/>
      <c r="I18" s="76"/>
      <c r="J18" s="148">
        <f>SUM(J13:J17)</f>
        <v>2440.7563999999998</v>
      </c>
    </row>
    <row r="20" spans="5:10" x14ac:dyDescent="0.2">
      <c r="E20" s="463" t="s">
        <v>291</v>
      </c>
      <c r="F20" s="463"/>
      <c r="G20" s="463"/>
      <c r="H20" s="463"/>
      <c r="I20" s="463"/>
      <c r="J20" s="463"/>
    </row>
    <row r="21" spans="5:10" x14ac:dyDescent="0.2">
      <c r="E21" s="72" t="str">
        <f>'1. Data Info and Summary'!$C25</f>
        <v>Fuel Type</v>
      </c>
      <c r="F21" s="72" t="s">
        <v>287</v>
      </c>
      <c r="G21" s="72" t="s">
        <v>49</v>
      </c>
      <c r="H21" s="77"/>
      <c r="I21" s="75" t="s">
        <v>288</v>
      </c>
      <c r="J21" s="75" t="s">
        <v>289</v>
      </c>
    </row>
    <row r="22" spans="5:10" x14ac:dyDescent="0.2">
      <c r="E22" s="73" t="str">
        <f>'1. Data Info and Summary'!$C26</f>
        <v>Diesel - Transport vehicles</v>
      </c>
      <c r="F22" s="78">
        <f>'1. Data Info and Summary'!$E26</f>
        <v>2562.2134999999998</v>
      </c>
      <c r="G22" s="73" t="str">
        <f>'1. Data Info and Summary'!$D26</f>
        <v>Liters</v>
      </c>
      <c r="I22" s="76">
        <f>VLOOKUP($E22,Emission_Factors!$A$1:$G$20,5,FALSE)</f>
        <v>2.68</v>
      </c>
      <c r="J22" s="141">
        <f>F22*I22</f>
        <v>6866.73218</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290</v>
      </c>
      <c r="F24" s="78"/>
      <c r="G24" s="73"/>
      <c r="I24" s="76"/>
      <c r="J24" s="148">
        <f>SUM(J22:J23)</f>
        <v>6866.73218</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6.6640625" bestFit="1" customWidth="1"/>
    <col min="7" max="7" width="10" bestFit="1" customWidth="1"/>
    <col min="8" max="8" width="11.33203125" bestFit="1" customWidth="1"/>
  </cols>
  <sheetData>
    <row r="1" spans="1:17" ht="19" x14ac:dyDescent="0.25">
      <c r="A1" s="256" t="s">
        <v>150</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38</v>
      </c>
      <c r="B4" t="s">
        <v>292</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293</v>
      </c>
      <c r="B6" s="200" t="s">
        <v>42</v>
      </c>
      <c r="G6" s="20"/>
      <c r="H6" s="12"/>
      <c r="I6" s="20"/>
      <c r="J6" s="20"/>
      <c r="K6" s="20"/>
      <c r="L6" s="20"/>
      <c r="M6" s="21"/>
      <c r="N6" s="21"/>
      <c r="O6" s="22"/>
      <c r="P6" s="11"/>
      <c r="Q6" s="20"/>
    </row>
    <row r="7" spans="1:17" outlineLevel="1" x14ac:dyDescent="0.2">
      <c r="A7" s="200" t="s">
        <v>294</v>
      </c>
      <c r="B7" t="s">
        <v>148</v>
      </c>
      <c r="C7" t="s">
        <v>149</v>
      </c>
      <c r="D7" t="s">
        <v>295</v>
      </c>
      <c r="G7" s="20"/>
      <c r="H7" s="12"/>
      <c r="I7" s="20"/>
      <c r="J7" s="20"/>
      <c r="K7" s="20"/>
      <c r="L7" s="20"/>
      <c r="M7" s="21"/>
      <c r="N7" s="21"/>
      <c r="O7" s="22"/>
      <c r="P7" s="11"/>
      <c r="Q7" s="20"/>
    </row>
    <row r="8" spans="1:17" outlineLevel="1" x14ac:dyDescent="0.2">
      <c r="A8" s="19" t="s">
        <v>296</v>
      </c>
      <c r="B8" s="337"/>
      <c r="C8" s="337"/>
      <c r="D8" s="337"/>
      <c r="G8" s="20"/>
      <c r="H8" s="12"/>
      <c r="I8" s="20"/>
      <c r="J8" s="20"/>
      <c r="K8" s="20"/>
      <c r="L8" s="20"/>
      <c r="M8" s="21"/>
      <c r="N8" s="21"/>
      <c r="O8" s="22"/>
      <c r="P8" s="11"/>
      <c r="Q8" s="20"/>
    </row>
    <row r="9" spans="1:17" outlineLevel="1" x14ac:dyDescent="0.2">
      <c r="A9" s="19" t="s">
        <v>36</v>
      </c>
      <c r="B9" s="337"/>
      <c r="C9" s="337">
        <v>100</v>
      </c>
      <c r="D9" s="337">
        <v>100</v>
      </c>
      <c r="G9" s="20"/>
      <c r="H9" s="12"/>
      <c r="I9" s="20"/>
      <c r="J9" s="20"/>
      <c r="K9" s="20"/>
      <c r="L9" s="20"/>
      <c r="M9" s="21"/>
      <c r="N9" s="21"/>
      <c r="O9" s="22"/>
      <c r="P9" s="11"/>
      <c r="Q9" s="20"/>
    </row>
    <row r="10" spans="1:17" outlineLevel="1" x14ac:dyDescent="0.2">
      <c r="A10" s="19" t="s">
        <v>295</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151</v>
      </c>
      <c r="B25" s="202"/>
      <c r="C25" s="202"/>
      <c r="D25" s="202"/>
      <c r="E25" s="202"/>
      <c r="F25" s="202"/>
    </row>
    <row r="26" spans="1:19" outlineLevel="1" x14ac:dyDescent="0.2"/>
    <row r="27" spans="1:19" outlineLevel="1" x14ac:dyDescent="0.2">
      <c r="A27" s="200" t="s">
        <v>38</v>
      </c>
      <c r="B27" t="s">
        <v>292</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293</v>
      </c>
      <c r="B29" s="200" t="s">
        <v>297</v>
      </c>
      <c r="I29" s="20"/>
      <c r="J29" s="20"/>
      <c r="K29" s="21"/>
      <c r="L29" s="21"/>
      <c r="M29" s="22"/>
      <c r="N29" s="22"/>
      <c r="O29" s="11"/>
      <c r="P29" s="22"/>
      <c r="Q29" s="20"/>
      <c r="R29" s="20"/>
      <c r="S29" s="44"/>
    </row>
    <row r="30" spans="1:19" outlineLevel="1" x14ac:dyDescent="0.2">
      <c r="A30" s="200" t="s">
        <v>294</v>
      </c>
      <c r="C30" t="s">
        <v>44</v>
      </c>
      <c r="D30" t="s">
        <v>149</v>
      </c>
      <c r="E30" t="s">
        <v>147</v>
      </c>
      <c r="F30" t="s">
        <v>148</v>
      </c>
      <c r="G30" t="s">
        <v>295</v>
      </c>
      <c r="I30" s="20"/>
      <c r="J30" s="20"/>
      <c r="K30" s="21"/>
      <c r="L30" s="21"/>
      <c r="M30" s="22"/>
      <c r="N30" s="22"/>
      <c r="O30" s="11"/>
      <c r="P30" s="22"/>
      <c r="Q30" s="20"/>
      <c r="R30" s="20"/>
      <c r="S30" s="44"/>
    </row>
    <row r="31" spans="1:19" outlineLevel="1" x14ac:dyDescent="0.2">
      <c r="A31" s="19" t="s">
        <v>298</v>
      </c>
      <c r="B31" s="337"/>
      <c r="C31" s="337"/>
      <c r="D31" s="337"/>
      <c r="E31" s="337"/>
      <c r="F31" s="337"/>
      <c r="G31" s="337"/>
      <c r="I31" s="20"/>
      <c r="J31" s="20"/>
      <c r="K31" s="21"/>
      <c r="L31" s="21"/>
      <c r="M31" s="22"/>
      <c r="N31" s="22"/>
      <c r="O31" s="11"/>
      <c r="P31" s="22"/>
      <c r="Q31" s="20"/>
      <c r="R31" s="20"/>
      <c r="S31" s="44"/>
    </row>
    <row r="32" spans="1:19" outlineLevel="1" x14ac:dyDescent="0.2">
      <c r="A32" s="203" t="s">
        <v>298</v>
      </c>
      <c r="B32" s="337"/>
      <c r="C32" s="337"/>
      <c r="D32" s="337"/>
      <c r="E32" s="337"/>
      <c r="F32" s="337"/>
      <c r="G32" s="337"/>
      <c r="I32" s="20"/>
      <c r="J32" s="20"/>
      <c r="K32" s="21"/>
      <c r="L32" s="21"/>
      <c r="M32" s="22"/>
      <c r="N32" s="22"/>
      <c r="O32" s="11"/>
      <c r="P32" s="22"/>
      <c r="Q32" s="20"/>
      <c r="R32" s="20"/>
      <c r="S32" s="44"/>
    </row>
    <row r="33" spans="1:19" outlineLevel="1" x14ac:dyDescent="0.2">
      <c r="A33" s="19" t="s">
        <v>341</v>
      </c>
      <c r="B33" s="337"/>
      <c r="C33" s="337">
        <v>237.3673</v>
      </c>
      <c r="D33" s="337">
        <v>222.48740000000001</v>
      </c>
      <c r="E33" s="337">
        <v>194.37669999999997</v>
      </c>
      <c r="F33" s="337">
        <v>256.46209999999996</v>
      </c>
      <c r="G33" s="337">
        <v>910.69349999999986</v>
      </c>
      <c r="I33" s="20"/>
      <c r="J33" s="20"/>
      <c r="K33" s="21"/>
      <c r="L33" s="21"/>
      <c r="M33" s="22"/>
      <c r="N33" s="22"/>
      <c r="O33" s="11"/>
      <c r="P33" s="22"/>
      <c r="Q33" s="20"/>
      <c r="R33" s="20"/>
      <c r="S33" s="44"/>
    </row>
    <row r="34" spans="1:19" outlineLevel="1" x14ac:dyDescent="0.2">
      <c r="A34" s="203" t="s">
        <v>61</v>
      </c>
      <c r="B34" s="337"/>
      <c r="C34" s="337">
        <v>237.3673</v>
      </c>
      <c r="D34" s="337">
        <v>222.48740000000001</v>
      </c>
      <c r="E34" s="337">
        <v>194.37669999999997</v>
      </c>
      <c r="F34" s="337">
        <v>256.46209999999996</v>
      </c>
      <c r="G34" s="337">
        <v>910.69349999999986</v>
      </c>
      <c r="I34" s="20"/>
      <c r="J34" s="20"/>
      <c r="K34" s="21"/>
      <c r="L34" s="21"/>
      <c r="M34" s="22"/>
      <c r="N34" s="22"/>
      <c r="O34" s="11"/>
      <c r="P34" s="22"/>
      <c r="Q34" s="20"/>
      <c r="R34" s="20"/>
      <c r="S34" s="44"/>
    </row>
    <row r="35" spans="1:19" outlineLevel="1" x14ac:dyDescent="0.2">
      <c r="A35" s="19" t="s">
        <v>379</v>
      </c>
      <c r="B35" s="337"/>
      <c r="C35" s="337">
        <v>455.13</v>
      </c>
      <c r="D35" s="337">
        <v>410.20000000000005</v>
      </c>
      <c r="E35" s="337">
        <v>314.90999999999997</v>
      </c>
      <c r="F35" s="337">
        <v>471.28</v>
      </c>
      <c r="G35" s="337">
        <v>1651.52</v>
      </c>
      <c r="I35" s="20"/>
      <c r="J35" s="20"/>
      <c r="K35" s="21"/>
      <c r="L35" s="21"/>
      <c r="M35" s="22"/>
      <c r="N35" s="22"/>
      <c r="O35" s="11"/>
      <c r="P35" s="22"/>
      <c r="Q35" s="20"/>
      <c r="R35" s="20"/>
      <c r="S35" s="44"/>
    </row>
    <row r="36" spans="1:19" outlineLevel="1" x14ac:dyDescent="0.2">
      <c r="A36" s="203" t="s">
        <v>61</v>
      </c>
      <c r="B36" s="337"/>
      <c r="C36" s="337">
        <v>455.13</v>
      </c>
      <c r="D36" s="337">
        <v>410.20000000000005</v>
      </c>
      <c r="E36" s="337">
        <v>314.90999999999997</v>
      </c>
      <c r="F36" s="337">
        <v>471.28</v>
      </c>
      <c r="G36" s="337">
        <v>1651.52</v>
      </c>
      <c r="H36" s="12"/>
      <c r="I36" s="20"/>
      <c r="J36" s="20"/>
      <c r="K36" s="21"/>
      <c r="L36" s="21"/>
      <c r="M36" s="22"/>
      <c r="N36" s="22"/>
      <c r="O36" s="11"/>
      <c r="P36" s="22"/>
      <c r="Q36" s="20"/>
      <c r="R36" s="20"/>
      <c r="S36" s="44"/>
    </row>
    <row r="37" spans="1:19" outlineLevel="1" x14ac:dyDescent="0.2">
      <c r="A37" s="19" t="s">
        <v>295</v>
      </c>
      <c r="B37" s="337"/>
      <c r="C37" s="337">
        <v>692.4973</v>
      </c>
      <c r="D37" s="337">
        <v>632.68740000000003</v>
      </c>
      <c r="E37" s="337">
        <v>509.28669999999994</v>
      </c>
      <c r="F37" s="337">
        <v>727.74209999999994</v>
      </c>
      <c r="G37" s="337">
        <v>2562.2134999999998</v>
      </c>
      <c r="H37" s="12"/>
      <c r="I37" s="20"/>
      <c r="J37" s="20"/>
      <c r="K37" s="21"/>
      <c r="L37" s="21"/>
      <c r="M37" s="22"/>
      <c r="N37" s="22"/>
      <c r="O37" s="11"/>
      <c r="P37" s="22"/>
      <c r="Q37" s="20"/>
      <c r="R37" s="20"/>
      <c r="S37" s="44"/>
    </row>
    <row r="38" spans="1:19" outlineLevel="1" x14ac:dyDescent="0.2">
      <c r="H38" s="12"/>
      <c r="I38" s="20"/>
      <c r="J38" s="20"/>
      <c r="K38" s="21"/>
      <c r="L38" s="21"/>
      <c r="M38" s="22"/>
      <c r="N38" s="22"/>
      <c r="O38" s="11"/>
      <c r="P38" s="22"/>
      <c r="Q38" s="20"/>
      <c r="R38" s="20"/>
      <c r="S38" s="44"/>
    </row>
    <row r="39" spans="1:19" outlineLevel="1" x14ac:dyDescent="0.2">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153</v>
      </c>
      <c r="B54" s="202"/>
      <c r="C54" s="202"/>
      <c r="D54" s="202"/>
      <c r="E54" s="202"/>
      <c r="F54" s="202"/>
    </row>
    <row r="55" spans="1:18" outlineLevel="1" x14ac:dyDescent="0.2"/>
    <row r="56" spans="1:18" s="20" customFormat="1" outlineLevel="1" x14ac:dyDescent="0.2">
      <c r="A56" s="200" t="s">
        <v>38</v>
      </c>
      <c r="B56" t="s">
        <v>292</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299</v>
      </c>
      <c r="B58" s="200" t="s">
        <v>297</v>
      </c>
      <c r="H58" s="12"/>
      <c r="I58" s="20"/>
      <c r="J58" s="21"/>
      <c r="K58" s="21"/>
      <c r="L58" s="22"/>
      <c r="M58" s="46"/>
      <c r="N58" s="164"/>
      <c r="O58" s="20"/>
      <c r="P58" s="20"/>
      <c r="Q58" s="48"/>
    </row>
    <row r="59" spans="1:18" outlineLevel="1" x14ac:dyDescent="0.2">
      <c r="A59" s="200" t="s">
        <v>294</v>
      </c>
      <c r="C59" t="s">
        <v>44</v>
      </c>
      <c r="D59" t="s">
        <v>148</v>
      </c>
      <c r="E59" t="s">
        <v>149</v>
      </c>
      <c r="F59" t="s">
        <v>147</v>
      </c>
      <c r="G59" t="s">
        <v>295</v>
      </c>
      <c r="H59" s="12"/>
      <c r="I59" s="20"/>
      <c r="J59" s="21"/>
      <c r="K59" s="21"/>
      <c r="L59" s="22"/>
      <c r="M59" s="46"/>
      <c r="N59" s="164"/>
      <c r="O59" s="20"/>
      <c r="P59" s="20"/>
      <c r="Q59" s="48"/>
    </row>
    <row r="60" spans="1:18" outlineLevel="1" x14ac:dyDescent="0.2">
      <c r="A60" s="19" t="s">
        <v>300</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301</v>
      </c>
      <c r="B61" s="337"/>
      <c r="C61" s="337"/>
      <c r="D61" s="337"/>
      <c r="E61" s="337">
        <v>1700</v>
      </c>
      <c r="F61" s="337"/>
      <c r="G61" s="337">
        <v>1700</v>
      </c>
      <c r="H61" s="12"/>
      <c r="I61" s="20"/>
      <c r="J61" s="21"/>
      <c r="K61" s="21"/>
      <c r="L61" s="22"/>
      <c r="M61" s="46"/>
      <c r="N61" s="164"/>
      <c r="O61" s="20"/>
      <c r="P61" s="20"/>
      <c r="Q61" s="48"/>
    </row>
    <row r="62" spans="1:18" outlineLevel="1" x14ac:dyDescent="0.2">
      <c r="A62" s="19" t="s">
        <v>298</v>
      </c>
      <c r="B62" s="337"/>
      <c r="C62" s="337"/>
      <c r="D62" s="337"/>
      <c r="E62" s="337"/>
      <c r="F62" s="337"/>
      <c r="G62" s="337"/>
      <c r="H62" s="12"/>
      <c r="I62" s="20"/>
      <c r="J62" s="21"/>
      <c r="K62" s="21"/>
      <c r="L62" s="22"/>
      <c r="M62" s="46"/>
      <c r="N62" s="164"/>
      <c r="O62" s="20"/>
      <c r="P62" s="20"/>
      <c r="Q62" s="48"/>
    </row>
    <row r="63" spans="1:18" outlineLevel="1" x14ac:dyDescent="0.2">
      <c r="A63" s="19" t="s">
        <v>302</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295</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303</v>
      </c>
      <c r="B79" s="202"/>
      <c r="C79" s="202"/>
      <c r="D79" s="202"/>
      <c r="E79" s="202"/>
      <c r="F79" s="202"/>
    </row>
    <row r="81" spans="1:17" s="20" customFormat="1" outlineLevel="1" x14ac:dyDescent="0.2">
      <c r="A81" s="200" t="s">
        <v>38</v>
      </c>
      <c r="B81" t="s">
        <v>292</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299</v>
      </c>
      <c r="B83" s="200" t="s">
        <v>297</v>
      </c>
      <c r="C83"/>
      <c r="D83"/>
      <c r="E83"/>
      <c r="F83"/>
      <c r="G83"/>
      <c r="H83" s="12"/>
      <c r="J83" s="21"/>
      <c r="K83" s="21"/>
      <c r="L83" s="22"/>
      <c r="M83" s="46"/>
      <c r="N83" s="164"/>
      <c r="Q83" s="48"/>
    </row>
    <row r="84" spans="1:17" s="20" customFormat="1" outlineLevel="1" x14ac:dyDescent="0.2">
      <c r="A84" s="200" t="s">
        <v>294</v>
      </c>
      <c r="B84"/>
      <c r="C84" t="s">
        <v>44</v>
      </c>
      <c r="D84" t="s">
        <v>148</v>
      </c>
      <c r="E84" t="s">
        <v>149</v>
      </c>
      <c r="F84" t="s">
        <v>147</v>
      </c>
      <c r="G84" t="s">
        <v>295</v>
      </c>
      <c r="H84" s="12"/>
      <c r="J84" s="21"/>
      <c r="K84" s="21"/>
      <c r="L84" s="22"/>
      <c r="M84" s="46"/>
      <c r="N84" s="164"/>
      <c r="Q84" s="48"/>
    </row>
    <row r="85" spans="1:17" s="20" customFormat="1" outlineLevel="1" x14ac:dyDescent="0.2">
      <c r="A85" s="19" t="s">
        <v>300</v>
      </c>
      <c r="B85"/>
      <c r="C85">
        <v>1000</v>
      </c>
      <c r="D85">
        <v>2000</v>
      </c>
      <c r="E85">
        <v>3000</v>
      </c>
      <c r="F85">
        <v>4000</v>
      </c>
      <c r="G85">
        <v>10000</v>
      </c>
      <c r="H85" s="12"/>
      <c r="J85" s="21"/>
      <c r="K85" s="21"/>
      <c r="L85" s="22"/>
      <c r="M85" s="46"/>
      <c r="N85" s="164"/>
      <c r="Q85" s="48"/>
    </row>
    <row r="86" spans="1:17" s="20" customFormat="1" outlineLevel="1" x14ac:dyDescent="0.2">
      <c r="A86" s="19" t="s">
        <v>301</v>
      </c>
      <c r="B86"/>
      <c r="C86"/>
      <c r="D86"/>
      <c r="E86">
        <v>1700</v>
      </c>
      <c r="F86"/>
      <c r="G86">
        <v>1700</v>
      </c>
      <c r="H86" s="12"/>
      <c r="J86" s="21"/>
      <c r="K86" s="21"/>
      <c r="L86" s="22"/>
      <c r="M86" s="46"/>
      <c r="N86" s="164"/>
      <c r="Q86" s="48"/>
    </row>
    <row r="87" spans="1:17" s="20" customFormat="1" outlineLevel="1" x14ac:dyDescent="0.2">
      <c r="A87" s="19" t="s">
        <v>298</v>
      </c>
      <c r="B87"/>
      <c r="C87"/>
      <c r="D87"/>
      <c r="E87"/>
      <c r="F87"/>
      <c r="G87"/>
      <c r="H87" s="12"/>
      <c r="J87" s="21"/>
      <c r="K87" s="21"/>
      <c r="L87" s="22"/>
      <c r="M87" s="46"/>
      <c r="N87" s="164"/>
      <c r="Q87" s="48"/>
    </row>
    <row r="88" spans="1:17" s="20" customFormat="1" outlineLevel="1" x14ac:dyDescent="0.2">
      <c r="A88" s="19" t="s">
        <v>302</v>
      </c>
      <c r="B88"/>
      <c r="C88">
        <v>2000</v>
      </c>
      <c r="D88"/>
      <c r="E88">
        <v>3000</v>
      </c>
      <c r="F88"/>
      <c r="G88">
        <v>5000</v>
      </c>
      <c r="H88" s="12"/>
      <c r="J88" s="21"/>
      <c r="K88" s="21"/>
      <c r="L88" s="22"/>
      <c r="M88" s="46"/>
      <c r="N88" s="164"/>
      <c r="Q88" s="48"/>
    </row>
    <row r="89" spans="1:17" s="20" customFormat="1" outlineLevel="1" x14ac:dyDescent="0.2">
      <c r="A89" s="19" t="s">
        <v>295</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155</v>
      </c>
      <c r="B104" s="202"/>
      <c r="C104" s="202"/>
      <c r="D104" s="202"/>
      <c r="E104" s="202"/>
      <c r="F104" s="202"/>
    </row>
    <row r="105" spans="1:21" outlineLevel="1" x14ac:dyDescent="0.2"/>
    <row r="106" spans="1:21" outlineLevel="1" x14ac:dyDescent="0.2">
      <c r="A106" s="200" t="s">
        <v>38</v>
      </c>
      <c r="B106" t="s">
        <v>292</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304</v>
      </c>
      <c r="B108" s="200" t="s">
        <v>42</v>
      </c>
      <c r="G108" s="20"/>
      <c r="H108" s="12"/>
      <c r="I108" s="21"/>
      <c r="J108" s="21"/>
      <c r="K108" s="21"/>
      <c r="L108" s="21"/>
      <c r="M108" s="22"/>
      <c r="N108" s="20"/>
      <c r="O108" s="20"/>
      <c r="P108" s="44"/>
      <c r="Q108" s="20"/>
      <c r="R108" s="11"/>
      <c r="S108" s="20"/>
      <c r="T108" s="20"/>
      <c r="U108" s="20"/>
    </row>
    <row r="109" spans="1:21" outlineLevel="1" x14ac:dyDescent="0.2">
      <c r="A109" s="200" t="s">
        <v>294</v>
      </c>
      <c r="B109" t="s">
        <v>44</v>
      </c>
      <c r="C109" t="s">
        <v>147</v>
      </c>
      <c r="D109" t="s">
        <v>148</v>
      </c>
      <c r="E109" t="s">
        <v>295</v>
      </c>
      <c r="G109" s="20"/>
      <c r="H109" s="12"/>
      <c r="I109" s="21"/>
      <c r="J109" s="21"/>
      <c r="K109" s="21"/>
      <c r="L109" s="21"/>
      <c r="M109" s="22"/>
      <c r="N109" s="20"/>
      <c r="O109" s="20"/>
      <c r="P109" s="44"/>
      <c r="Q109" s="20"/>
      <c r="R109" s="11"/>
      <c r="S109" s="20"/>
      <c r="T109" s="20"/>
      <c r="U109" s="20"/>
    </row>
    <row r="110" spans="1:21" outlineLevel="1" x14ac:dyDescent="0.2">
      <c r="A110" s="19" t="s">
        <v>302</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122</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301</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305</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122</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306</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305</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298</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307</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295</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38</v>
      </c>
      <c r="B123" t="s">
        <v>292</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308</v>
      </c>
      <c r="B125" s="200" t="s">
        <v>42</v>
      </c>
      <c r="G125" s="20"/>
      <c r="H125" s="12"/>
      <c r="I125" s="21"/>
      <c r="J125" s="21"/>
      <c r="K125" s="21"/>
      <c r="L125" s="21"/>
      <c r="M125" s="22"/>
      <c r="N125" s="20"/>
      <c r="O125" s="20"/>
      <c r="P125" s="44"/>
      <c r="Q125" s="20"/>
      <c r="R125" s="11"/>
      <c r="S125" s="20"/>
      <c r="T125" s="20"/>
      <c r="U125" s="20"/>
    </row>
    <row r="126" spans="1:21" outlineLevel="1" x14ac:dyDescent="0.2">
      <c r="A126" s="200" t="s">
        <v>294</v>
      </c>
      <c r="B126" t="s">
        <v>44</v>
      </c>
      <c r="C126" t="s">
        <v>147</v>
      </c>
      <c r="D126" t="s">
        <v>149</v>
      </c>
      <c r="E126" t="s">
        <v>295</v>
      </c>
      <c r="G126" s="20"/>
      <c r="H126" s="12"/>
      <c r="I126" s="21"/>
      <c r="J126" s="21"/>
      <c r="K126" s="21"/>
      <c r="L126" s="21"/>
      <c r="M126" s="22"/>
      <c r="N126" s="20"/>
      <c r="O126" s="20"/>
      <c r="P126" s="44"/>
      <c r="Q126" s="20"/>
      <c r="R126" s="11"/>
      <c r="S126" s="20"/>
      <c r="T126" s="20"/>
      <c r="U126" s="20"/>
    </row>
    <row r="127" spans="1:21" outlineLevel="1" x14ac:dyDescent="0.2">
      <c r="A127" s="19" t="s">
        <v>302</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131</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301</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131</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309</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306</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131</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309</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295</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156</v>
      </c>
      <c r="B141" s="202"/>
      <c r="C141" s="202"/>
      <c r="D141" s="202"/>
      <c r="E141" s="202"/>
      <c r="F141" s="202"/>
    </row>
    <row r="142" spans="1:21" outlineLevel="1" x14ac:dyDescent="0.2"/>
    <row r="143" spans="1:21" outlineLevel="1" x14ac:dyDescent="0.2">
      <c r="A143" s="200" t="s">
        <v>38</v>
      </c>
      <c r="B143" t="s">
        <v>292</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310</v>
      </c>
      <c r="B145" s="200" t="s">
        <v>297</v>
      </c>
      <c r="M145" s="22"/>
      <c r="N145" s="20"/>
      <c r="O145" s="20"/>
      <c r="P145" s="20"/>
    </row>
    <row r="146" spans="1:16" outlineLevel="1" x14ac:dyDescent="0.2">
      <c r="A146" s="200" t="s">
        <v>294</v>
      </c>
      <c r="B146" t="s">
        <v>44</v>
      </c>
      <c r="C146" t="s">
        <v>147</v>
      </c>
      <c r="D146" t="s">
        <v>148</v>
      </c>
      <c r="E146" t="s">
        <v>149</v>
      </c>
      <c r="F146" t="s">
        <v>295</v>
      </c>
      <c r="M146" s="22"/>
      <c r="N146" s="20"/>
      <c r="O146" s="20"/>
      <c r="P146" s="20"/>
    </row>
    <row r="147" spans="1:16" outlineLevel="1" x14ac:dyDescent="0.2">
      <c r="A147" s="19" t="s">
        <v>311</v>
      </c>
      <c r="B147" s="263"/>
      <c r="C147" s="263">
        <v>700</v>
      </c>
      <c r="D147" s="263">
        <v>1000</v>
      </c>
      <c r="E147" s="263">
        <v>500</v>
      </c>
      <c r="F147" s="263">
        <v>2200</v>
      </c>
      <c r="M147" s="22"/>
      <c r="N147" s="20"/>
      <c r="O147" s="20"/>
      <c r="P147" s="20"/>
    </row>
    <row r="148" spans="1:16" outlineLevel="1" x14ac:dyDescent="0.2">
      <c r="A148" s="203" t="s">
        <v>312</v>
      </c>
      <c r="B148" s="263"/>
      <c r="C148" s="263">
        <v>700</v>
      </c>
      <c r="D148" s="263">
        <v>1000</v>
      </c>
      <c r="E148" s="263">
        <v>500</v>
      </c>
      <c r="F148" s="263">
        <v>2200</v>
      </c>
      <c r="M148" s="22"/>
      <c r="N148" s="20"/>
      <c r="O148" s="20"/>
      <c r="P148" s="20"/>
    </row>
    <row r="149" spans="1:16" outlineLevel="1" x14ac:dyDescent="0.2">
      <c r="A149" s="19" t="s">
        <v>313</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314</v>
      </c>
      <c r="B150" s="263">
        <v>500</v>
      </c>
      <c r="C150" s="263"/>
      <c r="D150" s="263"/>
      <c r="E150" s="263">
        <v>750</v>
      </c>
      <c r="F150" s="263">
        <v>1250</v>
      </c>
      <c r="H150" s="12"/>
      <c r="I150" s="21"/>
      <c r="J150" s="21"/>
      <c r="K150" s="20"/>
      <c r="L150" s="20"/>
      <c r="M150" s="22"/>
      <c r="N150" s="20"/>
      <c r="O150" s="20"/>
      <c r="P150" s="20"/>
    </row>
    <row r="151" spans="1:16" outlineLevel="1" x14ac:dyDescent="0.2">
      <c r="A151" s="203" t="s">
        <v>315</v>
      </c>
      <c r="B151" s="263">
        <v>500</v>
      </c>
      <c r="C151" s="263"/>
      <c r="D151" s="263"/>
      <c r="E151" s="263"/>
      <c r="F151" s="263">
        <v>500</v>
      </c>
      <c r="H151" s="12"/>
      <c r="I151" s="21"/>
      <c r="J151" s="21"/>
      <c r="K151" s="20"/>
      <c r="L151" s="20"/>
      <c r="M151" s="22"/>
      <c r="N151" s="20"/>
      <c r="O151" s="20"/>
      <c r="P151" s="20"/>
    </row>
    <row r="152" spans="1:16" outlineLevel="1" x14ac:dyDescent="0.2">
      <c r="A152" s="203" t="s">
        <v>316</v>
      </c>
      <c r="B152" s="263"/>
      <c r="C152" s="263">
        <v>500</v>
      </c>
      <c r="D152" s="263"/>
      <c r="E152" s="263"/>
      <c r="F152" s="263">
        <v>500</v>
      </c>
      <c r="H152" s="12"/>
      <c r="I152" s="21"/>
      <c r="J152" s="21"/>
      <c r="K152" s="20"/>
      <c r="L152" s="20"/>
      <c r="M152" s="22"/>
      <c r="N152" s="20"/>
      <c r="O152" s="20"/>
      <c r="P152" s="20"/>
    </row>
    <row r="153" spans="1:16" outlineLevel="1" x14ac:dyDescent="0.2">
      <c r="A153" s="19" t="s">
        <v>295</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135</v>
      </c>
      <c r="D3" s="15" t="s">
        <v>317</v>
      </c>
      <c r="E3" s="15" t="s">
        <v>318</v>
      </c>
      <c r="G3" s="265" t="s">
        <v>319</v>
      </c>
      <c r="I3" s="5" t="s">
        <v>320</v>
      </c>
      <c r="K3" s="15" t="s">
        <v>8</v>
      </c>
      <c r="L3" s="15" t="s">
        <v>320</v>
      </c>
      <c r="N3" s="214" t="s">
        <v>321</v>
      </c>
      <c r="P3" s="15" t="s">
        <v>322</v>
      </c>
      <c r="Q3" s="15" t="s">
        <v>49</v>
      </c>
      <c r="S3" s="15" t="s">
        <v>38</v>
      </c>
      <c r="T3" s="15" t="s">
        <v>323</v>
      </c>
      <c r="V3" s="15" t="s">
        <v>166</v>
      </c>
      <c r="X3" s="15" t="s">
        <v>152</v>
      </c>
      <c r="Z3" s="15" t="s">
        <v>324</v>
      </c>
      <c r="AB3" s="15" t="s">
        <v>325</v>
      </c>
      <c r="AE3" s="15" t="s">
        <v>326</v>
      </c>
      <c r="AG3" s="15" t="s">
        <v>129</v>
      </c>
      <c r="AI3" s="15" t="s">
        <v>327</v>
      </c>
      <c r="AK3" s="15" t="s">
        <v>57</v>
      </c>
      <c r="AM3" s="15" t="s">
        <v>328</v>
      </c>
      <c r="AO3" s="15" t="s">
        <v>329</v>
      </c>
      <c r="AQ3" s="15" t="s">
        <v>42</v>
      </c>
    </row>
    <row r="4" spans="2:43" x14ac:dyDescent="0.2">
      <c r="B4" s="16" t="s">
        <v>137</v>
      </c>
      <c r="D4" s="16" t="s">
        <v>311</v>
      </c>
      <c r="E4" s="16" t="s">
        <v>330</v>
      </c>
      <c r="G4" s="16" t="s">
        <v>331</v>
      </c>
      <c r="I4" s="2" t="s">
        <v>332</v>
      </c>
      <c r="K4" s="16" t="s">
        <v>333</v>
      </c>
      <c r="L4" s="16" t="s">
        <v>334</v>
      </c>
      <c r="N4" s="16" t="s">
        <v>335</v>
      </c>
      <c r="P4" s="51" t="s">
        <v>36</v>
      </c>
      <c r="Q4" s="51" t="s">
        <v>51</v>
      </c>
      <c r="S4" s="16" t="s">
        <v>336</v>
      </c>
      <c r="T4" s="16" t="s">
        <v>44</v>
      </c>
      <c r="V4" s="50">
        <v>2019</v>
      </c>
      <c r="X4" s="49" t="s">
        <v>337</v>
      </c>
      <c r="Z4" s="16" t="s">
        <v>338</v>
      </c>
      <c r="AB4" s="16" t="s">
        <v>186</v>
      </c>
      <c r="AE4" s="16" t="s">
        <v>122</v>
      </c>
      <c r="AG4" s="16" t="s">
        <v>339</v>
      </c>
      <c r="AI4" s="16" t="s">
        <v>340</v>
      </c>
      <c r="AK4" s="16" t="s">
        <v>341</v>
      </c>
      <c r="AM4" s="16" t="s">
        <v>192</v>
      </c>
      <c r="AO4" s="16" t="s">
        <v>342</v>
      </c>
      <c r="AQ4" s="16" t="s">
        <v>44</v>
      </c>
    </row>
    <row r="5" spans="2:43" x14ac:dyDescent="0.2">
      <c r="B5" s="16" t="s">
        <v>316</v>
      </c>
      <c r="D5" s="16" t="s">
        <v>343</v>
      </c>
      <c r="E5" s="16" t="s">
        <v>344</v>
      </c>
      <c r="G5" s="16" t="s">
        <v>345</v>
      </c>
      <c r="I5" s="2" t="s">
        <v>346</v>
      </c>
      <c r="K5" s="16" t="s">
        <v>347</v>
      </c>
      <c r="L5" s="16" t="s">
        <v>348</v>
      </c>
      <c r="N5" s="16"/>
      <c r="P5" s="51" t="s">
        <v>296</v>
      </c>
      <c r="Q5" s="51" t="s">
        <v>51</v>
      </c>
      <c r="S5" s="16" t="s">
        <v>87</v>
      </c>
      <c r="T5" s="16" t="s">
        <v>44</v>
      </c>
      <c r="V5" s="50">
        <v>2020</v>
      </c>
      <c r="X5" s="49" t="s">
        <v>349</v>
      </c>
      <c r="Z5" s="16" t="s">
        <v>3</v>
      </c>
      <c r="AB5" s="16" t="s">
        <v>350</v>
      </c>
      <c r="AE5" s="16" t="s">
        <v>307</v>
      </c>
      <c r="AG5" s="16" t="s">
        <v>131</v>
      </c>
      <c r="AI5" s="16" t="s">
        <v>351</v>
      </c>
      <c r="AK5" s="16" t="s">
        <v>352</v>
      </c>
      <c r="AM5" s="16" t="s">
        <v>195</v>
      </c>
      <c r="AO5" s="16" t="s">
        <v>353</v>
      </c>
      <c r="AQ5" s="16" t="s">
        <v>147</v>
      </c>
    </row>
    <row r="6" spans="2:43" x14ac:dyDescent="0.2">
      <c r="B6" s="16" t="s">
        <v>354</v>
      </c>
      <c r="D6" s="16" t="s">
        <v>355</v>
      </c>
      <c r="E6" s="16" t="s">
        <v>344</v>
      </c>
      <c r="G6" s="16" t="s">
        <v>356</v>
      </c>
      <c r="K6" s="16" t="s">
        <v>357</v>
      </c>
      <c r="L6" s="16" t="s">
        <v>358</v>
      </c>
      <c r="P6" s="51" t="s">
        <v>359</v>
      </c>
      <c r="Q6" s="51" t="s">
        <v>51</v>
      </c>
      <c r="S6" s="16" t="s">
        <v>360</v>
      </c>
      <c r="T6" s="16" t="s">
        <v>44</v>
      </c>
      <c r="V6" s="50">
        <v>2021</v>
      </c>
      <c r="X6" s="49" t="s">
        <v>361</v>
      </c>
      <c r="AB6" s="16" t="s">
        <v>84</v>
      </c>
      <c r="AE6" s="16" t="s">
        <v>305</v>
      </c>
      <c r="AG6" s="16" t="s">
        <v>362</v>
      </c>
      <c r="AK6" s="16" t="s">
        <v>363</v>
      </c>
      <c r="AM6" s="16" t="s">
        <v>198</v>
      </c>
      <c r="AO6" s="16" t="s">
        <v>364</v>
      </c>
      <c r="AQ6" s="16" t="s">
        <v>148</v>
      </c>
    </row>
    <row r="7" spans="2:43" x14ac:dyDescent="0.2">
      <c r="B7" s="16" t="s">
        <v>365</v>
      </c>
      <c r="D7" s="16" t="s">
        <v>345</v>
      </c>
      <c r="G7" s="16" t="s">
        <v>366</v>
      </c>
      <c r="K7" s="16" t="s">
        <v>367</v>
      </c>
      <c r="L7" s="16" t="s">
        <v>348</v>
      </c>
      <c r="P7" s="51" t="s">
        <v>368</v>
      </c>
      <c r="Q7" s="51" t="s">
        <v>281</v>
      </c>
      <c r="S7" s="16" t="s">
        <v>369</v>
      </c>
      <c r="T7" s="16" t="s">
        <v>147</v>
      </c>
      <c r="V7" s="50">
        <v>2022</v>
      </c>
      <c r="X7" s="49" t="s">
        <v>370</v>
      </c>
      <c r="AE7" s="16" t="s">
        <v>371</v>
      </c>
      <c r="AG7" s="16"/>
      <c r="AK7" s="16" t="s">
        <v>372</v>
      </c>
      <c r="AM7" s="16" t="s">
        <v>201</v>
      </c>
      <c r="AO7" s="16" t="s">
        <v>373</v>
      </c>
      <c r="AQ7" s="16" t="s">
        <v>149</v>
      </c>
    </row>
    <row r="8" spans="2:43" x14ac:dyDescent="0.2">
      <c r="B8" s="16" t="s">
        <v>315</v>
      </c>
      <c r="D8" s="16" t="s">
        <v>374</v>
      </c>
      <c r="G8" s="16" t="s">
        <v>362</v>
      </c>
      <c r="K8" s="16" t="s">
        <v>375</v>
      </c>
      <c r="L8" s="16" t="s">
        <v>358</v>
      </c>
      <c r="P8" s="51" t="s">
        <v>376</v>
      </c>
      <c r="Q8" s="51" t="s">
        <v>218</v>
      </c>
      <c r="S8" s="16" t="s">
        <v>377</v>
      </c>
      <c r="T8" s="16" t="s">
        <v>147</v>
      </c>
      <c r="V8" s="50">
        <v>2023</v>
      </c>
      <c r="X8" s="49" t="s">
        <v>378</v>
      </c>
      <c r="AE8" s="16" t="s">
        <v>362</v>
      </c>
      <c r="AK8" s="16" t="s">
        <v>379</v>
      </c>
      <c r="AM8" s="16" t="s">
        <v>362</v>
      </c>
      <c r="AO8" s="16" t="s">
        <v>380</v>
      </c>
    </row>
    <row r="9" spans="2:43" ht="16" x14ac:dyDescent="0.2">
      <c r="B9" s="16" t="s">
        <v>381</v>
      </c>
      <c r="D9" s="16" t="s">
        <v>382</v>
      </c>
      <c r="K9" s="16" t="s">
        <v>383</v>
      </c>
      <c r="L9" s="16" t="s">
        <v>358</v>
      </c>
      <c r="S9" s="16" t="s">
        <v>384</v>
      </c>
      <c r="T9" s="16" t="s">
        <v>147</v>
      </c>
      <c r="V9" s="50">
        <v>2024</v>
      </c>
      <c r="X9" s="49" t="s">
        <v>362</v>
      </c>
      <c r="AK9" s="376" t="s">
        <v>385</v>
      </c>
      <c r="AO9" s="16" t="s">
        <v>386</v>
      </c>
    </row>
    <row r="10" spans="2:43" ht="16" x14ac:dyDescent="0.2">
      <c r="D10" s="16" t="s">
        <v>362</v>
      </c>
      <c r="K10" s="16" t="s">
        <v>387</v>
      </c>
      <c r="L10" s="16" t="s">
        <v>348</v>
      </c>
      <c r="S10" s="16" t="s">
        <v>388</v>
      </c>
      <c r="T10" s="16" t="s">
        <v>148</v>
      </c>
      <c r="V10" s="50">
        <v>2025</v>
      </c>
      <c r="X10"/>
      <c r="AK10" s="376" t="s">
        <v>389</v>
      </c>
      <c r="AO10" s="16" t="s">
        <v>390</v>
      </c>
    </row>
    <row r="11" spans="2:43" ht="16" x14ac:dyDescent="0.2">
      <c r="K11" s="16" t="s">
        <v>391</v>
      </c>
      <c r="L11" s="16" t="s">
        <v>334</v>
      </c>
      <c r="S11" s="16" t="s">
        <v>40</v>
      </c>
      <c r="T11" s="16" t="s">
        <v>148</v>
      </c>
      <c r="V11" s="50">
        <v>2026</v>
      </c>
      <c r="X11"/>
      <c r="AK11" s="376" t="s">
        <v>392</v>
      </c>
      <c r="AO11" s="16" t="s">
        <v>393</v>
      </c>
    </row>
    <row r="12" spans="2:43" ht="16" x14ac:dyDescent="0.2">
      <c r="K12" s="16" t="s">
        <v>394</v>
      </c>
      <c r="L12" s="16" t="s">
        <v>358</v>
      </c>
      <c r="S12" s="16" t="s">
        <v>395</v>
      </c>
      <c r="T12" s="16" t="s">
        <v>148</v>
      </c>
      <c r="V12" s="50">
        <v>2027</v>
      </c>
      <c r="X12"/>
      <c r="AK12" s="376" t="s">
        <v>362</v>
      </c>
      <c r="AO12" s="16" t="s">
        <v>396</v>
      </c>
    </row>
    <row r="13" spans="2:43" x14ac:dyDescent="0.2">
      <c r="K13" s="16" t="s">
        <v>11</v>
      </c>
      <c r="L13" s="16" t="s">
        <v>397</v>
      </c>
      <c r="S13" s="16" t="s">
        <v>398</v>
      </c>
      <c r="T13" s="16" t="s">
        <v>149</v>
      </c>
      <c r="V13" s="50">
        <v>2028</v>
      </c>
      <c r="X13"/>
      <c r="AO13" s="16" t="s">
        <v>399</v>
      </c>
    </row>
    <row r="14" spans="2:43" x14ac:dyDescent="0.2">
      <c r="K14" s="16" t="s">
        <v>400</v>
      </c>
      <c r="L14" s="16" t="s">
        <v>334</v>
      </c>
      <c r="P14" s="15" t="s">
        <v>401</v>
      </c>
      <c r="Q14" s="15" t="s">
        <v>49</v>
      </c>
      <c r="S14" s="16" t="s">
        <v>402</v>
      </c>
      <c r="T14" s="16" t="s">
        <v>149</v>
      </c>
      <c r="V14" s="50">
        <v>2029</v>
      </c>
      <c r="X14"/>
      <c r="AO14" s="16" t="s">
        <v>403</v>
      </c>
    </row>
    <row r="15" spans="2:43" x14ac:dyDescent="0.2">
      <c r="K15" s="16" t="s">
        <v>404</v>
      </c>
      <c r="L15" s="16" t="s">
        <v>348</v>
      </c>
      <c r="P15" s="51" t="s">
        <v>61</v>
      </c>
      <c r="Q15" s="51" t="s">
        <v>51</v>
      </c>
      <c r="S15" s="16" t="s">
        <v>405</v>
      </c>
      <c r="T15" s="16" t="s">
        <v>149</v>
      </c>
      <c r="V15" s="50">
        <v>2030</v>
      </c>
      <c r="X15"/>
      <c r="AO15" s="16" t="s">
        <v>406</v>
      </c>
    </row>
    <row r="16" spans="2:43" x14ac:dyDescent="0.2">
      <c r="K16" s="16" t="s">
        <v>407</v>
      </c>
      <c r="L16" s="16" t="s">
        <v>408</v>
      </c>
      <c r="P16" s="51" t="s">
        <v>409</v>
      </c>
      <c r="Q16" s="51" t="s">
        <v>51</v>
      </c>
      <c r="V16" s="19"/>
      <c r="X16"/>
      <c r="AO16" s="16" t="s">
        <v>410</v>
      </c>
    </row>
    <row r="17" spans="11:41" x14ac:dyDescent="0.2">
      <c r="K17" s="16" t="s">
        <v>411</v>
      </c>
      <c r="L17" s="16" t="s">
        <v>408</v>
      </c>
      <c r="P17" s="51"/>
      <c r="Q17" s="51"/>
      <c r="X17"/>
      <c r="AO17" s="16" t="s">
        <v>412</v>
      </c>
    </row>
    <row r="18" spans="11:41" x14ac:dyDescent="0.2">
      <c r="K18" s="16" t="s">
        <v>413</v>
      </c>
      <c r="L18" s="16" t="s">
        <v>358</v>
      </c>
      <c r="P18" s="163"/>
      <c r="Q18" s="163"/>
      <c r="X18"/>
      <c r="AO18" s="16" t="s">
        <v>414</v>
      </c>
    </row>
    <row r="19" spans="11:41" x14ac:dyDescent="0.2">
      <c r="K19" s="16" t="s">
        <v>415</v>
      </c>
      <c r="L19" s="16" t="s">
        <v>348</v>
      </c>
      <c r="X19"/>
      <c r="AO19" s="16" t="s">
        <v>416</v>
      </c>
    </row>
    <row r="20" spans="11:41" x14ac:dyDescent="0.2">
      <c r="K20" s="16" t="s">
        <v>417</v>
      </c>
      <c r="L20" s="16" t="s">
        <v>358</v>
      </c>
      <c r="X20"/>
      <c r="AO20" s="16" t="s">
        <v>418</v>
      </c>
    </row>
    <row r="21" spans="11:41" x14ac:dyDescent="0.2">
      <c r="K21" s="16" t="s">
        <v>419</v>
      </c>
      <c r="L21" s="16" t="s">
        <v>408</v>
      </c>
      <c r="X21"/>
      <c r="AO21" s="16" t="s">
        <v>420</v>
      </c>
    </row>
    <row r="22" spans="11:41" x14ac:dyDescent="0.2">
      <c r="K22" s="16" t="s">
        <v>421</v>
      </c>
      <c r="L22" s="16" t="s">
        <v>334</v>
      </c>
      <c r="X22"/>
      <c r="AO22" s="16" t="s">
        <v>422</v>
      </c>
    </row>
    <row r="23" spans="11:41" x14ac:dyDescent="0.2">
      <c r="K23" s="16" t="s">
        <v>423</v>
      </c>
      <c r="L23" s="16" t="s">
        <v>348</v>
      </c>
      <c r="X23"/>
      <c r="AO23" s="16" t="s">
        <v>424</v>
      </c>
    </row>
    <row r="24" spans="11:41" x14ac:dyDescent="0.2">
      <c r="K24" s="16" t="s">
        <v>425</v>
      </c>
      <c r="L24" s="16" t="s">
        <v>397</v>
      </c>
      <c r="X24"/>
      <c r="AO24" s="16" t="s">
        <v>426</v>
      </c>
    </row>
    <row r="25" spans="11:41" x14ac:dyDescent="0.2">
      <c r="K25" s="16" t="s">
        <v>427</v>
      </c>
      <c r="L25" s="16" t="s">
        <v>408</v>
      </c>
      <c r="X25"/>
      <c r="AO25" s="16" t="s">
        <v>428</v>
      </c>
    </row>
    <row r="26" spans="11:41" x14ac:dyDescent="0.2">
      <c r="K26" s="16" t="s">
        <v>429</v>
      </c>
      <c r="L26" s="16" t="s">
        <v>334</v>
      </c>
      <c r="X26"/>
      <c r="AO26" s="16" t="s">
        <v>430</v>
      </c>
    </row>
    <row r="27" spans="11:41" x14ac:dyDescent="0.2">
      <c r="K27" s="16" t="s">
        <v>431</v>
      </c>
      <c r="L27" s="16" t="s">
        <v>348</v>
      </c>
      <c r="X27"/>
      <c r="AO27" s="16" t="s">
        <v>432</v>
      </c>
    </row>
    <row r="28" spans="11:41" x14ac:dyDescent="0.2">
      <c r="K28" s="16" t="s">
        <v>433</v>
      </c>
      <c r="L28" s="16" t="s">
        <v>334</v>
      </c>
      <c r="X28"/>
      <c r="AO28" s="16" t="s">
        <v>434</v>
      </c>
    </row>
    <row r="29" spans="11:41" x14ac:dyDescent="0.2">
      <c r="K29" s="16" t="s">
        <v>435</v>
      </c>
      <c r="L29" s="16" t="s">
        <v>358</v>
      </c>
      <c r="X29"/>
      <c r="AO29" s="16" t="s">
        <v>436</v>
      </c>
    </row>
    <row r="30" spans="11:41" x14ac:dyDescent="0.2">
      <c r="X30"/>
      <c r="AO30" s="16" t="s">
        <v>437</v>
      </c>
    </row>
    <row r="31" spans="11:41" x14ac:dyDescent="0.2">
      <c r="X31"/>
      <c r="AO31" s="16" t="s">
        <v>438</v>
      </c>
    </row>
    <row r="32" spans="11:41" x14ac:dyDescent="0.2">
      <c r="X32"/>
      <c r="AO32" s="16" t="s">
        <v>439</v>
      </c>
    </row>
    <row r="33" spans="24:41" x14ac:dyDescent="0.2">
      <c r="X33"/>
      <c r="AO33" s="16" t="s">
        <v>440</v>
      </c>
    </row>
    <row r="34" spans="24:41" x14ac:dyDescent="0.2">
      <c r="X34"/>
      <c r="AO34" s="16" t="s">
        <v>441</v>
      </c>
    </row>
    <row r="35" spans="24:41" x14ac:dyDescent="0.2">
      <c r="X35"/>
      <c r="AO35" s="16" t="s">
        <v>442</v>
      </c>
    </row>
    <row r="36" spans="24:41" x14ac:dyDescent="0.2">
      <c r="X36"/>
      <c r="AO36" s="16" t="s">
        <v>443</v>
      </c>
    </row>
    <row r="37" spans="24:41" x14ac:dyDescent="0.2">
      <c r="X37"/>
      <c r="AO37" s="16" t="s">
        <v>444</v>
      </c>
    </row>
    <row r="38" spans="24:41" x14ac:dyDescent="0.2">
      <c r="X38"/>
      <c r="AO38" s="16" t="s">
        <v>445</v>
      </c>
    </row>
    <row r="39" spans="24:41" x14ac:dyDescent="0.2">
      <c r="X39"/>
      <c r="AO39" s="16" t="s">
        <v>446</v>
      </c>
    </row>
    <row r="40" spans="24:41" x14ac:dyDescent="0.2">
      <c r="X40"/>
      <c r="AO40" s="16" t="s">
        <v>447</v>
      </c>
    </row>
    <row r="41" spans="24:41" x14ac:dyDescent="0.2">
      <c r="X41"/>
      <c r="AO41" s="16" t="s">
        <v>448</v>
      </c>
    </row>
    <row r="42" spans="24:41" x14ac:dyDescent="0.2">
      <c r="X42"/>
      <c r="AO42" t="s">
        <v>449</v>
      </c>
    </row>
    <row r="43" spans="24:41" x14ac:dyDescent="0.2">
      <c r="X43"/>
      <c r="AO43" s="16" t="s">
        <v>450</v>
      </c>
    </row>
    <row r="44" spans="24:41" x14ac:dyDescent="0.2">
      <c r="X44"/>
      <c r="AO44" s="16" t="s">
        <v>451</v>
      </c>
    </row>
    <row r="45" spans="24:41" x14ac:dyDescent="0.2">
      <c r="X45"/>
      <c r="AO45" s="16" t="s">
        <v>452</v>
      </c>
    </row>
    <row r="46" spans="24:41" x14ac:dyDescent="0.2">
      <c r="X46"/>
      <c r="AO46" s="16" t="s">
        <v>453</v>
      </c>
    </row>
    <row r="47" spans="24:41" x14ac:dyDescent="0.2">
      <c r="X47"/>
      <c r="AO47" s="16" t="s">
        <v>454</v>
      </c>
    </row>
    <row r="48" spans="24:41" x14ac:dyDescent="0.2">
      <c r="X48"/>
      <c r="AO48" s="16" t="s">
        <v>455</v>
      </c>
    </row>
    <row r="49" spans="24:41" x14ac:dyDescent="0.2">
      <c r="X49"/>
      <c r="AO49" s="16" t="s">
        <v>456</v>
      </c>
    </row>
    <row r="50" spans="24:41" x14ac:dyDescent="0.2">
      <c r="X50"/>
      <c r="AO50" t="s">
        <v>457</v>
      </c>
    </row>
    <row r="51" spans="24:41" x14ac:dyDescent="0.2">
      <c r="X51"/>
      <c r="AO51" s="16" t="s">
        <v>458</v>
      </c>
    </row>
    <row r="52" spans="24:41" x14ac:dyDescent="0.2">
      <c r="X52"/>
      <c r="AO52" s="16" t="s">
        <v>459</v>
      </c>
    </row>
    <row r="53" spans="24:41" x14ac:dyDescent="0.2">
      <c r="X53"/>
      <c r="AO53" s="16" t="s">
        <v>460</v>
      </c>
    </row>
    <row r="54" spans="24:41" x14ac:dyDescent="0.2">
      <c r="X54"/>
      <c r="AO54" s="16" t="s">
        <v>461</v>
      </c>
    </row>
    <row r="55" spans="24:41" x14ac:dyDescent="0.2">
      <c r="X55"/>
      <c r="AO55" s="16" t="s">
        <v>462</v>
      </c>
    </row>
    <row r="56" spans="24:41" x14ac:dyDescent="0.2">
      <c r="X56"/>
      <c r="AO56" s="16" t="s">
        <v>463</v>
      </c>
    </row>
    <row r="57" spans="24:41" x14ac:dyDescent="0.2">
      <c r="X57"/>
      <c r="AO57" s="16" t="s">
        <v>464</v>
      </c>
    </row>
    <row r="58" spans="24:41" x14ac:dyDescent="0.2">
      <c r="AO58" s="16" t="s">
        <v>465</v>
      </c>
    </row>
    <row r="59" spans="24:41" x14ac:dyDescent="0.2">
      <c r="AO59" s="16" t="s">
        <v>466</v>
      </c>
    </row>
    <row r="60" spans="24:41" x14ac:dyDescent="0.2">
      <c r="AO60" s="16" t="s">
        <v>467</v>
      </c>
    </row>
    <row r="61" spans="24:41" x14ac:dyDescent="0.2">
      <c r="AO61" s="16" t="s">
        <v>468</v>
      </c>
    </row>
    <row r="62" spans="24:41" x14ac:dyDescent="0.2">
      <c r="AO62" s="16" t="s">
        <v>469</v>
      </c>
    </row>
    <row r="63" spans="24:41" x14ac:dyDescent="0.2">
      <c r="AO63" s="16" t="s">
        <v>470</v>
      </c>
    </row>
    <row r="64" spans="24:41" x14ac:dyDescent="0.2">
      <c r="AO64" s="16" t="s">
        <v>471</v>
      </c>
    </row>
    <row r="65" spans="41:41" x14ac:dyDescent="0.2">
      <c r="AO65" s="16" t="s">
        <v>472</v>
      </c>
    </row>
    <row r="66" spans="41:41" x14ac:dyDescent="0.2">
      <c r="AO66" s="16" t="s">
        <v>473</v>
      </c>
    </row>
    <row r="67" spans="41:41" x14ac:dyDescent="0.2">
      <c r="AO67" s="16" t="s">
        <v>474</v>
      </c>
    </row>
    <row r="68" spans="41:41" x14ac:dyDescent="0.2">
      <c r="AO68" s="16" t="s">
        <v>475</v>
      </c>
    </row>
    <row r="69" spans="41:41" x14ac:dyDescent="0.2">
      <c r="AO69" s="16" t="s">
        <v>476</v>
      </c>
    </row>
    <row r="70" spans="41:41" x14ac:dyDescent="0.2">
      <c r="AO70" s="16" t="s">
        <v>477</v>
      </c>
    </row>
    <row r="71" spans="41:41" x14ac:dyDescent="0.2">
      <c r="AO71" s="16" t="s">
        <v>478</v>
      </c>
    </row>
    <row r="72" spans="41:41" x14ac:dyDescent="0.2">
      <c r="AO72" s="16" t="s">
        <v>479</v>
      </c>
    </row>
    <row r="73" spans="41:41" x14ac:dyDescent="0.2">
      <c r="AO73" s="16" t="s">
        <v>480</v>
      </c>
    </row>
    <row r="74" spans="41:41" x14ac:dyDescent="0.2">
      <c r="AO74" s="16" t="s">
        <v>481</v>
      </c>
    </row>
    <row r="75" spans="41:41" x14ac:dyDescent="0.2">
      <c r="AO75" s="16" t="s">
        <v>482</v>
      </c>
    </row>
    <row r="76" spans="41:41" x14ac:dyDescent="0.2">
      <c r="AO76" s="16" t="s">
        <v>483</v>
      </c>
    </row>
    <row r="77" spans="41:41" x14ac:dyDescent="0.2">
      <c r="AO77" s="16" t="s">
        <v>484</v>
      </c>
    </row>
    <row r="78" spans="41:41" x14ac:dyDescent="0.2">
      <c r="AO78" s="16" t="s">
        <v>485</v>
      </c>
    </row>
    <row r="79" spans="41:41" x14ac:dyDescent="0.2">
      <c r="AO79" s="16" t="s">
        <v>486</v>
      </c>
    </row>
    <row r="80" spans="41:41" x14ac:dyDescent="0.2">
      <c r="AO80" s="16" t="s">
        <v>487</v>
      </c>
    </row>
    <row r="81" spans="41:41" x14ac:dyDescent="0.2">
      <c r="AO81" s="16" t="s">
        <v>488</v>
      </c>
    </row>
    <row r="82" spans="41:41" x14ac:dyDescent="0.2">
      <c r="AO82" s="16" t="s">
        <v>489</v>
      </c>
    </row>
    <row r="83" spans="41:41" x14ac:dyDescent="0.2">
      <c r="AO83" s="16" t="s">
        <v>490</v>
      </c>
    </row>
    <row r="84" spans="41:41" x14ac:dyDescent="0.2">
      <c r="AO84" s="16" t="s">
        <v>491</v>
      </c>
    </row>
    <row r="85" spans="41:41" x14ac:dyDescent="0.2">
      <c r="AO85" s="16" t="s">
        <v>492</v>
      </c>
    </row>
    <row r="86" spans="41:41" x14ac:dyDescent="0.2">
      <c r="AO86" s="16" t="s">
        <v>493</v>
      </c>
    </row>
    <row r="87" spans="41:41" x14ac:dyDescent="0.2">
      <c r="AO87" s="16" t="s">
        <v>494</v>
      </c>
    </row>
    <row r="88" spans="41:41" x14ac:dyDescent="0.2">
      <c r="AO88" s="16" t="s">
        <v>495</v>
      </c>
    </row>
    <row r="89" spans="41:41" x14ac:dyDescent="0.2">
      <c r="AO89" s="16" t="s">
        <v>496</v>
      </c>
    </row>
    <row r="90" spans="41:41" x14ac:dyDescent="0.2">
      <c r="AO90" s="16" t="s">
        <v>497</v>
      </c>
    </row>
    <row r="91" spans="41:41" x14ac:dyDescent="0.2">
      <c r="AO91" s="16" t="s">
        <v>110</v>
      </c>
    </row>
    <row r="92" spans="41:41" x14ac:dyDescent="0.2">
      <c r="AO92" s="16" t="s">
        <v>498</v>
      </c>
    </row>
    <row r="93" spans="41:41" x14ac:dyDescent="0.2">
      <c r="AO93" s="16" t="s">
        <v>499</v>
      </c>
    </row>
    <row r="94" spans="41:41" x14ac:dyDescent="0.2">
      <c r="AO94" s="16" t="s">
        <v>500</v>
      </c>
    </row>
    <row r="95" spans="41:41" x14ac:dyDescent="0.2">
      <c r="AO95" s="16" t="s">
        <v>501</v>
      </c>
    </row>
    <row r="96" spans="41:41" x14ac:dyDescent="0.2">
      <c r="AO96" s="16" t="s">
        <v>502</v>
      </c>
    </row>
    <row r="97" spans="41:41" x14ac:dyDescent="0.2">
      <c r="AO97" s="16" t="s">
        <v>503</v>
      </c>
    </row>
    <row r="98" spans="41:41" x14ac:dyDescent="0.2">
      <c r="AO98" s="16" t="s">
        <v>504</v>
      </c>
    </row>
    <row r="99" spans="41:41" x14ac:dyDescent="0.2">
      <c r="AO99" s="16" t="s">
        <v>505</v>
      </c>
    </row>
    <row r="100" spans="41:41" x14ac:dyDescent="0.2">
      <c r="AO100" s="16" t="s">
        <v>506</v>
      </c>
    </row>
    <row r="101" spans="41:41" x14ac:dyDescent="0.2">
      <c r="AO101" s="16" t="s">
        <v>507</v>
      </c>
    </row>
    <row r="102" spans="41:41" x14ac:dyDescent="0.2">
      <c r="AO102" s="16" t="s">
        <v>508</v>
      </c>
    </row>
    <row r="103" spans="41:41" x14ac:dyDescent="0.2">
      <c r="AO103" s="16" t="s">
        <v>509</v>
      </c>
    </row>
    <row r="104" spans="41:41" x14ac:dyDescent="0.2">
      <c r="AO104" s="16" t="s">
        <v>510</v>
      </c>
    </row>
    <row r="105" spans="41:41" x14ac:dyDescent="0.2">
      <c r="AO105" s="16" t="s">
        <v>511</v>
      </c>
    </row>
    <row r="106" spans="41:41" x14ac:dyDescent="0.2">
      <c r="AO106" s="16" t="s">
        <v>512</v>
      </c>
    </row>
    <row r="107" spans="41:41" x14ac:dyDescent="0.2">
      <c r="AO107" s="16" t="s">
        <v>513</v>
      </c>
    </row>
    <row r="108" spans="41:41" x14ac:dyDescent="0.2">
      <c r="AO108" s="16" t="s">
        <v>514</v>
      </c>
    </row>
    <row r="109" spans="41:41" x14ac:dyDescent="0.2">
      <c r="AO109" s="16" t="s">
        <v>515</v>
      </c>
    </row>
    <row r="110" spans="41:41" x14ac:dyDescent="0.2">
      <c r="AO110" s="16" t="s">
        <v>516</v>
      </c>
    </row>
    <row r="111" spans="41:41" x14ac:dyDescent="0.2">
      <c r="AO111" s="16" t="s">
        <v>517</v>
      </c>
    </row>
    <row r="112" spans="41:41" x14ac:dyDescent="0.2">
      <c r="AO112" s="16" t="s">
        <v>518</v>
      </c>
    </row>
    <row r="113" spans="41:41" x14ac:dyDescent="0.2">
      <c r="AO113" s="16" t="s">
        <v>519</v>
      </c>
    </row>
    <row r="114" spans="41:41" x14ac:dyDescent="0.2">
      <c r="AO114" s="16" t="s">
        <v>520</v>
      </c>
    </row>
    <row r="115" spans="41:41" x14ac:dyDescent="0.2">
      <c r="AO115" s="16" t="s">
        <v>521</v>
      </c>
    </row>
    <row r="116" spans="41:41" x14ac:dyDescent="0.2">
      <c r="AO116" s="16" t="s">
        <v>522</v>
      </c>
    </row>
    <row r="117" spans="41:41" x14ac:dyDescent="0.2">
      <c r="AO117" s="16" t="s">
        <v>523</v>
      </c>
    </row>
    <row r="118" spans="41:41" x14ac:dyDescent="0.2">
      <c r="AO118" s="16" t="s">
        <v>524</v>
      </c>
    </row>
    <row r="119" spans="41:41" x14ac:dyDescent="0.2">
      <c r="AO119" s="16" t="s">
        <v>525</v>
      </c>
    </row>
    <row r="120" spans="41:41" x14ac:dyDescent="0.2">
      <c r="AO120" s="16" t="s">
        <v>526</v>
      </c>
    </row>
    <row r="121" spans="41:41" x14ac:dyDescent="0.2">
      <c r="AO121" s="16" t="s">
        <v>527</v>
      </c>
    </row>
    <row r="122" spans="41:41" x14ac:dyDescent="0.2">
      <c r="AO122" s="16" t="s">
        <v>528</v>
      </c>
    </row>
    <row r="123" spans="41:41" x14ac:dyDescent="0.2">
      <c r="AO123" s="16" t="s">
        <v>529</v>
      </c>
    </row>
    <row r="124" spans="41:41" x14ac:dyDescent="0.2">
      <c r="AO124" s="16" t="s">
        <v>530</v>
      </c>
    </row>
    <row r="125" spans="41:41" x14ac:dyDescent="0.2">
      <c r="AO125" s="16" t="s">
        <v>531</v>
      </c>
    </row>
    <row r="126" spans="41:41" x14ac:dyDescent="0.2">
      <c r="AO126" s="16" t="s">
        <v>532</v>
      </c>
    </row>
    <row r="127" spans="41:41" x14ac:dyDescent="0.2">
      <c r="AO127" s="16" t="s">
        <v>533</v>
      </c>
    </row>
    <row r="128" spans="41:41" x14ac:dyDescent="0.2">
      <c r="AO128" s="16" t="s">
        <v>534</v>
      </c>
    </row>
    <row r="129" spans="41:41" x14ac:dyDescent="0.2">
      <c r="AO129" s="16" t="s">
        <v>535</v>
      </c>
    </row>
    <row r="130" spans="41:41" x14ac:dyDescent="0.2">
      <c r="AO130" s="16" t="s">
        <v>536</v>
      </c>
    </row>
    <row r="131" spans="41:41" x14ac:dyDescent="0.2">
      <c r="AO131" s="16" t="s">
        <v>537</v>
      </c>
    </row>
    <row r="132" spans="41:41" x14ac:dyDescent="0.2">
      <c r="AO132" s="16" t="s">
        <v>538</v>
      </c>
    </row>
    <row r="133" spans="41:41" x14ac:dyDescent="0.2">
      <c r="AO133" s="16" t="s">
        <v>539</v>
      </c>
    </row>
    <row r="134" spans="41:41" x14ac:dyDescent="0.2">
      <c r="AO134" s="16" t="s">
        <v>540</v>
      </c>
    </row>
    <row r="135" spans="41:41" x14ac:dyDescent="0.2">
      <c r="AO135" s="16" t="s">
        <v>541</v>
      </c>
    </row>
    <row r="136" spans="41:41" x14ac:dyDescent="0.2">
      <c r="AO136" s="16" t="s">
        <v>542</v>
      </c>
    </row>
    <row r="137" spans="41:41" x14ac:dyDescent="0.2">
      <c r="AO137" s="16" t="s">
        <v>543</v>
      </c>
    </row>
    <row r="138" spans="41:41" x14ac:dyDescent="0.2">
      <c r="AO138" s="16" t="s">
        <v>544</v>
      </c>
    </row>
    <row r="139" spans="41:41" x14ac:dyDescent="0.2">
      <c r="AO139" s="16" t="s">
        <v>545</v>
      </c>
    </row>
    <row r="140" spans="41:41" x14ac:dyDescent="0.2">
      <c r="AO140" s="16" t="s">
        <v>546</v>
      </c>
    </row>
    <row r="141" spans="41:41" x14ac:dyDescent="0.2">
      <c r="AO141" s="16" t="s">
        <v>547</v>
      </c>
    </row>
    <row r="142" spans="41:41" x14ac:dyDescent="0.2">
      <c r="AO142" s="16" t="s">
        <v>548</v>
      </c>
    </row>
    <row r="143" spans="41:41" x14ac:dyDescent="0.2">
      <c r="AO143" s="16" t="s">
        <v>549</v>
      </c>
    </row>
    <row r="144" spans="41:41" x14ac:dyDescent="0.2">
      <c r="AO144" s="16" t="s">
        <v>550</v>
      </c>
    </row>
    <row r="145" spans="41:41" x14ac:dyDescent="0.2">
      <c r="AO145" s="16" t="s">
        <v>551</v>
      </c>
    </row>
    <row r="146" spans="41:41" x14ac:dyDescent="0.2">
      <c r="AO146" s="16" t="s">
        <v>552</v>
      </c>
    </row>
    <row r="147" spans="41:41" x14ac:dyDescent="0.2">
      <c r="AO147" s="16" t="s">
        <v>553</v>
      </c>
    </row>
    <row r="148" spans="41:41" x14ac:dyDescent="0.2">
      <c r="AO148" s="16" t="s">
        <v>554</v>
      </c>
    </row>
    <row r="149" spans="41:41" x14ac:dyDescent="0.2">
      <c r="AO149" s="16" t="s">
        <v>555</v>
      </c>
    </row>
    <row r="150" spans="41:41" x14ac:dyDescent="0.2">
      <c r="AO150" s="16" t="s">
        <v>556</v>
      </c>
    </row>
    <row r="151" spans="41:41" x14ac:dyDescent="0.2">
      <c r="AO151" s="16" t="s">
        <v>557</v>
      </c>
    </row>
    <row r="152" spans="41:41" x14ac:dyDescent="0.2">
      <c r="AO152" s="16" t="s">
        <v>558</v>
      </c>
    </row>
    <row r="153" spans="41:41" x14ac:dyDescent="0.2">
      <c r="AO153" s="16" t="s">
        <v>559</v>
      </c>
    </row>
    <row r="154" spans="41:41" x14ac:dyDescent="0.2">
      <c r="AO154" s="16" t="s">
        <v>560</v>
      </c>
    </row>
    <row r="155" spans="41:41" x14ac:dyDescent="0.2">
      <c r="AO155" s="16" t="s">
        <v>561</v>
      </c>
    </row>
    <row r="156" spans="41:41" x14ac:dyDescent="0.2">
      <c r="AO156" s="16" t="s">
        <v>562</v>
      </c>
    </row>
    <row r="157" spans="41:41" x14ac:dyDescent="0.2">
      <c r="AO157" s="16" t="s">
        <v>362</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563</v>
      </c>
      <c r="B1" s="1" t="s">
        <v>190</v>
      </c>
      <c r="C1" s="1" t="s">
        <v>564</v>
      </c>
      <c r="D1" s="1" t="s">
        <v>49</v>
      </c>
      <c r="E1" s="1" t="s">
        <v>565</v>
      </c>
      <c r="F1" s="1" t="s">
        <v>566</v>
      </c>
    </row>
    <row r="2" spans="1:12" x14ac:dyDescent="0.2">
      <c r="A2" t="s">
        <v>36</v>
      </c>
      <c r="B2" t="s">
        <v>567</v>
      </c>
      <c r="C2" t="s">
        <v>568</v>
      </c>
      <c r="D2" t="s">
        <v>569</v>
      </c>
      <c r="E2">
        <v>2.68</v>
      </c>
      <c r="F2" t="s">
        <v>570</v>
      </c>
    </row>
    <row r="3" spans="1:12" x14ac:dyDescent="0.2">
      <c r="A3" t="s">
        <v>359</v>
      </c>
      <c r="B3" t="s">
        <v>567</v>
      </c>
      <c r="C3" t="s">
        <v>571</v>
      </c>
      <c r="D3" t="s">
        <v>569</v>
      </c>
      <c r="E3">
        <v>2.3199999999999998</v>
      </c>
      <c r="F3" t="s">
        <v>570</v>
      </c>
    </row>
    <row r="4" spans="1:12" x14ac:dyDescent="0.2">
      <c r="A4" t="s">
        <v>368</v>
      </c>
      <c r="B4" t="s">
        <v>567</v>
      </c>
      <c r="C4" t="s">
        <v>572</v>
      </c>
      <c r="D4" t="s">
        <v>573</v>
      </c>
      <c r="E4">
        <v>1.51</v>
      </c>
      <c r="F4" t="s">
        <v>570</v>
      </c>
    </row>
    <row r="5" spans="1:12" x14ac:dyDescent="0.2">
      <c r="A5" t="s">
        <v>376</v>
      </c>
      <c r="B5" t="s">
        <v>567</v>
      </c>
      <c r="C5" t="s">
        <v>574</v>
      </c>
      <c r="D5" t="s">
        <v>575</v>
      </c>
      <c r="E5">
        <v>1.9</v>
      </c>
      <c r="F5" t="s">
        <v>570</v>
      </c>
    </row>
    <row r="6" spans="1:12" x14ac:dyDescent="0.2">
      <c r="A6" t="s">
        <v>61</v>
      </c>
      <c r="B6" t="s">
        <v>576</v>
      </c>
      <c r="C6" t="s">
        <v>568</v>
      </c>
      <c r="D6" t="s">
        <v>569</v>
      </c>
      <c r="E6">
        <v>2.68</v>
      </c>
      <c r="F6" t="s">
        <v>570</v>
      </c>
      <c r="L6" s="51"/>
    </row>
    <row r="7" spans="1:12" x14ac:dyDescent="0.2">
      <c r="A7" t="s">
        <v>409</v>
      </c>
      <c r="B7" t="s">
        <v>576</v>
      </c>
      <c r="C7" t="s">
        <v>571</v>
      </c>
      <c r="D7" t="s">
        <v>569</v>
      </c>
      <c r="E7">
        <v>2.3199999999999998</v>
      </c>
      <c r="F7" t="s">
        <v>570</v>
      </c>
      <c r="L7" s="51"/>
    </row>
    <row r="8" spans="1:12" x14ac:dyDescent="0.2">
      <c r="A8" t="s">
        <v>153</v>
      </c>
      <c r="B8" t="s">
        <v>153</v>
      </c>
      <c r="C8" t="s">
        <v>577</v>
      </c>
      <c r="D8" t="s">
        <v>578</v>
      </c>
      <c r="E8">
        <v>0.56000000000000005</v>
      </c>
      <c r="F8" t="s">
        <v>579</v>
      </c>
      <c r="L8" s="51"/>
    </row>
    <row r="9" spans="1:12" x14ac:dyDescent="0.2">
      <c r="B9" t="s">
        <v>580</v>
      </c>
      <c r="C9" t="s">
        <v>581</v>
      </c>
      <c r="D9" t="s">
        <v>573</v>
      </c>
      <c r="E9">
        <v>1430</v>
      </c>
      <c r="F9" t="s">
        <v>582</v>
      </c>
      <c r="L9" s="51"/>
    </row>
    <row r="10" spans="1:12" x14ac:dyDescent="0.2">
      <c r="B10" t="s">
        <v>580</v>
      </c>
      <c r="C10" t="s">
        <v>583</v>
      </c>
      <c r="D10" t="s">
        <v>573</v>
      </c>
      <c r="E10">
        <v>2088</v>
      </c>
      <c r="F10" t="s">
        <v>582</v>
      </c>
      <c r="L10" s="51"/>
    </row>
    <row r="11" spans="1:12" x14ac:dyDescent="0.2">
      <c r="A11" s="51" t="s">
        <v>296</v>
      </c>
      <c r="B11" t="s">
        <v>362</v>
      </c>
      <c r="C11" t="s">
        <v>568</v>
      </c>
      <c r="D11" t="s">
        <v>569</v>
      </c>
      <c r="E11">
        <v>2.68</v>
      </c>
      <c r="F11" t="s">
        <v>570</v>
      </c>
      <c r="L11" s="51"/>
    </row>
    <row r="12" spans="1:12" x14ac:dyDescent="0.2">
      <c r="A12" t="s">
        <v>584</v>
      </c>
      <c r="B12" t="s">
        <v>576</v>
      </c>
      <c r="L12" s="51"/>
    </row>
    <row r="13" spans="1:12" x14ac:dyDescent="0.2">
      <c r="L13" s="51"/>
    </row>
    <row r="15" spans="1:12" ht="16" thickBot="1" x14ac:dyDescent="0.25">
      <c r="A15" s="224" t="s">
        <v>585</v>
      </c>
      <c r="B15" s="225"/>
    </row>
    <row r="16" spans="1:12" ht="16" thickBot="1" x14ac:dyDescent="0.25">
      <c r="A16" s="226" t="s">
        <v>586</v>
      </c>
      <c r="B16" s="227" t="s">
        <v>587</v>
      </c>
    </row>
    <row r="17" spans="1:2" ht="16" thickBot="1" x14ac:dyDescent="0.25">
      <c r="A17" s="228" t="s">
        <v>588</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2464"/>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589</v>
      </c>
      <c r="B1" s="270" t="s">
        <v>590</v>
      </c>
      <c r="C1" s="270" t="s">
        <v>591</v>
      </c>
      <c r="D1" s="270" t="s">
        <v>592</v>
      </c>
      <c r="E1" s="270" t="s">
        <v>593</v>
      </c>
    </row>
    <row r="2" spans="1:5" x14ac:dyDescent="0.2">
      <c r="A2" s="269">
        <v>45870.383900462963</v>
      </c>
      <c r="B2" t="s">
        <v>594</v>
      </c>
      <c r="C2" t="s">
        <v>595</v>
      </c>
      <c r="D2" t="s">
        <v>596</v>
      </c>
    </row>
    <row r="3" spans="1:5" x14ac:dyDescent="0.2">
      <c r="A3" s="269">
        <v>45870.383958333332</v>
      </c>
      <c r="B3" t="s">
        <v>594</v>
      </c>
      <c r="C3" t="s">
        <v>595</v>
      </c>
      <c r="D3" t="s">
        <v>596</v>
      </c>
    </row>
    <row r="4" spans="1:5" x14ac:dyDescent="0.2">
      <c r="A4" s="269">
        <v>45870.38422453704</v>
      </c>
      <c r="B4" t="s">
        <v>594</v>
      </c>
      <c r="C4" t="s">
        <v>595</v>
      </c>
      <c r="D4" t="s">
        <v>597</v>
      </c>
    </row>
    <row r="5" spans="1:5" x14ac:dyDescent="0.2">
      <c r="A5" s="269">
        <v>45870.384328703702</v>
      </c>
      <c r="B5" t="s">
        <v>594</v>
      </c>
      <c r="C5" t="s">
        <v>595</v>
      </c>
      <c r="D5" t="s">
        <v>598</v>
      </c>
      <c r="E5" t="s">
        <v>292</v>
      </c>
    </row>
    <row r="6" spans="1:5" x14ac:dyDescent="0.2">
      <c r="A6" s="269">
        <v>45870.384328703702</v>
      </c>
      <c r="B6" t="s">
        <v>594</v>
      </c>
      <c r="C6" t="s">
        <v>595</v>
      </c>
      <c r="D6" t="s">
        <v>599</v>
      </c>
      <c r="E6" t="s">
        <v>38</v>
      </c>
    </row>
    <row r="7" spans="1:5" x14ac:dyDescent="0.2">
      <c r="A7" s="269">
        <v>45870.385231481479</v>
      </c>
      <c r="B7" t="s">
        <v>594</v>
      </c>
      <c r="C7" t="s">
        <v>595</v>
      </c>
      <c r="D7" t="s">
        <v>600</v>
      </c>
      <c r="E7" t="s">
        <v>303</v>
      </c>
    </row>
    <row r="8" spans="1:5" x14ac:dyDescent="0.2">
      <c r="A8" s="269">
        <v>45870.386203703703</v>
      </c>
      <c r="B8" t="s">
        <v>594</v>
      </c>
      <c r="C8" t="s">
        <v>595</v>
      </c>
      <c r="D8" t="s">
        <v>601</v>
      </c>
      <c r="E8" t="s">
        <v>155</v>
      </c>
    </row>
    <row r="9" spans="1:5" x14ac:dyDescent="0.2">
      <c r="A9" s="269">
        <v>45870.386597222219</v>
      </c>
      <c r="B9" t="s">
        <v>594</v>
      </c>
      <c r="C9" t="s">
        <v>595</v>
      </c>
      <c r="D9" t="s">
        <v>602</v>
      </c>
      <c r="E9" t="s">
        <v>38</v>
      </c>
    </row>
    <row r="10" spans="1:5" x14ac:dyDescent="0.2">
      <c r="A10" s="269">
        <v>45870.387233796297</v>
      </c>
      <c r="B10" t="s">
        <v>594</v>
      </c>
      <c r="C10" t="s">
        <v>595</v>
      </c>
      <c r="D10" t="s">
        <v>603</v>
      </c>
      <c r="E10" t="s">
        <v>155</v>
      </c>
    </row>
    <row r="11" spans="1:5" x14ac:dyDescent="0.2">
      <c r="A11" s="269">
        <v>45870.387638888889</v>
      </c>
      <c r="B11" t="s">
        <v>594</v>
      </c>
      <c r="C11" t="s">
        <v>595</v>
      </c>
      <c r="D11" t="s">
        <v>604</v>
      </c>
      <c r="E11" t="s">
        <v>155</v>
      </c>
    </row>
    <row r="12" spans="1:5" x14ac:dyDescent="0.2">
      <c r="A12" s="269">
        <v>45870.387673611112</v>
      </c>
      <c r="B12" t="s">
        <v>594</v>
      </c>
      <c r="C12" t="s">
        <v>595</v>
      </c>
      <c r="D12" t="s">
        <v>605</v>
      </c>
      <c r="E12" t="s">
        <v>156</v>
      </c>
    </row>
    <row r="13" spans="1:5" x14ac:dyDescent="0.2">
      <c r="A13" s="269">
        <v>45870.388043981482</v>
      </c>
      <c r="B13" t="s">
        <v>594</v>
      </c>
      <c r="C13" t="s">
        <v>595</v>
      </c>
      <c r="D13" t="s">
        <v>606</v>
      </c>
      <c r="E13" t="s">
        <v>38</v>
      </c>
    </row>
    <row r="14" spans="1:5" x14ac:dyDescent="0.2">
      <c r="A14" s="269">
        <v>45870.388379629629</v>
      </c>
      <c r="B14" t="s">
        <v>594</v>
      </c>
      <c r="C14" t="s">
        <v>595</v>
      </c>
      <c r="D14" t="s">
        <v>607</v>
      </c>
    </row>
    <row r="15" spans="1:5" x14ac:dyDescent="0.2">
      <c r="A15" s="269">
        <v>45870.38858796296</v>
      </c>
      <c r="B15" t="s">
        <v>594</v>
      </c>
      <c r="C15" t="s">
        <v>595</v>
      </c>
      <c r="D15" t="s">
        <v>608</v>
      </c>
      <c r="E15" t="s">
        <v>38</v>
      </c>
    </row>
    <row r="16" spans="1:5" x14ac:dyDescent="0.2">
      <c r="A16" s="269">
        <v>45870.392395833333</v>
      </c>
      <c r="B16" t="s">
        <v>594</v>
      </c>
      <c r="C16" t="s">
        <v>609</v>
      </c>
      <c r="D16" t="s">
        <v>610</v>
      </c>
    </row>
    <row r="17" spans="1:5" x14ac:dyDescent="0.2">
      <c r="A17" s="269">
        <v>45870.392430555556</v>
      </c>
      <c r="B17" t="s">
        <v>594</v>
      </c>
      <c r="C17" t="s">
        <v>609</v>
      </c>
      <c r="D17" t="s">
        <v>610</v>
      </c>
    </row>
    <row r="18" spans="1:5" x14ac:dyDescent="0.2">
      <c r="A18" s="269">
        <v>45870.392500000002</v>
      </c>
      <c r="B18" t="s">
        <v>594</v>
      </c>
      <c r="C18" t="s">
        <v>609</v>
      </c>
      <c r="D18" t="s">
        <v>611</v>
      </c>
    </row>
    <row r="19" spans="1:5" x14ac:dyDescent="0.2">
      <c r="A19" s="269">
        <v>45870.392534722225</v>
      </c>
      <c r="B19" t="s">
        <v>594</v>
      </c>
      <c r="C19" t="s">
        <v>609</v>
      </c>
      <c r="D19" t="s">
        <v>610</v>
      </c>
    </row>
    <row r="20" spans="1:5" x14ac:dyDescent="0.2">
      <c r="A20" s="269">
        <v>45870.392604166664</v>
      </c>
      <c r="B20" t="s">
        <v>594</v>
      </c>
      <c r="C20" t="s">
        <v>609</v>
      </c>
      <c r="D20" t="s">
        <v>612</v>
      </c>
    </row>
    <row r="21" spans="1:5" x14ac:dyDescent="0.2">
      <c r="A21" s="269">
        <v>45870.392685185187</v>
      </c>
      <c r="B21" t="s">
        <v>594</v>
      </c>
      <c r="C21" t="s">
        <v>609</v>
      </c>
      <c r="D21" t="s">
        <v>613</v>
      </c>
    </row>
    <row r="22" spans="1:5" x14ac:dyDescent="0.2">
      <c r="A22" s="269">
        <v>45870.39298611111</v>
      </c>
      <c r="B22" t="s">
        <v>594</v>
      </c>
      <c r="C22" t="s">
        <v>609</v>
      </c>
      <c r="D22" t="s">
        <v>614</v>
      </c>
      <c r="E22" t="s">
        <v>26</v>
      </c>
    </row>
    <row r="23" spans="1:5" x14ac:dyDescent="0.2">
      <c r="A23" s="269">
        <v>45870.393136574072</v>
      </c>
      <c r="B23" t="s">
        <v>594</v>
      </c>
      <c r="C23" t="s">
        <v>609</v>
      </c>
      <c r="D23" t="s">
        <v>615</v>
      </c>
    </row>
    <row r="24" spans="1:5" x14ac:dyDescent="0.2">
      <c r="A24" s="269">
        <v>45870.393784722219</v>
      </c>
      <c r="B24" t="s">
        <v>594</v>
      </c>
      <c r="C24" t="s">
        <v>609</v>
      </c>
      <c r="D24" t="s">
        <v>616</v>
      </c>
    </row>
    <row r="25" spans="1:5" x14ac:dyDescent="0.2">
      <c r="A25" s="269">
        <v>45870.393865740742</v>
      </c>
      <c r="B25" t="s">
        <v>594</v>
      </c>
      <c r="C25" t="s">
        <v>609</v>
      </c>
      <c r="D25" t="s">
        <v>617</v>
      </c>
      <c r="E25">
        <v>7</v>
      </c>
    </row>
    <row r="26" spans="1:5" x14ac:dyDescent="0.2">
      <c r="A26" s="269">
        <v>45870.394247685188</v>
      </c>
      <c r="B26" t="s">
        <v>594</v>
      </c>
      <c r="C26" t="s">
        <v>609</v>
      </c>
      <c r="D26" t="s">
        <v>618</v>
      </c>
      <c r="E26" t="s">
        <v>619</v>
      </c>
    </row>
    <row r="27" spans="1:5" x14ac:dyDescent="0.2">
      <c r="A27" s="269">
        <v>45870.39435185185</v>
      </c>
      <c r="B27" t="s">
        <v>594</v>
      </c>
      <c r="C27" t="s">
        <v>609</v>
      </c>
      <c r="D27" t="s">
        <v>620</v>
      </c>
      <c r="E27" t="s">
        <v>621</v>
      </c>
    </row>
    <row r="28" spans="1:5" x14ac:dyDescent="0.2">
      <c r="A28" s="269">
        <v>45870.394814814812</v>
      </c>
      <c r="B28" t="s">
        <v>594</v>
      </c>
      <c r="C28" t="s">
        <v>609</v>
      </c>
      <c r="D28" t="s">
        <v>622</v>
      </c>
    </row>
    <row r="29" spans="1:5" x14ac:dyDescent="0.2">
      <c r="A29" s="269">
        <v>45870.394988425927</v>
      </c>
      <c r="B29" t="s">
        <v>594</v>
      </c>
      <c r="C29" t="s">
        <v>609</v>
      </c>
      <c r="D29" t="s">
        <v>623</v>
      </c>
      <c r="E29" t="s">
        <v>624</v>
      </c>
    </row>
    <row r="30" spans="1:5" x14ac:dyDescent="0.2">
      <c r="A30" s="269">
        <v>45870.39508101852</v>
      </c>
      <c r="B30" t="s">
        <v>594</v>
      </c>
      <c r="C30" t="s">
        <v>609</v>
      </c>
      <c r="D30" t="s">
        <v>625</v>
      </c>
      <c r="E30">
        <v>4</v>
      </c>
    </row>
    <row r="31" spans="1:5" ht="64" x14ac:dyDescent="0.2">
      <c r="A31" s="269">
        <v>45870.395613425928</v>
      </c>
      <c r="B31" t="s">
        <v>594</v>
      </c>
      <c r="C31" t="s">
        <v>609</v>
      </c>
      <c r="D31" t="s">
        <v>626</v>
      </c>
      <c r="E31" s="6" t="s">
        <v>627</v>
      </c>
    </row>
    <row r="32" spans="1:5" ht="64" x14ac:dyDescent="0.2">
      <c r="A32" s="269">
        <v>45870.39565972222</v>
      </c>
      <c r="B32" t="s">
        <v>594</v>
      </c>
      <c r="C32" t="s">
        <v>609</v>
      </c>
      <c r="D32" t="s">
        <v>626</v>
      </c>
      <c r="E32" s="6" t="s">
        <v>627</v>
      </c>
    </row>
    <row r="33" spans="1:5" ht="64" x14ac:dyDescent="0.2">
      <c r="A33" s="269">
        <v>45870.395729166667</v>
      </c>
      <c r="B33" t="s">
        <v>594</v>
      </c>
      <c r="C33" t="s">
        <v>609</v>
      </c>
      <c r="D33" t="s">
        <v>626</v>
      </c>
      <c r="E33" s="6" t="s">
        <v>627</v>
      </c>
    </row>
    <row r="34" spans="1:5" x14ac:dyDescent="0.2">
      <c r="A34" s="269">
        <v>45870.395810185182</v>
      </c>
      <c r="B34" t="s">
        <v>594</v>
      </c>
      <c r="C34" t="s">
        <v>609</v>
      </c>
      <c r="D34" t="s">
        <v>628</v>
      </c>
      <c r="E34" t="s">
        <v>10</v>
      </c>
    </row>
    <row r="35" spans="1:5" x14ac:dyDescent="0.2">
      <c r="A35" s="269">
        <v>45870.395844907405</v>
      </c>
      <c r="B35" t="s">
        <v>594</v>
      </c>
      <c r="C35" t="s">
        <v>609</v>
      </c>
      <c r="D35" t="s">
        <v>629</v>
      </c>
      <c r="E35" t="s">
        <v>36</v>
      </c>
    </row>
    <row r="36" spans="1:5" x14ac:dyDescent="0.2">
      <c r="A36" s="269">
        <v>45870.395914351851</v>
      </c>
      <c r="B36" t="s">
        <v>594</v>
      </c>
      <c r="C36" t="s">
        <v>609</v>
      </c>
      <c r="D36" t="s">
        <v>629</v>
      </c>
      <c r="E36" t="s">
        <v>630</v>
      </c>
    </row>
    <row r="37" spans="1:5" x14ac:dyDescent="0.2">
      <c r="A37" s="269">
        <v>45870.39638888889</v>
      </c>
      <c r="B37" t="s">
        <v>594</v>
      </c>
      <c r="C37" t="s">
        <v>26</v>
      </c>
      <c r="D37" t="s">
        <v>631</v>
      </c>
      <c r="E37" t="s">
        <v>34</v>
      </c>
    </row>
    <row r="38" spans="1:5" x14ac:dyDescent="0.2">
      <c r="A38" s="269">
        <v>45870.429965277777</v>
      </c>
      <c r="B38" t="s">
        <v>594</v>
      </c>
      <c r="C38" t="s">
        <v>632</v>
      </c>
      <c r="D38" t="s">
        <v>633</v>
      </c>
      <c r="E38" t="s">
        <v>378</v>
      </c>
    </row>
    <row r="39" spans="1:5" x14ac:dyDescent="0.2">
      <c r="A39" s="269">
        <v>45870.429988425924</v>
      </c>
      <c r="B39" t="s">
        <v>594</v>
      </c>
      <c r="C39" t="s">
        <v>632</v>
      </c>
      <c r="D39" t="s">
        <v>634</v>
      </c>
    </row>
    <row r="40" spans="1:5" x14ac:dyDescent="0.2">
      <c r="A40" s="269">
        <v>45870.430138888885</v>
      </c>
      <c r="B40" t="s">
        <v>594</v>
      </c>
      <c r="C40" t="s">
        <v>632</v>
      </c>
      <c r="D40" t="s">
        <v>634</v>
      </c>
    </row>
    <row r="41" spans="1:5" x14ac:dyDescent="0.2">
      <c r="A41" s="269">
        <v>45870.430208333331</v>
      </c>
      <c r="B41" t="s">
        <v>594</v>
      </c>
      <c r="C41" t="s">
        <v>632</v>
      </c>
      <c r="D41" t="s">
        <v>634</v>
      </c>
    </row>
    <row r="42" spans="1:5" x14ac:dyDescent="0.2">
      <c r="A42" s="269">
        <v>45870.431111111109</v>
      </c>
      <c r="B42" t="s">
        <v>594</v>
      </c>
      <c r="C42" t="s">
        <v>632</v>
      </c>
      <c r="D42" t="s">
        <v>635</v>
      </c>
    </row>
    <row r="43" spans="1:5" ht="48" x14ac:dyDescent="0.2">
      <c r="A43" s="269">
        <v>45870.431666666664</v>
      </c>
      <c r="B43" t="s">
        <v>594</v>
      </c>
      <c r="C43" t="s">
        <v>609</v>
      </c>
      <c r="D43" t="s">
        <v>626</v>
      </c>
      <c r="E43" s="6" t="s">
        <v>636</v>
      </c>
    </row>
    <row r="44" spans="1:5" x14ac:dyDescent="0.2">
      <c r="A44" s="269">
        <v>45870.432337962964</v>
      </c>
      <c r="B44" t="s">
        <v>594</v>
      </c>
      <c r="C44" t="s">
        <v>26</v>
      </c>
      <c r="D44" t="s">
        <v>637</v>
      </c>
      <c r="E44" t="s">
        <v>335</v>
      </c>
    </row>
    <row r="45" spans="1:5" x14ac:dyDescent="0.2">
      <c r="A45" s="269">
        <v>45870.43240740741</v>
      </c>
      <c r="B45" t="s">
        <v>594</v>
      </c>
      <c r="C45" t="s">
        <v>26</v>
      </c>
      <c r="D45" t="s">
        <v>638</v>
      </c>
      <c r="E45" t="s">
        <v>335</v>
      </c>
    </row>
    <row r="46" spans="1:5" x14ac:dyDescent="0.2">
      <c r="A46" s="269">
        <v>45870.432615740741</v>
      </c>
      <c r="B46" t="s">
        <v>594</v>
      </c>
      <c r="C46" t="s">
        <v>26</v>
      </c>
      <c r="D46" t="s">
        <v>638</v>
      </c>
      <c r="E46" t="s">
        <v>335</v>
      </c>
    </row>
    <row r="47" spans="1:5" x14ac:dyDescent="0.2">
      <c r="A47" s="269">
        <v>45870.432696759257</v>
      </c>
      <c r="B47" t="s">
        <v>594</v>
      </c>
      <c r="C47" t="s">
        <v>609</v>
      </c>
      <c r="D47" t="s">
        <v>626</v>
      </c>
      <c r="E47" t="s">
        <v>21</v>
      </c>
    </row>
    <row r="48" spans="1:5" x14ac:dyDescent="0.2">
      <c r="A48" s="269">
        <v>45870.43277777778</v>
      </c>
      <c r="B48" t="s">
        <v>594</v>
      </c>
      <c r="C48" t="s">
        <v>609</v>
      </c>
      <c r="D48" t="s">
        <v>628</v>
      </c>
      <c r="E48" t="s">
        <v>10</v>
      </c>
    </row>
    <row r="49" spans="1:5" x14ac:dyDescent="0.2">
      <c r="A49" s="269">
        <v>45870.432870370372</v>
      </c>
      <c r="B49" t="s">
        <v>594</v>
      </c>
      <c r="C49" t="s">
        <v>609</v>
      </c>
      <c r="D49" t="s">
        <v>628</v>
      </c>
      <c r="E49" t="s">
        <v>17</v>
      </c>
    </row>
    <row r="50" spans="1:5" x14ac:dyDescent="0.2">
      <c r="A50" s="269">
        <v>45870.432951388888</v>
      </c>
      <c r="B50" t="s">
        <v>594</v>
      </c>
      <c r="C50" t="s">
        <v>609</v>
      </c>
      <c r="D50" t="s">
        <v>629</v>
      </c>
      <c r="E50" t="s">
        <v>23</v>
      </c>
    </row>
    <row r="51" spans="1:5" x14ac:dyDescent="0.2">
      <c r="A51" s="269">
        <v>45870.432974537034</v>
      </c>
      <c r="B51" t="s">
        <v>594</v>
      </c>
      <c r="C51" t="s">
        <v>609</v>
      </c>
      <c r="D51" t="s">
        <v>629</v>
      </c>
      <c r="E51" t="s">
        <v>335</v>
      </c>
    </row>
    <row r="52" spans="1:5" x14ac:dyDescent="0.2">
      <c r="A52" s="269">
        <v>45870.433275462965</v>
      </c>
      <c r="B52" t="s">
        <v>594</v>
      </c>
      <c r="C52" t="s">
        <v>56</v>
      </c>
      <c r="D52" t="s">
        <v>639</v>
      </c>
      <c r="E52" t="s">
        <v>38</v>
      </c>
    </row>
    <row r="53" spans="1:5" x14ac:dyDescent="0.2">
      <c r="A53" s="269">
        <v>45870.433275462965</v>
      </c>
      <c r="B53" t="s">
        <v>594</v>
      </c>
      <c r="C53" t="s">
        <v>595</v>
      </c>
      <c r="D53" t="s">
        <v>640</v>
      </c>
      <c r="E53" t="s">
        <v>38</v>
      </c>
    </row>
    <row r="54" spans="1:5" x14ac:dyDescent="0.2">
      <c r="A54" s="269">
        <v>45870.433275462965</v>
      </c>
      <c r="B54" t="s">
        <v>594</v>
      </c>
      <c r="C54" t="s">
        <v>101</v>
      </c>
      <c r="D54" t="s">
        <v>641</v>
      </c>
      <c r="E54" t="s">
        <v>38</v>
      </c>
    </row>
    <row r="55" spans="1:5" x14ac:dyDescent="0.2">
      <c r="A55" s="269">
        <v>45870.433275462965</v>
      </c>
      <c r="B55" t="s">
        <v>594</v>
      </c>
      <c r="C55" t="s">
        <v>642</v>
      </c>
      <c r="D55" t="s">
        <v>643</v>
      </c>
      <c r="E55" t="s">
        <v>38</v>
      </c>
    </row>
    <row r="56" spans="1:5" x14ac:dyDescent="0.2">
      <c r="A56" s="269">
        <v>45870.433275462965</v>
      </c>
      <c r="B56" t="s">
        <v>594</v>
      </c>
      <c r="C56" t="s">
        <v>595</v>
      </c>
      <c r="D56" t="s">
        <v>644</v>
      </c>
      <c r="E56" t="s">
        <v>38</v>
      </c>
    </row>
    <row r="57" spans="1:5" x14ac:dyDescent="0.2">
      <c r="A57" s="269">
        <v>45870.433275462965</v>
      </c>
      <c r="B57" t="s">
        <v>594</v>
      </c>
      <c r="C57" t="s">
        <v>595</v>
      </c>
      <c r="D57" t="s">
        <v>645</v>
      </c>
      <c r="E57" t="s">
        <v>38</v>
      </c>
    </row>
    <row r="58" spans="1:5" x14ac:dyDescent="0.2">
      <c r="A58" s="269">
        <v>45870.433275462965</v>
      </c>
      <c r="B58" t="s">
        <v>594</v>
      </c>
      <c r="C58" t="s">
        <v>646</v>
      </c>
      <c r="D58" t="s">
        <v>647</v>
      </c>
      <c r="E58" t="s">
        <v>38</v>
      </c>
    </row>
    <row r="59" spans="1:5" x14ac:dyDescent="0.2">
      <c r="A59" s="269">
        <v>45870.433275462965</v>
      </c>
      <c r="B59" t="s">
        <v>594</v>
      </c>
      <c r="C59" t="s">
        <v>595</v>
      </c>
      <c r="D59" t="s">
        <v>648</v>
      </c>
      <c r="E59" t="s">
        <v>38</v>
      </c>
    </row>
    <row r="60" spans="1:5" x14ac:dyDescent="0.2">
      <c r="A60" s="269">
        <v>45870.433275462965</v>
      </c>
      <c r="B60" t="s">
        <v>594</v>
      </c>
      <c r="C60" t="s">
        <v>26</v>
      </c>
      <c r="D60" t="s">
        <v>649</v>
      </c>
      <c r="E60" t="s">
        <v>38</v>
      </c>
    </row>
    <row r="61" spans="1:5" x14ac:dyDescent="0.2">
      <c r="A61" s="269">
        <v>45870.433275462965</v>
      </c>
      <c r="B61" t="s">
        <v>594</v>
      </c>
      <c r="C61" t="s">
        <v>595</v>
      </c>
      <c r="D61" t="s">
        <v>650</v>
      </c>
      <c r="E61" t="s">
        <v>38</v>
      </c>
    </row>
    <row r="62" spans="1:5" x14ac:dyDescent="0.2">
      <c r="A62" s="269">
        <v>45870.433275462965</v>
      </c>
      <c r="B62" t="s">
        <v>594</v>
      </c>
      <c r="C62" t="s">
        <v>651</v>
      </c>
      <c r="D62" t="s">
        <v>652</v>
      </c>
      <c r="E62" t="s">
        <v>38</v>
      </c>
    </row>
    <row r="63" spans="1:5" x14ac:dyDescent="0.2">
      <c r="A63" s="269">
        <v>45870.433275462965</v>
      </c>
      <c r="B63" t="s">
        <v>594</v>
      </c>
      <c r="C63" t="s">
        <v>595</v>
      </c>
      <c r="D63" t="s">
        <v>653</v>
      </c>
      <c r="E63" t="s">
        <v>38</v>
      </c>
    </row>
    <row r="64" spans="1:5" x14ac:dyDescent="0.2">
      <c r="A64" s="269">
        <v>45870.433275462965</v>
      </c>
      <c r="B64" t="s">
        <v>594</v>
      </c>
      <c r="C64" t="s">
        <v>651</v>
      </c>
      <c r="D64" t="s">
        <v>654</v>
      </c>
      <c r="E64" t="s">
        <v>38</v>
      </c>
    </row>
    <row r="65" spans="1:5" x14ac:dyDescent="0.2">
      <c r="A65" s="269">
        <v>45870.433275462965</v>
      </c>
      <c r="B65" t="s">
        <v>594</v>
      </c>
      <c r="C65" t="s">
        <v>595</v>
      </c>
      <c r="D65" t="s">
        <v>655</v>
      </c>
      <c r="E65" t="s">
        <v>38</v>
      </c>
    </row>
    <row r="66" spans="1:5" x14ac:dyDescent="0.2">
      <c r="A66" s="269">
        <v>45870.442314814813</v>
      </c>
      <c r="B66" t="s">
        <v>594</v>
      </c>
      <c r="C66" t="s">
        <v>27</v>
      </c>
      <c r="D66" t="s">
        <v>656</v>
      </c>
    </row>
    <row r="67" spans="1:5" x14ac:dyDescent="0.2">
      <c r="A67" s="269">
        <v>45873.710810185185</v>
      </c>
      <c r="B67" t="s">
        <v>590</v>
      </c>
      <c r="C67" t="s">
        <v>26</v>
      </c>
      <c r="D67" t="s">
        <v>657</v>
      </c>
      <c r="E67" t="s">
        <v>51</v>
      </c>
    </row>
    <row r="68" spans="1:5" x14ac:dyDescent="0.2">
      <c r="A68" s="269">
        <v>45873.7109837963</v>
      </c>
      <c r="B68" t="s">
        <v>590</v>
      </c>
      <c r="C68" t="s">
        <v>26</v>
      </c>
      <c r="D68" t="s">
        <v>658</v>
      </c>
      <c r="E68">
        <v>9</v>
      </c>
    </row>
    <row r="69" spans="1:5" x14ac:dyDescent="0.2">
      <c r="A69" s="269">
        <v>45873.711331018516</v>
      </c>
      <c r="B69" t="s">
        <v>590</v>
      </c>
      <c r="C69" t="s">
        <v>26</v>
      </c>
      <c r="D69" t="s">
        <v>659</v>
      </c>
      <c r="E69">
        <v>1</v>
      </c>
    </row>
    <row r="70" spans="1:5" x14ac:dyDescent="0.2">
      <c r="A70" s="269">
        <v>45873.711342592593</v>
      </c>
      <c r="B70" t="s">
        <v>590</v>
      </c>
      <c r="C70" t="s">
        <v>26</v>
      </c>
      <c r="D70" t="s">
        <v>659</v>
      </c>
      <c r="E70">
        <v>3</v>
      </c>
    </row>
    <row r="71" spans="1:5" x14ac:dyDescent="0.2">
      <c r="A71" s="269">
        <v>45873.711412037039</v>
      </c>
      <c r="B71" t="s">
        <v>590</v>
      </c>
      <c r="C71" t="s">
        <v>26</v>
      </c>
      <c r="D71" t="s">
        <v>660</v>
      </c>
      <c r="E71">
        <v>1</v>
      </c>
    </row>
    <row r="72" spans="1:5" x14ac:dyDescent="0.2">
      <c r="A72" s="269">
        <v>45873.711527777778</v>
      </c>
      <c r="B72" t="s">
        <v>590</v>
      </c>
      <c r="C72" t="s">
        <v>26</v>
      </c>
      <c r="D72" t="s">
        <v>660</v>
      </c>
      <c r="E72">
        <v>2</v>
      </c>
    </row>
    <row r="73" spans="1:5" x14ac:dyDescent="0.2">
      <c r="A73" s="269">
        <v>45873.711608796293</v>
      </c>
      <c r="B73" t="s">
        <v>590</v>
      </c>
      <c r="C73" t="s">
        <v>26</v>
      </c>
      <c r="D73" t="s">
        <v>659</v>
      </c>
      <c r="E73">
        <v>3</v>
      </c>
    </row>
    <row r="74" spans="1:5" x14ac:dyDescent="0.2">
      <c r="A74" s="269">
        <v>45873.711851851855</v>
      </c>
      <c r="B74" t="s">
        <v>590</v>
      </c>
      <c r="C74" t="s">
        <v>26</v>
      </c>
      <c r="D74" t="s">
        <v>661</v>
      </c>
    </row>
    <row r="75" spans="1:5" x14ac:dyDescent="0.2">
      <c r="A75" s="269">
        <v>45873.711944444447</v>
      </c>
      <c r="B75" t="s">
        <v>590</v>
      </c>
      <c r="C75" t="s">
        <v>26</v>
      </c>
      <c r="D75" t="s">
        <v>662</v>
      </c>
      <c r="E75" t="s">
        <v>176</v>
      </c>
    </row>
    <row r="76" spans="1:5" x14ac:dyDescent="0.2">
      <c r="A76" s="269">
        <v>45873.712094907409</v>
      </c>
      <c r="B76" t="s">
        <v>590</v>
      </c>
      <c r="C76" t="s">
        <v>26</v>
      </c>
      <c r="D76" t="s">
        <v>663</v>
      </c>
    </row>
    <row r="77" spans="1:5" x14ac:dyDescent="0.2">
      <c r="A77" s="269">
        <v>45873.712164351855</v>
      </c>
      <c r="B77" t="s">
        <v>590</v>
      </c>
      <c r="C77" t="s">
        <v>26</v>
      </c>
      <c r="D77" t="s">
        <v>664</v>
      </c>
    </row>
    <row r="78" spans="1:5" x14ac:dyDescent="0.2">
      <c r="A78" s="269">
        <v>45873.712268518517</v>
      </c>
      <c r="B78" t="s">
        <v>590</v>
      </c>
      <c r="C78" t="s">
        <v>26</v>
      </c>
      <c r="D78" t="s">
        <v>665</v>
      </c>
      <c r="E78" t="s">
        <v>149</v>
      </c>
    </row>
    <row r="79" spans="1:5" x14ac:dyDescent="0.2">
      <c r="A79" s="269">
        <v>45873.712465277778</v>
      </c>
      <c r="B79" t="s">
        <v>590</v>
      </c>
      <c r="C79" t="s">
        <v>26</v>
      </c>
      <c r="D79" t="s">
        <v>666</v>
      </c>
      <c r="E79" t="s">
        <v>49</v>
      </c>
    </row>
    <row r="80" spans="1:5" x14ac:dyDescent="0.2">
      <c r="A80" s="269">
        <v>45873.712754629632</v>
      </c>
      <c r="B80" t="s">
        <v>590</v>
      </c>
      <c r="C80" t="s">
        <v>26</v>
      </c>
      <c r="D80" t="s">
        <v>667</v>
      </c>
    </row>
    <row r="81" spans="1:5" x14ac:dyDescent="0.2">
      <c r="A81" s="269">
        <v>45873.71366898148</v>
      </c>
      <c r="B81" t="s">
        <v>590</v>
      </c>
      <c r="C81" t="s">
        <v>26</v>
      </c>
      <c r="D81" t="s">
        <v>668</v>
      </c>
    </row>
    <row r="82" spans="1:5" x14ac:dyDescent="0.2">
      <c r="A82" s="269">
        <v>45873.71371527778</v>
      </c>
      <c r="B82" t="s">
        <v>590</v>
      </c>
      <c r="C82" t="s">
        <v>26</v>
      </c>
      <c r="D82" t="s">
        <v>669</v>
      </c>
    </row>
    <row r="83" spans="1:5" x14ac:dyDescent="0.2">
      <c r="A83" s="269">
        <v>45873.713784722226</v>
      </c>
      <c r="B83" t="s">
        <v>590</v>
      </c>
      <c r="C83" t="s">
        <v>26</v>
      </c>
      <c r="D83" t="s">
        <v>670</v>
      </c>
      <c r="E83" t="s">
        <v>671</v>
      </c>
    </row>
    <row r="84" spans="1:5" x14ac:dyDescent="0.2">
      <c r="A84" s="269">
        <v>45873.713784722226</v>
      </c>
      <c r="B84" t="s">
        <v>590</v>
      </c>
      <c r="C84" t="s">
        <v>26</v>
      </c>
      <c r="D84" t="s">
        <v>672</v>
      </c>
      <c r="E84" t="s">
        <v>671</v>
      </c>
    </row>
    <row r="85" spans="1:5" x14ac:dyDescent="0.2">
      <c r="A85" s="269">
        <v>45873.713796296295</v>
      </c>
      <c r="B85" t="s">
        <v>590</v>
      </c>
      <c r="C85" t="s">
        <v>26</v>
      </c>
      <c r="D85" t="s">
        <v>673</v>
      </c>
      <c r="E85" t="s">
        <v>671</v>
      </c>
    </row>
    <row r="86" spans="1:5" x14ac:dyDescent="0.2">
      <c r="A86" s="269">
        <v>45873.713796296295</v>
      </c>
      <c r="B86" t="s">
        <v>590</v>
      </c>
      <c r="C86" t="s">
        <v>26</v>
      </c>
      <c r="D86" t="s">
        <v>674</v>
      </c>
      <c r="E86" t="s">
        <v>671</v>
      </c>
    </row>
    <row r="87" spans="1:5" x14ac:dyDescent="0.2">
      <c r="A87" s="269">
        <v>45873.713796296295</v>
      </c>
      <c r="B87" t="s">
        <v>590</v>
      </c>
      <c r="C87" t="s">
        <v>26</v>
      </c>
      <c r="D87" t="s">
        <v>675</v>
      </c>
      <c r="E87" t="s">
        <v>671</v>
      </c>
    </row>
    <row r="88" spans="1:5" x14ac:dyDescent="0.2">
      <c r="A88" s="269">
        <v>45873.713796296295</v>
      </c>
      <c r="B88" t="s">
        <v>590</v>
      </c>
      <c r="C88" t="s">
        <v>26</v>
      </c>
      <c r="D88" t="s">
        <v>676</v>
      </c>
      <c r="E88" t="s">
        <v>671</v>
      </c>
    </row>
    <row r="89" spans="1:5" x14ac:dyDescent="0.2">
      <c r="A89" s="269">
        <v>45873.713831018518</v>
      </c>
      <c r="B89" t="s">
        <v>590</v>
      </c>
      <c r="C89" t="s">
        <v>26</v>
      </c>
      <c r="D89" t="s">
        <v>677</v>
      </c>
    </row>
    <row r="90" spans="1:5" x14ac:dyDescent="0.2">
      <c r="A90" s="269">
        <v>45873.713900462964</v>
      </c>
      <c r="B90" t="s">
        <v>590</v>
      </c>
      <c r="C90" t="s">
        <v>26</v>
      </c>
      <c r="D90" t="s">
        <v>678</v>
      </c>
    </row>
    <row r="91" spans="1:5" x14ac:dyDescent="0.2">
      <c r="A91" s="269">
        <v>45873.714780092596</v>
      </c>
      <c r="B91" t="s">
        <v>590</v>
      </c>
      <c r="C91" t="s">
        <v>26</v>
      </c>
      <c r="D91" t="s">
        <v>679</v>
      </c>
    </row>
    <row r="92" spans="1:5" x14ac:dyDescent="0.2">
      <c r="A92" s="269">
        <v>45873.714780092596</v>
      </c>
      <c r="B92" t="s">
        <v>590</v>
      </c>
      <c r="C92" t="s">
        <v>26</v>
      </c>
      <c r="D92" t="s">
        <v>680</v>
      </c>
      <c r="E92" t="s">
        <v>32</v>
      </c>
    </row>
    <row r="93" spans="1:5" x14ac:dyDescent="0.2">
      <c r="A93" s="269">
        <v>45873.714837962965</v>
      </c>
      <c r="B93" t="s">
        <v>590</v>
      </c>
      <c r="C93" t="s">
        <v>26</v>
      </c>
      <c r="D93" t="s">
        <v>679</v>
      </c>
      <c r="E93" t="s">
        <v>32</v>
      </c>
    </row>
    <row r="94" spans="1:5" x14ac:dyDescent="0.2">
      <c r="A94" s="269">
        <v>45873.714837962965</v>
      </c>
      <c r="B94" t="s">
        <v>590</v>
      </c>
      <c r="C94" t="s">
        <v>26</v>
      </c>
      <c r="D94" t="s">
        <v>680</v>
      </c>
    </row>
    <row r="95" spans="1:5" x14ac:dyDescent="0.2">
      <c r="A95" s="269">
        <v>45873.714837962965</v>
      </c>
      <c r="B95" t="s">
        <v>590</v>
      </c>
      <c r="C95" t="s">
        <v>26</v>
      </c>
      <c r="D95" t="s">
        <v>680</v>
      </c>
    </row>
    <row r="96" spans="1:5" x14ac:dyDescent="0.2">
      <c r="A96" s="269">
        <v>45873.714872685188</v>
      </c>
      <c r="B96" t="s">
        <v>590</v>
      </c>
      <c r="C96" t="s">
        <v>26</v>
      </c>
      <c r="D96" t="s">
        <v>679</v>
      </c>
    </row>
    <row r="97" spans="1:5" x14ac:dyDescent="0.2">
      <c r="A97" s="269">
        <v>45873.714872685188</v>
      </c>
      <c r="B97" t="s">
        <v>590</v>
      </c>
      <c r="C97" t="s">
        <v>26</v>
      </c>
      <c r="D97" t="s">
        <v>681</v>
      </c>
      <c r="E97" t="s">
        <v>32</v>
      </c>
    </row>
    <row r="98" spans="1:5" x14ac:dyDescent="0.2">
      <c r="A98" s="269">
        <v>45873.715173611112</v>
      </c>
      <c r="B98" t="s">
        <v>590</v>
      </c>
      <c r="C98" t="s">
        <v>26</v>
      </c>
      <c r="D98" t="s">
        <v>682</v>
      </c>
    </row>
    <row r="99" spans="1:5" x14ac:dyDescent="0.2">
      <c r="A99" s="269">
        <v>45873.715173611112</v>
      </c>
      <c r="B99" t="s">
        <v>590</v>
      </c>
      <c r="C99" t="s">
        <v>26</v>
      </c>
      <c r="D99" t="s">
        <v>683</v>
      </c>
      <c r="E99" t="s">
        <v>37</v>
      </c>
    </row>
    <row r="100" spans="1:5" x14ac:dyDescent="0.2">
      <c r="A100" s="269">
        <v>45873.716585648152</v>
      </c>
      <c r="B100" t="s">
        <v>590</v>
      </c>
      <c r="C100" t="s">
        <v>684</v>
      </c>
      <c r="D100" t="s">
        <v>685</v>
      </c>
    </row>
    <row r="101" spans="1:5" x14ac:dyDescent="0.2">
      <c r="A101" s="269">
        <v>45873.716585648152</v>
      </c>
      <c r="B101" t="s">
        <v>590</v>
      </c>
      <c r="C101" t="s">
        <v>684</v>
      </c>
      <c r="D101" t="s">
        <v>685</v>
      </c>
    </row>
    <row r="102" spans="1:5" x14ac:dyDescent="0.2">
      <c r="A102" s="269">
        <v>45873.716736111113</v>
      </c>
      <c r="B102" t="s">
        <v>590</v>
      </c>
      <c r="C102" t="s">
        <v>684</v>
      </c>
      <c r="D102" t="s">
        <v>686</v>
      </c>
    </row>
    <row r="103" spans="1:5" x14ac:dyDescent="0.2">
      <c r="A103" s="269">
        <v>45873.716736111113</v>
      </c>
      <c r="B103" t="s">
        <v>590</v>
      </c>
      <c r="C103" t="s">
        <v>684</v>
      </c>
      <c r="D103" t="s">
        <v>687</v>
      </c>
      <c r="E103" t="s">
        <v>171</v>
      </c>
    </row>
    <row r="104" spans="1:5" x14ac:dyDescent="0.2">
      <c r="A104" s="269">
        <v>45873.716817129629</v>
      </c>
      <c r="B104" t="s">
        <v>590</v>
      </c>
      <c r="C104" t="s">
        <v>684</v>
      </c>
      <c r="D104" t="s">
        <v>687</v>
      </c>
    </row>
    <row r="105" spans="1:5" x14ac:dyDescent="0.2">
      <c r="A105" s="269">
        <v>45873.716817129629</v>
      </c>
      <c r="B105" t="s">
        <v>590</v>
      </c>
      <c r="C105" t="s">
        <v>684</v>
      </c>
      <c r="D105" t="s">
        <v>688</v>
      </c>
      <c r="E105" t="s">
        <v>171</v>
      </c>
    </row>
    <row r="106" spans="1:5" x14ac:dyDescent="0.2">
      <c r="A106" s="269">
        <v>45873.716886574075</v>
      </c>
      <c r="B106" t="s">
        <v>590</v>
      </c>
      <c r="C106" t="s">
        <v>684</v>
      </c>
      <c r="D106" t="s">
        <v>689</v>
      </c>
    </row>
    <row r="107" spans="1:5" x14ac:dyDescent="0.2">
      <c r="A107" s="269">
        <v>45873.717048611114</v>
      </c>
      <c r="B107" t="s">
        <v>590</v>
      </c>
      <c r="C107" t="s">
        <v>684</v>
      </c>
      <c r="D107" t="s">
        <v>690</v>
      </c>
    </row>
    <row r="108" spans="1:5" x14ac:dyDescent="0.2">
      <c r="A108" s="269">
        <v>45873.717048611114</v>
      </c>
      <c r="B108" t="s">
        <v>590</v>
      </c>
      <c r="C108" t="s">
        <v>684</v>
      </c>
      <c r="D108" t="s">
        <v>691</v>
      </c>
      <c r="E108" t="s">
        <v>28</v>
      </c>
    </row>
    <row r="109" spans="1:5" x14ac:dyDescent="0.2">
      <c r="A109" s="269">
        <v>45873.717164351852</v>
      </c>
      <c r="B109" t="s">
        <v>590</v>
      </c>
      <c r="C109" t="s">
        <v>684</v>
      </c>
      <c r="D109" t="s">
        <v>692</v>
      </c>
      <c r="E109" t="s">
        <v>227</v>
      </c>
    </row>
    <row r="110" spans="1:5" x14ac:dyDescent="0.2">
      <c r="A110" s="269">
        <v>45873.717175925929</v>
      </c>
      <c r="B110" t="s">
        <v>590</v>
      </c>
      <c r="C110" t="s">
        <v>684</v>
      </c>
      <c r="D110" t="s">
        <v>692</v>
      </c>
      <c r="E110" t="s">
        <v>227</v>
      </c>
    </row>
    <row r="111" spans="1:5" x14ac:dyDescent="0.2">
      <c r="A111" s="269">
        <v>45873.717210648145</v>
      </c>
      <c r="B111" t="s">
        <v>590</v>
      </c>
      <c r="C111" t="s">
        <v>684</v>
      </c>
      <c r="D111" t="s">
        <v>693</v>
      </c>
    </row>
    <row r="112" spans="1:5" x14ac:dyDescent="0.2">
      <c r="A112" s="269">
        <v>45873.717534722222</v>
      </c>
      <c r="B112" t="s">
        <v>590</v>
      </c>
      <c r="C112" t="s">
        <v>684</v>
      </c>
      <c r="D112" t="s">
        <v>693</v>
      </c>
    </row>
    <row r="113" spans="1:5" x14ac:dyDescent="0.2">
      <c r="A113" s="269">
        <v>45873.717557870368</v>
      </c>
      <c r="B113" t="s">
        <v>590</v>
      </c>
      <c r="C113" t="s">
        <v>684</v>
      </c>
      <c r="D113" t="s">
        <v>693</v>
      </c>
    </row>
    <row r="114" spans="1:5" x14ac:dyDescent="0.2">
      <c r="A114" s="269">
        <v>45873.71775462963</v>
      </c>
      <c r="B114" t="s">
        <v>590</v>
      </c>
      <c r="C114" t="s">
        <v>684</v>
      </c>
      <c r="D114" t="s">
        <v>693</v>
      </c>
      <c r="E114" t="s">
        <v>227</v>
      </c>
    </row>
    <row r="115" spans="1:5" x14ac:dyDescent="0.2">
      <c r="A115" s="269">
        <v>45873.717777777776</v>
      </c>
      <c r="B115" t="s">
        <v>590</v>
      </c>
      <c r="C115" t="s">
        <v>684</v>
      </c>
      <c r="D115" t="s">
        <v>694</v>
      </c>
      <c r="E115" t="s">
        <v>228</v>
      </c>
    </row>
    <row r="116" spans="1:5" x14ac:dyDescent="0.2">
      <c r="A116" s="269">
        <v>45873.717800925922</v>
      </c>
      <c r="B116" t="s">
        <v>590</v>
      </c>
      <c r="C116" t="s">
        <v>684</v>
      </c>
      <c r="D116" t="s">
        <v>695</v>
      </c>
      <c r="E116" t="s">
        <v>225</v>
      </c>
    </row>
    <row r="117" spans="1:5" x14ac:dyDescent="0.2">
      <c r="A117" s="269">
        <v>45873.717812499999</v>
      </c>
      <c r="B117" t="s">
        <v>590</v>
      </c>
      <c r="C117" t="s">
        <v>684</v>
      </c>
      <c r="D117" t="s">
        <v>696</v>
      </c>
      <c r="E117" t="s">
        <v>227</v>
      </c>
    </row>
    <row r="118" spans="1:5" x14ac:dyDescent="0.2">
      <c r="A118" s="269">
        <v>45873.717835648145</v>
      </c>
      <c r="B118" t="s">
        <v>590</v>
      </c>
      <c r="C118" t="s">
        <v>684</v>
      </c>
      <c r="D118" t="s">
        <v>697</v>
      </c>
      <c r="E118" t="s">
        <v>228</v>
      </c>
    </row>
    <row r="119" spans="1:5" x14ac:dyDescent="0.2">
      <c r="A119" s="269">
        <v>45873.718958333331</v>
      </c>
      <c r="B119" t="s">
        <v>590</v>
      </c>
      <c r="C119" t="s">
        <v>684</v>
      </c>
      <c r="D119" t="s">
        <v>698</v>
      </c>
    </row>
    <row r="120" spans="1:5" x14ac:dyDescent="0.2">
      <c r="A120" s="269">
        <v>45873.718958333331</v>
      </c>
      <c r="B120" t="s">
        <v>590</v>
      </c>
      <c r="C120" t="s">
        <v>684</v>
      </c>
      <c r="D120" t="s">
        <v>699</v>
      </c>
      <c r="E120" t="s">
        <v>32</v>
      </c>
    </row>
    <row r="121" spans="1:5" x14ac:dyDescent="0.2">
      <c r="A121" s="269">
        <v>45873.718993055554</v>
      </c>
      <c r="B121" t="s">
        <v>590</v>
      </c>
      <c r="C121" t="s">
        <v>684</v>
      </c>
      <c r="D121" t="s">
        <v>699</v>
      </c>
    </row>
    <row r="122" spans="1:5" x14ac:dyDescent="0.2">
      <c r="A122" s="269">
        <v>45873.718993055554</v>
      </c>
      <c r="B122" t="s">
        <v>590</v>
      </c>
      <c r="C122" t="s">
        <v>684</v>
      </c>
      <c r="D122" t="s">
        <v>681</v>
      </c>
      <c r="E122" t="s">
        <v>32</v>
      </c>
    </row>
    <row r="123" spans="1:5" x14ac:dyDescent="0.2">
      <c r="A123" s="269">
        <v>45873.719942129632</v>
      </c>
      <c r="B123" t="s">
        <v>590</v>
      </c>
      <c r="C123" t="s">
        <v>684</v>
      </c>
      <c r="D123" t="s">
        <v>700</v>
      </c>
    </row>
    <row r="124" spans="1:5" x14ac:dyDescent="0.2">
      <c r="A124" s="269">
        <v>45873.719942129632</v>
      </c>
      <c r="B124" t="s">
        <v>590</v>
      </c>
      <c r="C124" t="s">
        <v>684</v>
      </c>
      <c r="D124" t="s">
        <v>701</v>
      </c>
      <c r="E124" t="s">
        <v>167</v>
      </c>
    </row>
    <row r="125" spans="1:5" x14ac:dyDescent="0.2">
      <c r="A125" s="269">
        <v>45873.720520833333</v>
      </c>
      <c r="B125" t="s">
        <v>590</v>
      </c>
      <c r="C125" t="s">
        <v>684</v>
      </c>
      <c r="D125" t="s">
        <v>702</v>
      </c>
    </row>
    <row r="126" spans="1:5" x14ac:dyDescent="0.2">
      <c r="A126" s="269">
        <v>45873.720520833333</v>
      </c>
      <c r="B126" t="s">
        <v>590</v>
      </c>
      <c r="C126" t="s">
        <v>684</v>
      </c>
      <c r="D126" t="s">
        <v>703</v>
      </c>
      <c r="E126" t="s">
        <v>704</v>
      </c>
    </row>
    <row r="127" spans="1:5" x14ac:dyDescent="0.2">
      <c r="A127" s="269">
        <v>45873.722569444442</v>
      </c>
      <c r="B127" t="s">
        <v>590</v>
      </c>
      <c r="C127" t="s">
        <v>26</v>
      </c>
      <c r="D127" t="s">
        <v>705</v>
      </c>
    </row>
    <row r="128" spans="1:5" x14ac:dyDescent="0.2">
      <c r="A128" s="269">
        <v>45873.722569444442</v>
      </c>
      <c r="B128" t="s">
        <v>590</v>
      </c>
      <c r="C128" t="s">
        <v>26</v>
      </c>
      <c r="D128" t="s">
        <v>706</v>
      </c>
      <c r="E128" t="s">
        <v>224</v>
      </c>
    </row>
    <row r="129" spans="1:5" x14ac:dyDescent="0.2">
      <c r="A129" s="269">
        <v>45873.722650462965</v>
      </c>
      <c r="B129" t="s">
        <v>590</v>
      </c>
      <c r="C129" t="s">
        <v>26</v>
      </c>
      <c r="D129" t="s">
        <v>681</v>
      </c>
    </row>
    <row r="130" spans="1:5" x14ac:dyDescent="0.2">
      <c r="A130" s="269">
        <v>45873.722650462965</v>
      </c>
      <c r="B130" t="s">
        <v>590</v>
      </c>
      <c r="C130" t="s">
        <v>26</v>
      </c>
      <c r="D130" t="s">
        <v>707</v>
      </c>
      <c r="E130" t="s">
        <v>32</v>
      </c>
    </row>
    <row r="131" spans="1:5" x14ac:dyDescent="0.2">
      <c r="A131" s="269">
        <v>45873.722893518519</v>
      </c>
      <c r="B131" t="s">
        <v>590</v>
      </c>
      <c r="C131" t="s">
        <v>26</v>
      </c>
      <c r="D131" t="s">
        <v>683</v>
      </c>
    </row>
    <row r="132" spans="1:5" x14ac:dyDescent="0.2">
      <c r="A132" s="269">
        <v>45873.722893518519</v>
      </c>
      <c r="B132" t="s">
        <v>590</v>
      </c>
      <c r="C132" t="s">
        <v>26</v>
      </c>
      <c r="D132" t="s">
        <v>682</v>
      </c>
      <c r="E132" t="s">
        <v>37</v>
      </c>
    </row>
    <row r="133" spans="1:5" x14ac:dyDescent="0.2">
      <c r="A133" s="269">
        <v>45873.722939814812</v>
      </c>
      <c r="B133" t="s">
        <v>590</v>
      </c>
      <c r="C133" t="s">
        <v>26</v>
      </c>
      <c r="D133" t="s">
        <v>708</v>
      </c>
      <c r="E133" t="s">
        <v>228</v>
      </c>
    </row>
    <row r="134" spans="1:5" x14ac:dyDescent="0.2">
      <c r="A134" s="269">
        <v>45873.722939814812</v>
      </c>
      <c r="B134" t="s">
        <v>590</v>
      </c>
      <c r="C134" t="s">
        <v>26</v>
      </c>
      <c r="D134" t="s">
        <v>709</v>
      </c>
      <c r="E134" t="s">
        <v>224</v>
      </c>
    </row>
    <row r="135" spans="1:5" x14ac:dyDescent="0.2">
      <c r="A135" s="269">
        <v>45873.723113425927</v>
      </c>
      <c r="B135" t="s">
        <v>590</v>
      </c>
      <c r="C135" t="s">
        <v>26</v>
      </c>
      <c r="D135" t="s">
        <v>710</v>
      </c>
    </row>
    <row r="136" spans="1:5" x14ac:dyDescent="0.2">
      <c r="A136" s="269">
        <v>45873.723333333335</v>
      </c>
      <c r="B136" t="s">
        <v>590</v>
      </c>
      <c r="C136" t="s">
        <v>26</v>
      </c>
      <c r="D136" t="s">
        <v>686</v>
      </c>
    </row>
    <row r="137" spans="1:5" x14ac:dyDescent="0.2">
      <c r="A137" s="269">
        <v>45873.723333333335</v>
      </c>
      <c r="B137" t="s">
        <v>590</v>
      </c>
      <c r="C137" t="s">
        <v>26</v>
      </c>
      <c r="D137" t="s">
        <v>711</v>
      </c>
      <c r="E137" t="s">
        <v>171</v>
      </c>
    </row>
    <row r="138" spans="1:5" x14ac:dyDescent="0.2">
      <c r="A138" s="269">
        <v>45873.723483796297</v>
      </c>
      <c r="B138" t="s">
        <v>590</v>
      </c>
      <c r="C138" t="s">
        <v>26</v>
      </c>
      <c r="D138" t="s">
        <v>712</v>
      </c>
    </row>
    <row r="139" spans="1:5" x14ac:dyDescent="0.2">
      <c r="A139" s="269">
        <v>45873.723506944443</v>
      </c>
      <c r="B139" t="s">
        <v>590</v>
      </c>
      <c r="C139" t="s">
        <v>26</v>
      </c>
      <c r="D139" t="s">
        <v>713</v>
      </c>
    </row>
    <row r="140" spans="1:5" x14ac:dyDescent="0.2">
      <c r="A140" s="269">
        <v>45873.723530092589</v>
      </c>
      <c r="B140" t="s">
        <v>590</v>
      </c>
      <c r="C140" t="s">
        <v>26</v>
      </c>
      <c r="D140" t="s">
        <v>714</v>
      </c>
    </row>
    <row r="141" spans="1:5" x14ac:dyDescent="0.2">
      <c r="A141" s="269">
        <v>45873.723541666666</v>
      </c>
      <c r="B141" t="s">
        <v>590</v>
      </c>
      <c r="C141" t="s">
        <v>26</v>
      </c>
      <c r="D141" t="s">
        <v>715</v>
      </c>
    </row>
    <row r="142" spans="1:5" x14ac:dyDescent="0.2">
      <c r="A142" s="269">
        <v>45873.723564814813</v>
      </c>
      <c r="B142" t="s">
        <v>590</v>
      </c>
      <c r="C142" t="s">
        <v>26</v>
      </c>
      <c r="D142" t="s">
        <v>716</v>
      </c>
    </row>
    <row r="143" spans="1:5" x14ac:dyDescent="0.2">
      <c r="A143" s="269">
        <v>45873.727430555555</v>
      </c>
      <c r="B143" t="s">
        <v>590</v>
      </c>
      <c r="C143" t="s">
        <v>26</v>
      </c>
      <c r="D143" t="s">
        <v>707</v>
      </c>
    </row>
    <row r="144" spans="1:5" x14ac:dyDescent="0.2">
      <c r="A144" s="269">
        <v>45873.727430555555</v>
      </c>
      <c r="B144" t="s">
        <v>590</v>
      </c>
      <c r="C144" t="s">
        <v>26</v>
      </c>
      <c r="D144" t="s">
        <v>717</v>
      </c>
      <c r="E144" t="s">
        <v>32</v>
      </c>
    </row>
    <row r="145" spans="1:5" x14ac:dyDescent="0.2">
      <c r="A145" s="269">
        <v>45873.727465277778</v>
      </c>
      <c r="B145" t="s">
        <v>590</v>
      </c>
      <c r="C145" t="s">
        <v>26</v>
      </c>
      <c r="D145" t="s">
        <v>718</v>
      </c>
    </row>
    <row r="146" spans="1:5" x14ac:dyDescent="0.2">
      <c r="A146" s="269">
        <v>45873.727465277778</v>
      </c>
      <c r="B146" t="s">
        <v>590</v>
      </c>
      <c r="C146" t="s">
        <v>26</v>
      </c>
      <c r="D146" t="s">
        <v>719</v>
      </c>
      <c r="E146" t="s">
        <v>37</v>
      </c>
    </row>
    <row r="147" spans="1:5" x14ac:dyDescent="0.2">
      <c r="A147" s="269">
        <v>45873.727546296293</v>
      </c>
      <c r="B147" t="s">
        <v>590</v>
      </c>
      <c r="C147" t="s">
        <v>26</v>
      </c>
      <c r="D147" t="s">
        <v>720</v>
      </c>
    </row>
    <row r="148" spans="1:5" x14ac:dyDescent="0.2">
      <c r="A148" s="269">
        <v>45873.727546296293</v>
      </c>
      <c r="B148" t="s">
        <v>590</v>
      </c>
      <c r="C148" t="s">
        <v>26</v>
      </c>
      <c r="D148" t="s">
        <v>721</v>
      </c>
      <c r="E148" t="s">
        <v>224</v>
      </c>
    </row>
    <row r="149" spans="1:5" x14ac:dyDescent="0.2">
      <c r="A149" s="269">
        <v>45873.72761574074</v>
      </c>
      <c r="B149" t="s">
        <v>590</v>
      </c>
      <c r="C149" t="s">
        <v>26</v>
      </c>
      <c r="D149" t="s">
        <v>722</v>
      </c>
    </row>
    <row r="150" spans="1:5" x14ac:dyDescent="0.2">
      <c r="A150" s="269">
        <v>45873.72761574074</v>
      </c>
      <c r="B150" t="s">
        <v>590</v>
      </c>
      <c r="C150" t="s">
        <v>26</v>
      </c>
      <c r="D150" t="s">
        <v>723</v>
      </c>
      <c r="E150" t="s">
        <v>32</v>
      </c>
    </row>
    <row r="151" spans="1:5" x14ac:dyDescent="0.2">
      <c r="A151" s="269">
        <v>45873.732777777775</v>
      </c>
      <c r="B151" t="s">
        <v>590</v>
      </c>
      <c r="C151" t="s">
        <v>26</v>
      </c>
      <c r="D151" t="s">
        <v>724</v>
      </c>
    </row>
    <row r="152" spans="1:5" x14ac:dyDescent="0.2">
      <c r="A152" s="269">
        <v>45873.733171296299</v>
      </c>
      <c r="B152" t="s">
        <v>590</v>
      </c>
      <c r="C152" t="s">
        <v>26</v>
      </c>
      <c r="D152" t="s">
        <v>725</v>
      </c>
      <c r="E152" t="s">
        <v>726</v>
      </c>
    </row>
    <row r="153" spans="1:5" x14ac:dyDescent="0.2">
      <c r="A153" s="269">
        <v>45873.733518518522</v>
      </c>
      <c r="B153" t="s">
        <v>590</v>
      </c>
      <c r="C153" t="s">
        <v>609</v>
      </c>
      <c r="D153" t="s">
        <v>622</v>
      </c>
    </row>
    <row r="154" spans="1:5" x14ac:dyDescent="0.2">
      <c r="A154" s="269">
        <v>45873.733587962961</v>
      </c>
      <c r="B154" t="s">
        <v>590</v>
      </c>
      <c r="C154" t="s">
        <v>609</v>
      </c>
      <c r="D154" t="s">
        <v>727</v>
      </c>
      <c r="E154">
        <v>5</v>
      </c>
    </row>
    <row r="155" spans="1:5" x14ac:dyDescent="0.2">
      <c r="A155" s="269">
        <v>45873.733634259261</v>
      </c>
      <c r="B155" t="s">
        <v>590</v>
      </c>
      <c r="C155" t="s">
        <v>609</v>
      </c>
      <c r="D155" t="s">
        <v>618</v>
      </c>
      <c r="E155" t="s">
        <v>726</v>
      </c>
    </row>
    <row r="156" spans="1:5" x14ac:dyDescent="0.2">
      <c r="A156" s="269">
        <v>45873.733668981484</v>
      </c>
      <c r="B156" t="s">
        <v>590</v>
      </c>
      <c r="C156" t="s">
        <v>609</v>
      </c>
      <c r="D156" t="s">
        <v>620</v>
      </c>
      <c r="E156" t="s">
        <v>728</v>
      </c>
    </row>
    <row r="157" spans="1:5" x14ac:dyDescent="0.2">
      <c r="A157" s="269">
        <v>45873.735729166663</v>
      </c>
      <c r="B157" t="s">
        <v>590</v>
      </c>
      <c r="C157" t="s">
        <v>56</v>
      </c>
      <c r="D157" t="s">
        <v>729</v>
      </c>
    </row>
    <row r="158" spans="1:5" x14ac:dyDescent="0.2">
      <c r="A158" s="269">
        <v>45873.735775462963</v>
      </c>
      <c r="B158" t="s">
        <v>590</v>
      </c>
      <c r="C158" t="s">
        <v>56</v>
      </c>
      <c r="D158" t="s">
        <v>730</v>
      </c>
    </row>
    <row r="159" spans="1:5" x14ac:dyDescent="0.2">
      <c r="A159" s="269">
        <v>45873.736261574071</v>
      </c>
      <c r="B159" t="s">
        <v>590</v>
      </c>
      <c r="C159" t="s">
        <v>56</v>
      </c>
      <c r="D159" t="s">
        <v>731</v>
      </c>
    </row>
    <row r="160" spans="1:5" x14ac:dyDescent="0.2">
      <c r="A160" s="269">
        <v>45873.736284722225</v>
      </c>
      <c r="B160" t="s">
        <v>590</v>
      </c>
      <c r="C160" t="s">
        <v>56</v>
      </c>
      <c r="D160" t="s">
        <v>732</v>
      </c>
    </row>
    <row r="161" spans="1:5" x14ac:dyDescent="0.2">
      <c r="A161" s="269">
        <v>45873.736307870371</v>
      </c>
      <c r="B161" t="s">
        <v>590</v>
      </c>
      <c r="C161" t="s">
        <v>56</v>
      </c>
      <c r="D161" t="s">
        <v>733</v>
      </c>
    </row>
    <row r="162" spans="1:5" x14ac:dyDescent="0.2">
      <c r="A162" s="269">
        <v>45873.736331018517</v>
      </c>
      <c r="B162" t="s">
        <v>590</v>
      </c>
      <c r="C162" t="s">
        <v>56</v>
      </c>
      <c r="D162" t="s">
        <v>734</v>
      </c>
    </row>
    <row r="163" spans="1:5" x14ac:dyDescent="0.2">
      <c r="A163" s="269">
        <v>45873.736354166664</v>
      </c>
      <c r="B163" t="s">
        <v>590</v>
      </c>
      <c r="C163" t="s">
        <v>56</v>
      </c>
      <c r="D163" t="s">
        <v>735</v>
      </c>
    </row>
    <row r="164" spans="1:5" x14ac:dyDescent="0.2">
      <c r="A164" s="269">
        <v>45873.736493055556</v>
      </c>
      <c r="B164" t="s">
        <v>590</v>
      </c>
      <c r="C164" t="s">
        <v>56</v>
      </c>
      <c r="D164" t="s">
        <v>736</v>
      </c>
    </row>
    <row r="165" spans="1:5" x14ac:dyDescent="0.2">
      <c r="A165" s="269">
        <v>45873.736493055556</v>
      </c>
      <c r="B165" t="s">
        <v>590</v>
      </c>
      <c r="C165" t="s">
        <v>56</v>
      </c>
      <c r="D165" t="s">
        <v>737</v>
      </c>
      <c r="E165" t="s">
        <v>171</v>
      </c>
    </row>
    <row r="166" spans="1:5" x14ac:dyDescent="0.2">
      <c r="A166" s="269">
        <v>45873.736550925925</v>
      </c>
      <c r="B166" t="s">
        <v>590</v>
      </c>
      <c r="C166" t="s">
        <v>56</v>
      </c>
      <c r="D166" t="s">
        <v>738</v>
      </c>
      <c r="E166" t="s">
        <v>34</v>
      </c>
    </row>
    <row r="167" spans="1:5" x14ac:dyDescent="0.2">
      <c r="A167" s="269">
        <v>45873.736550925925</v>
      </c>
      <c r="B167" t="s">
        <v>590</v>
      </c>
      <c r="C167" t="s">
        <v>56</v>
      </c>
      <c r="D167" t="s">
        <v>739</v>
      </c>
      <c r="E167" t="s">
        <v>32</v>
      </c>
    </row>
    <row r="168" spans="1:5" x14ac:dyDescent="0.2">
      <c r="A168" s="269">
        <v>45873.736643518518</v>
      </c>
      <c r="B168" t="s">
        <v>590</v>
      </c>
      <c r="C168" t="s">
        <v>56</v>
      </c>
      <c r="D168" t="s">
        <v>740</v>
      </c>
      <c r="E168" t="s">
        <v>171</v>
      </c>
    </row>
    <row r="169" spans="1:5" x14ac:dyDescent="0.2">
      <c r="A169" s="269">
        <v>45873.736770833333</v>
      </c>
      <c r="B169" t="s">
        <v>590</v>
      </c>
      <c r="C169" t="s">
        <v>56</v>
      </c>
      <c r="D169" t="s">
        <v>741</v>
      </c>
    </row>
    <row r="170" spans="1:5" x14ac:dyDescent="0.2">
      <c r="A170" s="269">
        <v>45873.736793981479</v>
      </c>
      <c r="B170" t="s">
        <v>590</v>
      </c>
      <c r="C170" t="s">
        <v>56</v>
      </c>
      <c r="D170" t="s">
        <v>742</v>
      </c>
    </row>
    <row r="171" spans="1:5" x14ac:dyDescent="0.2">
      <c r="A171" s="269">
        <v>45873.736851851849</v>
      </c>
      <c r="B171" t="s">
        <v>590</v>
      </c>
      <c r="C171" t="s">
        <v>56</v>
      </c>
      <c r="D171" t="s">
        <v>743</v>
      </c>
    </row>
    <row r="172" spans="1:5" x14ac:dyDescent="0.2">
      <c r="A172" s="269">
        <v>45873.736886574072</v>
      </c>
      <c r="B172" t="s">
        <v>590</v>
      </c>
      <c r="C172" t="s">
        <v>56</v>
      </c>
      <c r="D172" t="s">
        <v>744</v>
      </c>
    </row>
    <row r="173" spans="1:5" x14ac:dyDescent="0.2">
      <c r="A173" s="269">
        <v>45873.736967592595</v>
      </c>
      <c r="B173" t="s">
        <v>590</v>
      </c>
      <c r="C173" t="s">
        <v>56</v>
      </c>
      <c r="D173" t="s">
        <v>745</v>
      </c>
    </row>
    <row r="174" spans="1:5" x14ac:dyDescent="0.2">
      <c r="A174" s="269">
        <v>45873.736967592595</v>
      </c>
      <c r="B174" t="s">
        <v>590</v>
      </c>
      <c r="C174" t="s">
        <v>56</v>
      </c>
      <c r="D174" t="s">
        <v>745</v>
      </c>
    </row>
    <row r="175" spans="1:5" x14ac:dyDescent="0.2">
      <c r="A175" s="269">
        <v>45873.737025462964</v>
      </c>
      <c r="B175" t="s">
        <v>590</v>
      </c>
      <c r="C175" t="s">
        <v>56</v>
      </c>
      <c r="D175" t="s">
        <v>746</v>
      </c>
      <c r="E175" t="s">
        <v>341</v>
      </c>
    </row>
    <row r="176" spans="1:5" x14ac:dyDescent="0.2">
      <c r="A176" s="269">
        <v>45873.737071759257</v>
      </c>
      <c r="B176" t="s">
        <v>590</v>
      </c>
      <c r="C176" t="s">
        <v>56</v>
      </c>
      <c r="D176" t="s">
        <v>747</v>
      </c>
      <c r="E176">
        <v>5</v>
      </c>
    </row>
    <row r="177" spans="1:5" x14ac:dyDescent="0.2">
      <c r="A177" s="269">
        <v>45873.737129629626</v>
      </c>
      <c r="B177" t="s">
        <v>590</v>
      </c>
      <c r="C177" t="s">
        <v>56</v>
      </c>
      <c r="D177" t="s">
        <v>748</v>
      </c>
    </row>
    <row r="178" spans="1:5" x14ac:dyDescent="0.2">
      <c r="A178" s="269">
        <v>45873.737164351849</v>
      </c>
      <c r="B178" t="s">
        <v>590</v>
      </c>
      <c r="C178" t="s">
        <v>56</v>
      </c>
      <c r="D178" t="s">
        <v>749</v>
      </c>
    </row>
    <row r="179" spans="1:5" x14ac:dyDescent="0.2">
      <c r="A179" s="269">
        <v>45873.737303240741</v>
      </c>
      <c r="B179" t="s">
        <v>590</v>
      </c>
      <c r="C179" t="s">
        <v>56</v>
      </c>
      <c r="D179" t="s">
        <v>750</v>
      </c>
      <c r="E179" t="s">
        <v>341</v>
      </c>
    </row>
    <row r="180" spans="1:5" x14ac:dyDescent="0.2">
      <c r="A180" s="269">
        <v>45873.737349537034</v>
      </c>
      <c r="B180" t="s">
        <v>590</v>
      </c>
      <c r="C180" t="s">
        <v>56</v>
      </c>
      <c r="D180" t="s">
        <v>751</v>
      </c>
    </row>
    <row r="181" spans="1:5" x14ac:dyDescent="0.2">
      <c r="A181" s="269">
        <v>45873.73741898148</v>
      </c>
      <c r="B181" t="s">
        <v>590</v>
      </c>
      <c r="C181" t="s">
        <v>56</v>
      </c>
      <c r="D181" t="s">
        <v>752</v>
      </c>
      <c r="E181" t="s">
        <v>176</v>
      </c>
    </row>
    <row r="182" spans="1:5" x14ac:dyDescent="0.2">
      <c r="A182" s="269">
        <v>45873.737476851849</v>
      </c>
      <c r="B182" t="s">
        <v>590</v>
      </c>
      <c r="C182" t="s">
        <v>56</v>
      </c>
      <c r="D182" t="s">
        <v>753</v>
      </c>
    </row>
    <row r="183" spans="1:5" x14ac:dyDescent="0.2">
      <c r="A183" s="269">
        <v>45873.737581018519</v>
      </c>
      <c r="B183" t="s">
        <v>590</v>
      </c>
      <c r="C183" t="s">
        <v>56</v>
      </c>
      <c r="D183" t="s">
        <v>754</v>
      </c>
      <c r="E183" t="s">
        <v>44</v>
      </c>
    </row>
    <row r="184" spans="1:5" x14ac:dyDescent="0.2">
      <c r="A184" s="269">
        <v>45874.37263888889</v>
      </c>
      <c r="B184" t="s">
        <v>755</v>
      </c>
      <c r="C184" t="s">
        <v>595</v>
      </c>
      <c r="D184" t="s">
        <v>756</v>
      </c>
      <c r="E184" t="s">
        <v>38</v>
      </c>
    </row>
    <row r="185" spans="1:5" x14ac:dyDescent="0.2">
      <c r="A185" s="269">
        <v>45874.37263888889</v>
      </c>
      <c r="B185" t="s">
        <v>755</v>
      </c>
      <c r="C185" t="s">
        <v>595</v>
      </c>
      <c r="D185" t="s">
        <v>655</v>
      </c>
      <c r="E185" t="s">
        <v>38</v>
      </c>
    </row>
    <row r="186" spans="1:5" x14ac:dyDescent="0.2">
      <c r="A186" s="269">
        <v>45874.37263888889</v>
      </c>
      <c r="B186" t="s">
        <v>755</v>
      </c>
      <c r="C186" t="s">
        <v>595</v>
      </c>
      <c r="D186" t="s">
        <v>653</v>
      </c>
      <c r="E186" t="s">
        <v>38</v>
      </c>
    </row>
    <row r="187" spans="1:5" x14ac:dyDescent="0.2">
      <c r="A187" s="269">
        <v>45874.37263888889</v>
      </c>
      <c r="B187" t="s">
        <v>755</v>
      </c>
      <c r="C187" t="s">
        <v>595</v>
      </c>
      <c r="D187" t="s">
        <v>757</v>
      </c>
      <c r="E187" t="s">
        <v>38</v>
      </c>
    </row>
    <row r="188" spans="1:5" x14ac:dyDescent="0.2">
      <c r="A188" s="269">
        <v>45874.37263888889</v>
      </c>
      <c r="B188" t="s">
        <v>755</v>
      </c>
      <c r="C188" t="s">
        <v>595</v>
      </c>
      <c r="D188" t="s">
        <v>648</v>
      </c>
      <c r="E188" t="s">
        <v>38</v>
      </c>
    </row>
    <row r="189" spans="1:5" x14ac:dyDescent="0.2">
      <c r="A189" s="269">
        <v>45874.372650462959</v>
      </c>
      <c r="B189" t="s">
        <v>755</v>
      </c>
      <c r="C189" t="s">
        <v>595</v>
      </c>
      <c r="D189" t="s">
        <v>645</v>
      </c>
      <c r="E189" t="s">
        <v>38</v>
      </c>
    </row>
    <row r="190" spans="1:5" x14ac:dyDescent="0.2">
      <c r="A190" s="269">
        <v>45874.372650462959</v>
      </c>
      <c r="B190" t="s">
        <v>755</v>
      </c>
      <c r="C190" t="s">
        <v>595</v>
      </c>
      <c r="D190" t="s">
        <v>644</v>
      </c>
      <c r="E190" t="s">
        <v>38</v>
      </c>
    </row>
    <row r="191" spans="1:5" x14ac:dyDescent="0.2">
      <c r="A191" s="269">
        <v>45874.385277777779</v>
      </c>
      <c r="B191" t="s">
        <v>755</v>
      </c>
      <c r="C191" t="s">
        <v>609</v>
      </c>
      <c r="D191" t="s">
        <v>758</v>
      </c>
      <c r="E191" t="s">
        <v>759</v>
      </c>
    </row>
    <row r="192" spans="1:5" x14ac:dyDescent="0.2">
      <c r="A192" s="269">
        <v>45874.432812500003</v>
      </c>
      <c r="B192" t="s">
        <v>755</v>
      </c>
      <c r="C192" t="s">
        <v>609</v>
      </c>
      <c r="D192" t="s">
        <v>760</v>
      </c>
    </row>
    <row r="193" spans="1:5" x14ac:dyDescent="0.2">
      <c r="A193" s="269">
        <v>45874.432812500003</v>
      </c>
      <c r="B193" t="s">
        <v>755</v>
      </c>
      <c r="C193" t="s">
        <v>609</v>
      </c>
      <c r="D193" t="s">
        <v>761</v>
      </c>
      <c r="E193" t="s">
        <v>37</v>
      </c>
    </row>
    <row r="194" spans="1:5" x14ac:dyDescent="0.2">
      <c r="A194" s="269">
        <v>45874.460486111115</v>
      </c>
      <c r="B194" t="s">
        <v>755</v>
      </c>
      <c r="C194" t="s">
        <v>609</v>
      </c>
      <c r="D194" t="s">
        <v>758</v>
      </c>
      <c r="E194" t="s">
        <v>762</v>
      </c>
    </row>
    <row r="195" spans="1:5" x14ac:dyDescent="0.2">
      <c r="A195" s="269">
        <v>45874.461006944446</v>
      </c>
      <c r="B195" t="s">
        <v>755</v>
      </c>
      <c r="C195" t="s">
        <v>609</v>
      </c>
      <c r="D195" t="s">
        <v>763</v>
      </c>
      <c r="E195" t="s">
        <v>764</v>
      </c>
    </row>
    <row r="196" spans="1:5" x14ac:dyDescent="0.2">
      <c r="A196" s="269">
        <v>45874.463275462964</v>
      </c>
      <c r="B196" t="s">
        <v>755</v>
      </c>
      <c r="C196" t="s">
        <v>609</v>
      </c>
      <c r="D196" t="s">
        <v>763</v>
      </c>
      <c r="E196" t="s">
        <v>765</v>
      </c>
    </row>
    <row r="197" spans="1:5" x14ac:dyDescent="0.2">
      <c r="A197" s="269">
        <v>45874.463483796295</v>
      </c>
      <c r="B197" t="s">
        <v>755</v>
      </c>
      <c r="C197" t="s">
        <v>609</v>
      </c>
      <c r="D197" t="s">
        <v>766</v>
      </c>
      <c r="E197" t="s">
        <v>767</v>
      </c>
    </row>
    <row r="198" spans="1:5" x14ac:dyDescent="0.2">
      <c r="A198" s="269">
        <v>45874.463854166665</v>
      </c>
      <c r="B198" t="s">
        <v>755</v>
      </c>
      <c r="C198" t="s">
        <v>609</v>
      </c>
      <c r="D198" t="s">
        <v>766</v>
      </c>
      <c r="E198" t="s">
        <v>55</v>
      </c>
    </row>
    <row r="199" spans="1:5" x14ac:dyDescent="0.2">
      <c r="A199" s="269">
        <v>45874.464513888888</v>
      </c>
      <c r="B199" t="s">
        <v>755</v>
      </c>
      <c r="C199" t="s">
        <v>609</v>
      </c>
      <c r="D199" t="s">
        <v>620</v>
      </c>
      <c r="E199" t="s">
        <v>768</v>
      </c>
    </row>
    <row r="200" spans="1:5" x14ac:dyDescent="0.2">
      <c r="A200" s="269">
        <v>45874.46502314815</v>
      </c>
      <c r="B200" t="s">
        <v>755</v>
      </c>
      <c r="C200" t="s">
        <v>609</v>
      </c>
      <c r="D200" t="s">
        <v>763</v>
      </c>
      <c r="E200" t="s">
        <v>769</v>
      </c>
    </row>
    <row r="201" spans="1:5" x14ac:dyDescent="0.2">
      <c r="A201" s="269">
        <v>45874.465856481482</v>
      </c>
      <c r="B201" t="s">
        <v>755</v>
      </c>
      <c r="C201" t="s">
        <v>609</v>
      </c>
      <c r="D201" t="s">
        <v>763</v>
      </c>
      <c r="E201" t="s">
        <v>53</v>
      </c>
    </row>
    <row r="202" spans="1:5" x14ac:dyDescent="0.2">
      <c r="A202" s="269">
        <v>45874.473310185182</v>
      </c>
      <c r="B202" t="s">
        <v>755</v>
      </c>
      <c r="C202" t="s">
        <v>14</v>
      </c>
      <c r="D202" t="s">
        <v>731</v>
      </c>
    </row>
    <row r="203" spans="1:5" x14ac:dyDescent="0.2">
      <c r="A203" s="269">
        <v>45874.473333333335</v>
      </c>
      <c r="B203" t="s">
        <v>755</v>
      </c>
      <c r="C203" t="s">
        <v>14</v>
      </c>
      <c r="D203" t="s">
        <v>732</v>
      </c>
    </row>
    <row r="204" spans="1:5" x14ac:dyDescent="0.2">
      <c r="A204" s="269">
        <v>45874.473356481481</v>
      </c>
      <c r="B204" t="s">
        <v>755</v>
      </c>
      <c r="C204" t="s">
        <v>14</v>
      </c>
      <c r="D204" t="s">
        <v>733</v>
      </c>
    </row>
    <row r="205" spans="1:5" x14ac:dyDescent="0.2">
      <c r="A205" s="269">
        <v>45874.473379629628</v>
      </c>
      <c r="B205" t="s">
        <v>755</v>
      </c>
      <c r="C205" t="s">
        <v>14</v>
      </c>
      <c r="D205" t="s">
        <v>734</v>
      </c>
    </row>
    <row r="206" spans="1:5" x14ac:dyDescent="0.2">
      <c r="A206" s="269">
        <v>45874.473391203705</v>
      </c>
      <c r="B206" t="s">
        <v>755</v>
      </c>
      <c r="C206" t="s">
        <v>14</v>
      </c>
      <c r="D206" t="s">
        <v>735</v>
      </c>
    </row>
    <row r="207" spans="1:5" x14ac:dyDescent="0.2">
      <c r="A207" s="269">
        <v>45874.473530092589</v>
      </c>
      <c r="B207" t="s">
        <v>755</v>
      </c>
      <c r="C207" t="s">
        <v>14</v>
      </c>
      <c r="D207" t="s">
        <v>770</v>
      </c>
      <c r="E207" t="s">
        <v>173</v>
      </c>
    </row>
    <row r="208" spans="1:5" x14ac:dyDescent="0.2">
      <c r="A208" s="269">
        <v>45874.473530092589</v>
      </c>
      <c r="B208" t="s">
        <v>755</v>
      </c>
      <c r="C208" t="s">
        <v>14</v>
      </c>
      <c r="D208" t="s">
        <v>771</v>
      </c>
      <c r="E208" t="s">
        <v>37</v>
      </c>
    </row>
    <row r="209" spans="1:5" x14ac:dyDescent="0.2">
      <c r="A209" s="269">
        <v>45874.473749999997</v>
      </c>
      <c r="B209" t="s">
        <v>755</v>
      </c>
      <c r="C209" t="s">
        <v>14</v>
      </c>
      <c r="D209" t="s">
        <v>772</v>
      </c>
    </row>
    <row r="210" spans="1:5" x14ac:dyDescent="0.2">
      <c r="A210" s="269">
        <v>45874.473749999997</v>
      </c>
      <c r="B210" t="s">
        <v>755</v>
      </c>
      <c r="C210" t="s">
        <v>14</v>
      </c>
      <c r="D210" t="s">
        <v>773</v>
      </c>
      <c r="E210" t="s">
        <v>171</v>
      </c>
    </row>
    <row r="211" spans="1:5" x14ac:dyDescent="0.2">
      <c r="A211" s="269">
        <v>45874.474108796298</v>
      </c>
      <c r="B211" t="s">
        <v>755</v>
      </c>
      <c r="C211" t="s">
        <v>2</v>
      </c>
      <c r="D211" t="s">
        <v>774</v>
      </c>
      <c r="E211">
        <v>2024</v>
      </c>
    </row>
    <row r="212" spans="1:5" x14ac:dyDescent="0.2">
      <c r="A212" s="269">
        <v>45874.474259259259</v>
      </c>
      <c r="B212" t="s">
        <v>755</v>
      </c>
      <c r="C212" t="s">
        <v>2</v>
      </c>
      <c r="D212" t="s">
        <v>774</v>
      </c>
    </row>
    <row r="213" spans="1:5" x14ac:dyDescent="0.2">
      <c r="A213" s="269">
        <v>45874.474386574075</v>
      </c>
      <c r="B213" t="s">
        <v>755</v>
      </c>
      <c r="C213" t="s">
        <v>14</v>
      </c>
      <c r="D213" t="s">
        <v>775</v>
      </c>
      <c r="E213" t="s">
        <v>776</v>
      </c>
    </row>
    <row r="214" spans="1:5" x14ac:dyDescent="0.2">
      <c r="A214" s="269">
        <v>45874.474814814814</v>
      </c>
      <c r="B214" t="s">
        <v>755</v>
      </c>
      <c r="C214" t="s">
        <v>14</v>
      </c>
      <c r="D214" t="s">
        <v>775</v>
      </c>
      <c r="E214" t="s">
        <v>777</v>
      </c>
    </row>
    <row r="215" spans="1:5" x14ac:dyDescent="0.2">
      <c r="A215" s="269">
        <v>45874.476215277777</v>
      </c>
      <c r="B215" t="s">
        <v>755</v>
      </c>
      <c r="C215" t="s">
        <v>14</v>
      </c>
      <c r="D215" t="s">
        <v>778</v>
      </c>
    </row>
    <row r="216" spans="1:5" x14ac:dyDescent="0.2">
      <c r="A216" s="269">
        <v>45874.476284722223</v>
      </c>
      <c r="B216" t="s">
        <v>755</v>
      </c>
      <c r="C216" t="s">
        <v>14</v>
      </c>
      <c r="D216" t="s">
        <v>778</v>
      </c>
      <c r="E216" t="s">
        <v>23</v>
      </c>
    </row>
    <row r="217" spans="1:5" x14ac:dyDescent="0.2">
      <c r="A217" s="269">
        <v>45874.476377314815</v>
      </c>
      <c r="B217" t="s">
        <v>755</v>
      </c>
      <c r="C217" t="s">
        <v>56</v>
      </c>
      <c r="D217" t="s">
        <v>778</v>
      </c>
      <c r="E217" t="s">
        <v>23</v>
      </c>
    </row>
    <row r="218" spans="1:5" x14ac:dyDescent="0.2">
      <c r="A218" s="269">
        <v>45874.476412037038</v>
      </c>
      <c r="B218" t="s">
        <v>755</v>
      </c>
      <c r="C218" t="s">
        <v>26</v>
      </c>
      <c r="D218" t="s">
        <v>778</v>
      </c>
      <c r="E218" t="s">
        <v>23</v>
      </c>
    </row>
    <row r="219" spans="1:5" x14ac:dyDescent="0.2">
      <c r="A219" s="269">
        <v>45874.476435185185</v>
      </c>
      <c r="B219" t="s">
        <v>755</v>
      </c>
      <c r="C219" t="s">
        <v>101</v>
      </c>
      <c r="D219" t="s">
        <v>778</v>
      </c>
      <c r="E219" t="s">
        <v>23</v>
      </c>
    </row>
    <row r="220" spans="1:5" x14ac:dyDescent="0.2">
      <c r="A220" s="269">
        <v>45874.476469907408</v>
      </c>
      <c r="B220" t="s">
        <v>755</v>
      </c>
      <c r="C220" t="s">
        <v>642</v>
      </c>
      <c r="D220" t="s">
        <v>778</v>
      </c>
      <c r="E220" t="s">
        <v>23</v>
      </c>
    </row>
    <row r="221" spans="1:5" x14ac:dyDescent="0.2">
      <c r="A221" s="269">
        <v>45874.476504629631</v>
      </c>
      <c r="B221" t="s">
        <v>755</v>
      </c>
      <c r="C221" t="s">
        <v>25</v>
      </c>
      <c r="D221" t="s">
        <v>778</v>
      </c>
      <c r="E221" t="s">
        <v>23</v>
      </c>
    </row>
    <row r="222" spans="1:5" x14ac:dyDescent="0.2">
      <c r="A222" s="269">
        <v>45874.476539351854</v>
      </c>
      <c r="B222" t="s">
        <v>755</v>
      </c>
      <c r="C222" t="s">
        <v>27</v>
      </c>
      <c r="D222" t="s">
        <v>778</v>
      </c>
      <c r="E222" t="s">
        <v>23</v>
      </c>
    </row>
    <row r="223" spans="1:5" x14ac:dyDescent="0.2">
      <c r="A223" s="269">
        <v>45874.477106481485</v>
      </c>
      <c r="B223" t="s">
        <v>755</v>
      </c>
      <c r="C223" t="s">
        <v>14</v>
      </c>
      <c r="D223" t="s">
        <v>779</v>
      </c>
    </row>
    <row r="224" spans="1:5" x14ac:dyDescent="0.2">
      <c r="A224" s="269">
        <v>45874.477106481485</v>
      </c>
      <c r="B224" t="s">
        <v>755</v>
      </c>
      <c r="C224" t="s">
        <v>14</v>
      </c>
      <c r="D224" t="s">
        <v>780</v>
      </c>
      <c r="E224" t="s">
        <v>189</v>
      </c>
    </row>
    <row r="225" spans="1:5" x14ac:dyDescent="0.2">
      <c r="A225" s="269">
        <v>45874.477303240739</v>
      </c>
      <c r="B225" t="s">
        <v>755</v>
      </c>
      <c r="C225" t="s">
        <v>14</v>
      </c>
      <c r="D225" t="s">
        <v>781</v>
      </c>
    </row>
    <row r="226" spans="1:5" x14ac:dyDescent="0.2">
      <c r="A226" s="269">
        <v>45874.477303240739</v>
      </c>
      <c r="B226" t="s">
        <v>755</v>
      </c>
      <c r="C226" t="s">
        <v>14</v>
      </c>
      <c r="D226" t="s">
        <v>782</v>
      </c>
      <c r="E226" t="s">
        <v>191</v>
      </c>
    </row>
    <row r="227" spans="1:5" x14ac:dyDescent="0.2">
      <c r="A227" s="269">
        <v>45874.47761574074</v>
      </c>
      <c r="B227" t="s">
        <v>755</v>
      </c>
      <c r="C227" t="s">
        <v>14</v>
      </c>
      <c r="D227" t="s">
        <v>783</v>
      </c>
    </row>
    <row r="228" spans="1:5" x14ac:dyDescent="0.2">
      <c r="A228" s="269">
        <v>45874.478136574071</v>
      </c>
      <c r="B228" t="s">
        <v>755</v>
      </c>
      <c r="C228" t="s">
        <v>14</v>
      </c>
      <c r="D228" t="s">
        <v>784</v>
      </c>
    </row>
    <row r="229" spans="1:5" x14ac:dyDescent="0.2">
      <c r="A229" s="269">
        <v>45874.478136574071</v>
      </c>
      <c r="B229" t="s">
        <v>755</v>
      </c>
      <c r="C229" t="s">
        <v>14</v>
      </c>
      <c r="D229" t="s">
        <v>785</v>
      </c>
      <c r="E229" t="s">
        <v>195</v>
      </c>
    </row>
    <row r="230" spans="1:5" x14ac:dyDescent="0.2">
      <c r="A230" s="269">
        <v>45874.478148148148</v>
      </c>
      <c r="B230" t="s">
        <v>755</v>
      </c>
      <c r="C230" t="s">
        <v>14</v>
      </c>
      <c r="D230" t="s">
        <v>786</v>
      </c>
      <c r="E230" t="s">
        <v>671</v>
      </c>
    </row>
    <row r="231" spans="1:5" x14ac:dyDescent="0.2">
      <c r="A231" s="269">
        <v>45874.478171296294</v>
      </c>
      <c r="B231" t="s">
        <v>755</v>
      </c>
      <c r="C231" t="s">
        <v>14</v>
      </c>
      <c r="D231" t="s">
        <v>786</v>
      </c>
      <c r="E231" t="s">
        <v>195</v>
      </c>
    </row>
    <row r="232" spans="1:5" x14ac:dyDescent="0.2">
      <c r="A232" s="269">
        <v>45874.478217592594</v>
      </c>
      <c r="B232" t="s">
        <v>755</v>
      </c>
      <c r="C232" t="s">
        <v>14</v>
      </c>
      <c r="D232" t="s">
        <v>787</v>
      </c>
    </row>
    <row r="233" spans="1:5" x14ac:dyDescent="0.2">
      <c r="A233" s="269">
        <v>45874.478217592594</v>
      </c>
      <c r="B233" t="s">
        <v>755</v>
      </c>
      <c r="C233" t="s">
        <v>14</v>
      </c>
      <c r="D233" t="s">
        <v>788</v>
      </c>
      <c r="E233" t="s">
        <v>198</v>
      </c>
    </row>
    <row r="234" spans="1:5" x14ac:dyDescent="0.2">
      <c r="A234" s="269">
        <v>45874.478252314817</v>
      </c>
      <c r="B234" t="s">
        <v>755</v>
      </c>
      <c r="C234" t="s">
        <v>14</v>
      </c>
      <c r="D234" t="s">
        <v>789</v>
      </c>
    </row>
    <row r="235" spans="1:5" x14ac:dyDescent="0.2">
      <c r="A235" s="269">
        <v>45874.478252314817</v>
      </c>
      <c r="B235" t="s">
        <v>755</v>
      </c>
      <c r="C235" t="s">
        <v>14</v>
      </c>
      <c r="D235" t="s">
        <v>790</v>
      </c>
      <c r="E235" t="s">
        <v>201</v>
      </c>
    </row>
    <row r="236" spans="1:5" x14ac:dyDescent="0.2">
      <c r="A236" s="269">
        <v>45874.479872685188</v>
      </c>
      <c r="B236" t="s">
        <v>755</v>
      </c>
      <c r="C236" t="s">
        <v>14</v>
      </c>
      <c r="D236" t="s">
        <v>791</v>
      </c>
    </row>
    <row r="237" spans="1:5" x14ac:dyDescent="0.2">
      <c r="A237" s="269">
        <v>45874.479942129627</v>
      </c>
      <c r="B237" t="s">
        <v>755</v>
      </c>
      <c r="C237" t="s">
        <v>14</v>
      </c>
      <c r="D237" t="s">
        <v>792</v>
      </c>
      <c r="E237">
        <v>1</v>
      </c>
    </row>
    <row r="238" spans="1:5" x14ac:dyDescent="0.2">
      <c r="A238" s="269">
        <v>45874.47996527778</v>
      </c>
      <c r="B238" t="s">
        <v>755</v>
      </c>
      <c r="C238" t="s">
        <v>14</v>
      </c>
      <c r="D238" t="s">
        <v>792</v>
      </c>
    </row>
    <row r="239" spans="1:5" x14ac:dyDescent="0.2">
      <c r="A239" s="269">
        <v>45874.479988425926</v>
      </c>
      <c r="B239" t="s">
        <v>755</v>
      </c>
      <c r="C239" t="s">
        <v>14</v>
      </c>
      <c r="D239" t="s">
        <v>793</v>
      </c>
    </row>
    <row r="240" spans="1:5" x14ac:dyDescent="0.2">
      <c r="A240" s="269">
        <v>45874.48</v>
      </c>
      <c r="B240" t="s">
        <v>755</v>
      </c>
      <c r="C240" t="s">
        <v>14</v>
      </c>
      <c r="D240" t="s">
        <v>793</v>
      </c>
    </row>
    <row r="241" spans="1:5" x14ac:dyDescent="0.2">
      <c r="A241" s="269">
        <v>45874.480023148149</v>
      </c>
      <c r="B241" t="s">
        <v>755</v>
      </c>
      <c r="C241" t="s">
        <v>14</v>
      </c>
      <c r="D241" t="s">
        <v>793</v>
      </c>
      <c r="E241" t="s">
        <v>195</v>
      </c>
    </row>
    <row r="242" spans="1:5" x14ac:dyDescent="0.2">
      <c r="A242" s="269">
        <v>45874.480081018519</v>
      </c>
      <c r="B242" t="s">
        <v>755</v>
      </c>
      <c r="C242" t="s">
        <v>14</v>
      </c>
      <c r="D242" t="s">
        <v>794</v>
      </c>
      <c r="E242" t="s">
        <v>195</v>
      </c>
    </row>
    <row r="243" spans="1:5" x14ac:dyDescent="0.2">
      <c r="A243" s="269">
        <v>45874.480162037034</v>
      </c>
      <c r="B243" t="s">
        <v>755</v>
      </c>
      <c r="C243" t="s">
        <v>14</v>
      </c>
      <c r="D243" t="s">
        <v>795</v>
      </c>
    </row>
    <row r="244" spans="1:5" x14ac:dyDescent="0.2">
      <c r="A244" s="269">
        <v>45874.480208333334</v>
      </c>
      <c r="B244" t="s">
        <v>755</v>
      </c>
      <c r="C244" t="s">
        <v>14</v>
      </c>
      <c r="D244" t="s">
        <v>796</v>
      </c>
    </row>
    <row r="245" spans="1:5" x14ac:dyDescent="0.2">
      <c r="A245" s="269">
        <v>45874.480312500003</v>
      </c>
      <c r="B245" t="s">
        <v>755</v>
      </c>
      <c r="C245" t="s">
        <v>14</v>
      </c>
      <c r="D245" t="s">
        <v>797</v>
      </c>
      <c r="E245" t="s">
        <v>176</v>
      </c>
    </row>
    <row r="246" spans="1:5" x14ac:dyDescent="0.2">
      <c r="A246" s="269">
        <v>45874.613298611112</v>
      </c>
      <c r="B246" t="s">
        <v>755</v>
      </c>
      <c r="C246" t="s">
        <v>101</v>
      </c>
      <c r="D246" t="s">
        <v>731</v>
      </c>
    </row>
    <row r="247" spans="1:5" x14ac:dyDescent="0.2">
      <c r="A247" s="269">
        <v>45874.613321759258</v>
      </c>
      <c r="B247" t="s">
        <v>755</v>
      </c>
      <c r="C247" t="s">
        <v>101</v>
      </c>
      <c r="D247" t="s">
        <v>732</v>
      </c>
    </row>
    <row r="248" spans="1:5" x14ac:dyDescent="0.2">
      <c r="A248" s="269">
        <v>45874.613344907404</v>
      </c>
      <c r="B248" t="s">
        <v>755</v>
      </c>
      <c r="C248" t="s">
        <v>101</v>
      </c>
      <c r="D248" t="s">
        <v>733</v>
      </c>
    </row>
    <row r="249" spans="1:5" x14ac:dyDescent="0.2">
      <c r="A249" s="269">
        <v>45874.613368055558</v>
      </c>
      <c r="B249" t="s">
        <v>755</v>
      </c>
      <c r="C249" t="s">
        <v>101</v>
      </c>
      <c r="D249" t="s">
        <v>734</v>
      </c>
    </row>
    <row r="250" spans="1:5" x14ac:dyDescent="0.2">
      <c r="A250" s="269">
        <v>45874.613391203704</v>
      </c>
      <c r="B250" t="s">
        <v>755</v>
      </c>
      <c r="C250" t="s">
        <v>101</v>
      </c>
      <c r="D250" t="s">
        <v>735</v>
      </c>
    </row>
    <row r="251" spans="1:5" x14ac:dyDescent="0.2">
      <c r="A251" s="269">
        <v>45874.613530092596</v>
      </c>
      <c r="B251" t="s">
        <v>755</v>
      </c>
      <c r="C251" t="s">
        <v>101</v>
      </c>
      <c r="D251" t="s">
        <v>798</v>
      </c>
      <c r="E251" t="s">
        <v>173</v>
      </c>
    </row>
    <row r="252" spans="1:5" x14ac:dyDescent="0.2">
      <c r="A252" s="269">
        <v>45874.613530092596</v>
      </c>
      <c r="B252" t="s">
        <v>755</v>
      </c>
      <c r="C252" t="s">
        <v>101</v>
      </c>
      <c r="D252" t="s">
        <v>799</v>
      </c>
      <c r="E252" t="s">
        <v>37</v>
      </c>
    </row>
    <row r="253" spans="1:5" x14ac:dyDescent="0.2">
      <c r="A253" s="269">
        <v>45874.614178240743</v>
      </c>
      <c r="B253" t="s">
        <v>755</v>
      </c>
      <c r="C253" t="s">
        <v>101</v>
      </c>
      <c r="D253" t="s">
        <v>800</v>
      </c>
    </row>
    <row r="254" spans="1:5" x14ac:dyDescent="0.2">
      <c r="A254" s="269">
        <v>45874.614247685182</v>
      </c>
      <c r="B254" t="s">
        <v>755</v>
      </c>
      <c r="C254" t="s">
        <v>101</v>
      </c>
      <c r="D254" t="s">
        <v>801</v>
      </c>
      <c r="E254" t="s">
        <v>300</v>
      </c>
    </row>
    <row r="255" spans="1:5" x14ac:dyDescent="0.2">
      <c r="A255" s="269">
        <v>45874.614317129628</v>
      </c>
      <c r="B255" t="s">
        <v>755</v>
      </c>
      <c r="C255" t="s">
        <v>101</v>
      </c>
      <c r="D255" t="s">
        <v>802</v>
      </c>
    </row>
    <row r="256" spans="1:5" x14ac:dyDescent="0.2">
      <c r="A256" s="269">
        <v>45874.614374999997</v>
      </c>
      <c r="B256" t="s">
        <v>755</v>
      </c>
      <c r="C256" t="s">
        <v>101</v>
      </c>
      <c r="D256" t="s">
        <v>803</v>
      </c>
    </row>
    <row r="257" spans="1:5" x14ac:dyDescent="0.2">
      <c r="A257" s="269">
        <v>45874.6169212963</v>
      </c>
      <c r="B257" t="s">
        <v>755</v>
      </c>
      <c r="C257" t="s">
        <v>101</v>
      </c>
      <c r="D257" t="s">
        <v>804</v>
      </c>
      <c r="E257" t="s">
        <v>176</v>
      </c>
    </row>
    <row r="258" spans="1:5" x14ac:dyDescent="0.2">
      <c r="A258" s="269">
        <v>45874.62327546296</v>
      </c>
      <c r="B258" t="s">
        <v>755</v>
      </c>
      <c r="C258" t="s">
        <v>642</v>
      </c>
      <c r="D258" t="s">
        <v>805</v>
      </c>
    </row>
    <row r="259" spans="1:5" x14ac:dyDescent="0.2">
      <c r="A259" s="269">
        <v>45874.623425925929</v>
      </c>
      <c r="B259" t="s">
        <v>755</v>
      </c>
      <c r="C259" t="s">
        <v>642</v>
      </c>
      <c r="D259" t="s">
        <v>731</v>
      </c>
    </row>
    <row r="260" spans="1:5" x14ac:dyDescent="0.2">
      <c r="A260" s="269">
        <v>45874.623449074075</v>
      </c>
      <c r="B260" t="s">
        <v>755</v>
      </c>
      <c r="C260" t="s">
        <v>642</v>
      </c>
      <c r="D260" t="s">
        <v>732</v>
      </c>
    </row>
    <row r="261" spans="1:5" x14ac:dyDescent="0.2">
      <c r="A261" s="269">
        <v>45874.623472222222</v>
      </c>
      <c r="B261" t="s">
        <v>755</v>
      </c>
      <c r="C261" t="s">
        <v>642</v>
      </c>
      <c r="D261" t="s">
        <v>733</v>
      </c>
    </row>
    <row r="262" spans="1:5" x14ac:dyDescent="0.2">
      <c r="A262" s="269">
        <v>45874.623495370368</v>
      </c>
      <c r="B262" t="s">
        <v>755</v>
      </c>
      <c r="C262" t="s">
        <v>642</v>
      </c>
      <c r="D262" t="s">
        <v>734</v>
      </c>
    </row>
    <row r="263" spans="1:5" x14ac:dyDescent="0.2">
      <c r="A263" s="269">
        <v>45874.623518518521</v>
      </c>
      <c r="B263" t="s">
        <v>755</v>
      </c>
      <c r="C263" t="s">
        <v>642</v>
      </c>
      <c r="D263" t="s">
        <v>735</v>
      </c>
    </row>
    <row r="264" spans="1:5" x14ac:dyDescent="0.2">
      <c r="A264" s="269">
        <v>45874.623668981483</v>
      </c>
      <c r="B264" t="s">
        <v>755</v>
      </c>
      <c r="C264" t="s">
        <v>642</v>
      </c>
      <c r="D264" t="s">
        <v>806</v>
      </c>
    </row>
    <row r="265" spans="1:5" x14ac:dyDescent="0.2">
      <c r="A265" s="269">
        <v>45874.623668981483</v>
      </c>
      <c r="B265" t="s">
        <v>755</v>
      </c>
      <c r="C265" t="s">
        <v>642</v>
      </c>
      <c r="D265" t="s">
        <v>807</v>
      </c>
      <c r="E265" t="s">
        <v>171</v>
      </c>
    </row>
    <row r="266" spans="1:5" x14ac:dyDescent="0.2">
      <c r="A266" s="269">
        <v>45874.62641203704</v>
      </c>
      <c r="B266" t="s">
        <v>755</v>
      </c>
      <c r="C266" t="s">
        <v>56</v>
      </c>
      <c r="D266" t="s">
        <v>710</v>
      </c>
    </row>
    <row r="267" spans="1:5" x14ac:dyDescent="0.2">
      <c r="A267" s="269">
        <v>45874.636817129627</v>
      </c>
      <c r="B267" t="s">
        <v>755</v>
      </c>
      <c r="C267" t="s">
        <v>26</v>
      </c>
      <c r="D267" t="s">
        <v>808</v>
      </c>
      <c r="E267" t="s">
        <v>165</v>
      </c>
    </row>
    <row r="268" spans="1:5" x14ac:dyDescent="0.2">
      <c r="A268" s="269">
        <v>45874.636863425927</v>
      </c>
      <c r="B268" t="s">
        <v>755</v>
      </c>
      <c r="C268" t="s">
        <v>26</v>
      </c>
      <c r="D268" t="s">
        <v>808</v>
      </c>
      <c r="E268" t="s">
        <v>165</v>
      </c>
    </row>
    <row r="269" spans="1:5" x14ac:dyDescent="0.2">
      <c r="A269" s="269">
        <v>45874.636956018519</v>
      </c>
      <c r="B269" t="s">
        <v>755</v>
      </c>
      <c r="C269" t="s">
        <v>56</v>
      </c>
      <c r="D269" t="s">
        <v>808</v>
      </c>
      <c r="E269" t="s">
        <v>177</v>
      </c>
    </row>
    <row r="270" spans="1:5" x14ac:dyDescent="0.2">
      <c r="A270" s="269">
        <v>45874.637013888889</v>
      </c>
      <c r="B270" t="s">
        <v>755</v>
      </c>
      <c r="C270" t="s">
        <v>14</v>
      </c>
      <c r="D270" t="s">
        <v>808</v>
      </c>
      <c r="E270" t="s">
        <v>179</v>
      </c>
    </row>
    <row r="271" spans="1:5" x14ac:dyDescent="0.2">
      <c r="A271" s="269">
        <v>45874.637071759258</v>
      </c>
      <c r="B271" t="s">
        <v>755</v>
      </c>
      <c r="C271" t="s">
        <v>101</v>
      </c>
      <c r="D271" t="s">
        <v>808</v>
      </c>
      <c r="E271" t="s">
        <v>809</v>
      </c>
    </row>
    <row r="272" spans="1:5" x14ac:dyDescent="0.2">
      <c r="A272" s="269">
        <v>45874.637141203704</v>
      </c>
      <c r="B272" t="s">
        <v>755</v>
      </c>
      <c r="C272" t="s">
        <v>101</v>
      </c>
      <c r="D272" t="s">
        <v>808</v>
      </c>
      <c r="E272" t="s">
        <v>204</v>
      </c>
    </row>
    <row r="273" spans="1:5" x14ac:dyDescent="0.2">
      <c r="A273" s="269">
        <v>45874.63721064815</v>
      </c>
      <c r="B273" t="s">
        <v>755</v>
      </c>
      <c r="C273" t="s">
        <v>642</v>
      </c>
      <c r="D273" t="s">
        <v>808</v>
      </c>
      <c r="E273" t="s">
        <v>204</v>
      </c>
    </row>
    <row r="274" spans="1:5" x14ac:dyDescent="0.2">
      <c r="A274" s="269">
        <v>45874.637280092589</v>
      </c>
      <c r="B274" t="s">
        <v>755</v>
      </c>
      <c r="C274" t="s">
        <v>25</v>
      </c>
      <c r="D274" t="s">
        <v>808</v>
      </c>
      <c r="E274" t="s">
        <v>213</v>
      </c>
    </row>
    <row r="275" spans="1:5" x14ac:dyDescent="0.2">
      <c r="A275" s="269">
        <v>45874.637349537035</v>
      </c>
      <c r="B275" t="s">
        <v>755</v>
      </c>
      <c r="C275" t="s">
        <v>27</v>
      </c>
      <c r="D275" t="s">
        <v>808</v>
      </c>
      <c r="E275" t="s">
        <v>810</v>
      </c>
    </row>
    <row r="276" spans="1:5" x14ac:dyDescent="0.2">
      <c r="A276" s="269">
        <v>45874.637557870374</v>
      </c>
      <c r="B276" t="s">
        <v>755</v>
      </c>
      <c r="C276" t="s">
        <v>27</v>
      </c>
      <c r="D276" t="s">
        <v>811</v>
      </c>
    </row>
    <row r="277" spans="1:5" x14ac:dyDescent="0.2">
      <c r="A277" s="269">
        <v>45874.637557870374</v>
      </c>
      <c r="B277" t="s">
        <v>755</v>
      </c>
      <c r="C277" t="s">
        <v>27</v>
      </c>
      <c r="D277" t="s">
        <v>812</v>
      </c>
      <c r="E277" t="s">
        <v>171</v>
      </c>
    </row>
    <row r="278" spans="1:5" x14ac:dyDescent="0.2">
      <c r="A278" s="269">
        <v>45874.637627314813</v>
      </c>
      <c r="B278" t="s">
        <v>755</v>
      </c>
      <c r="C278" t="s">
        <v>27</v>
      </c>
      <c r="D278" t="s">
        <v>811</v>
      </c>
      <c r="E278" t="s">
        <v>171</v>
      </c>
    </row>
    <row r="279" spans="1:5" x14ac:dyDescent="0.2">
      <c r="A279" s="269">
        <v>45874.637627314813</v>
      </c>
      <c r="B279" t="s">
        <v>755</v>
      </c>
      <c r="C279" t="s">
        <v>27</v>
      </c>
      <c r="D279" t="s">
        <v>812</v>
      </c>
    </row>
    <row r="280" spans="1:5" x14ac:dyDescent="0.2">
      <c r="A280" s="269">
        <v>45874.637638888889</v>
      </c>
      <c r="B280" t="s">
        <v>755</v>
      </c>
      <c r="C280" t="s">
        <v>27</v>
      </c>
      <c r="D280" t="s">
        <v>812</v>
      </c>
    </row>
    <row r="281" spans="1:5" x14ac:dyDescent="0.2">
      <c r="A281" s="269">
        <v>45874.637673611112</v>
      </c>
      <c r="B281" t="s">
        <v>755</v>
      </c>
      <c r="C281" t="s">
        <v>27</v>
      </c>
      <c r="D281" t="s">
        <v>813</v>
      </c>
    </row>
    <row r="282" spans="1:5" x14ac:dyDescent="0.2">
      <c r="A282" s="269">
        <v>45874.638148148151</v>
      </c>
      <c r="B282" t="s">
        <v>755</v>
      </c>
      <c r="C282" t="s">
        <v>27</v>
      </c>
      <c r="D282" t="s">
        <v>814</v>
      </c>
      <c r="E282">
        <v>8</v>
      </c>
    </row>
    <row r="283" spans="1:5" x14ac:dyDescent="0.2">
      <c r="A283" s="269">
        <v>45874.638148148151</v>
      </c>
      <c r="B283" t="s">
        <v>755</v>
      </c>
      <c r="C283" t="s">
        <v>27</v>
      </c>
      <c r="D283" t="s">
        <v>812</v>
      </c>
      <c r="E283" t="s">
        <v>171</v>
      </c>
    </row>
    <row r="284" spans="1:5" x14ac:dyDescent="0.2">
      <c r="A284" s="269">
        <v>45874.638402777775</v>
      </c>
      <c r="B284" t="s">
        <v>755</v>
      </c>
      <c r="C284" t="s">
        <v>27</v>
      </c>
      <c r="D284" t="s">
        <v>731</v>
      </c>
    </row>
    <row r="285" spans="1:5" x14ac:dyDescent="0.2">
      <c r="A285" s="269">
        <v>45874.638437499998</v>
      </c>
      <c r="B285" t="s">
        <v>755</v>
      </c>
      <c r="C285" t="s">
        <v>27</v>
      </c>
      <c r="D285" t="s">
        <v>732</v>
      </c>
    </row>
    <row r="286" spans="1:5" x14ac:dyDescent="0.2">
      <c r="A286" s="269">
        <v>45874.638483796298</v>
      </c>
      <c r="B286" t="s">
        <v>755</v>
      </c>
      <c r="C286" t="s">
        <v>27</v>
      </c>
      <c r="D286" t="s">
        <v>733</v>
      </c>
    </row>
    <row r="287" spans="1:5" x14ac:dyDescent="0.2">
      <c r="A287" s="269">
        <v>45874.638518518521</v>
      </c>
      <c r="B287" t="s">
        <v>755</v>
      </c>
      <c r="C287" t="s">
        <v>27</v>
      </c>
      <c r="D287" t="s">
        <v>734</v>
      </c>
    </row>
    <row r="288" spans="1:5" x14ac:dyDescent="0.2">
      <c r="A288" s="269">
        <v>45874.638564814813</v>
      </c>
      <c r="B288" t="s">
        <v>755</v>
      </c>
      <c r="C288" t="s">
        <v>27</v>
      </c>
      <c r="D288" t="s">
        <v>735</v>
      </c>
    </row>
    <row r="289" spans="1:5" x14ac:dyDescent="0.2">
      <c r="A289" s="269">
        <v>45874.638692129629</v>
      </c>
      <c r="B289" t="s">
        <v>755</v>
      </c>
      <c r="C289" t="s">
        <v>27</v>
      </c>
      <c r="D289" t="s">
        <v>815</v>
      </c>
      <c r="E289" t="s">
        <v>135</v>
      </c>
    </row>
    <row r="290" spans="1:5" x14ac:dyDescent="0.2">
      <c r="A290" s="269">
        <v>45874.638692129629</v>
      </c>
      <c r="B290" t="s">
        <v>755</v>
      </c>
      <c r="C290" t="s">
        <v>27</v>
      </c>
      <c r="D290" t="s">
        <v>816</v>
      </c>
      <c r="E290" t="s">
        <v>817</v>
      </c>
    </row>
    <row r="291" spans="1:5" x14ac:dyDescent="0.2">
      <c r="A291" s="269">
        <v>45874.647719907407</v>
      </c>
      <c r="B291" t="s">
        <v>755</v>
      </c>
      <c r="C291" t="s">
        <v>25</v>
      </c>
      <c r="D291" t="s">
        <v>731</v>
      </c>
    </row>
    <row r="292" spans="1:5" x14ac:dyDescent="0.2">
      <c r="A292" s="269">
        <v>45874.647766203707</v>
      </c>
      <c r="B292" t="s">
        <v>755</v>
      </c>
      <c r="C292" t="s">
        <v>25</v>
      </c>
      <c r="D292" t="s">
        <v>732</v>
      </c>
    </row>
    <row r="293" spans="1:5" x14ac:dyDescent="0.2">
      <c r="A293" s="269">
        <v>45874.647800925923</v>
      </c>
      <c r="B293" t="s">
        <v>755</v>
      </c>
      <c r="C293" t="s">
        <v>25</v>
      </c>
      <c r="D293" t="s">
        <v>733</v>
      </c>
    </row>
    <row r="294" spans="1:5" x14ac:dyDescent="0.2">
      <c r="A294" s="269">
        <v>45874.647847222222</v>
      </c>
      <c r="B294" t="s">
        <v>755</v>
      </c>
      <c r="C294" t="s">
        <v>25</v>
      </c>
      <c r="D294" t="s">
        <v>733</v>
      </c>
    </row>
    <row r="295" spans="1:5" x14ac:dyDescent="0.2">
      <c r="A295" s="269">
        <v>45874.647893518515</v>
      </c>
      <c r="B295" t="s">
        <v>755</v>
      </c>
      <c r="C295" t="s">
        <v>25</v>
      </c>
      <c r="D295" t="s">
        <v>734</v>
      </c>
    </row>
    <row r="296" spans="1:5" x14ac:dyDescent="0.2">
      <c r="A296" s="269">
        <v>45874.647939814815</v>
      </c>
      <c r="B296" t="s">
        <v>755</v>
      </c>
      <c r="C296" t="s">
        <v>25</v>
      </c>
      <c r="D296" t="s">
        <v>735</v>
      </c>
    </row>
    <row r="297" spans="1:5" x14ac:dyDescent="0.2">
      <c r="A297" s="269">
        <v>45874.64806712963</v>
      </c>
      <c r="B297" t="s">
        <v>755</v>
      </c>
      <c r="C297" t="s">
        <v>25</v>
      </c>
      <c r="D297" t="s">
        <v>818</v>
      </c>
    </row>
    <row r="298" spans="1:5" x14ac:dyDescent="0.2">
      <c r="A298" s="269">
        <v>45874.64806712963</v>
      </c>
      <c r="B298" t="s">
        <v>755</v>
      </c>
      <c r="C298" t="s">
        <v>25</v>
      </c>
      <c r="D298" t="s">
        <v>819</v>
      </c>
      <c r="E298" t="s">
        <v>118</v>
      </c>
    </row>
    <row r="299" spans="1:5" x14ac:dyDescent="0.2">
      <c r="A299" s="269">
        <v>45874.648125</v>
      </c>
      <c r="B299" t="s">
        <v>755</v>
      </c>
      <c r="C299" t="s">
        <v>25</v>
      </c>
      <c r="D299" t="s">
        <v>820</v>
      </c>
    </row>
    <row r="300" spans="1:5" x14ac:dyDescent="0.2">
      <c r="A300" s="269">
        <v>45874.658784722225</v>
      </c>
      <c r="B300" t="s">
        <v>755</v>
      </c>
      <c r="C300" t="s">
        <v>609</v>
      </c>
      <c r="D300" t="s">
        <v>821</v>
      </c>
      <c r="E300" t="s">
        <v>822</v>
      </c>
    </row>
    <row r="301" spans="1:5" x14ac:dyDescent="0.2">
      <c r="A301" s="269">
        <v>45874.658819444441</v>
      </c>
      <c r="B301" t="s">
        <v>755</v>
      </c>
      <c r="C301" t="s">
        <v>609</v>
      </c>
      <c r="D301" t="s">
        <v>821</v>
      </c>
      <c r="E301" t="s">
        <v>822</v>
      </c>
    </row>
    <row r="302" spans="1:5" x14ac:dyDescent="0.2">
      <c r="A302" s="269">
        <v>45874.708935185183</v>
      </c>
      <c r="B302" t="s">
        <v>755</v>
      </c>
      <c r="C302" t="s">
        <v>642</v>
      </c>
      <c r="D302" t="s">
        <v>823</v>
      </c>
    </row>
    <row r="303" spans="1:5" x14ac:dyDescent="0.2">
      <c r="A303" s="269">
        <v>45874.710127314815</v>
      </c>
      <c r="B303" t="s">
        <v>755</v>
      </c>
      <c r="C303" t="s">
        <v>642</v>
      </c>
      <c r="D303" t="s">
        <v>824</v>
      </c>
    </row>
    <row r="304" spans="1:5" x14ac:dyDescent="0.2">
      <c r="A304" s="269">
        <v>45874.710393518515</v>
      </c>
      <c r="B304" t="s">
        <v>755</v>
      </c>
      <c r="C304" t="s">
        <v>642</v>
      </c>
      <c r="D304" t="s">
        <v>738</v>
      </c>
    </row>
    <row r="305" spans="1:5" x14ac:dyDescent="0.2">
      <c r="A305" s="269">
        <v>45874.710393518515</v>
      </c>
      <c r="B305" t="s">
        <v>755</v>
      </c>
      <c r="C305" t="s">
        <v>642</v>
      </c>
      <c r="D305" t="s">
        <v>825</v>
      </c>
      <c r="E305" t="s">
        <v>229</v>
      </c>
    </row>
    <row r="306" spans="1:5" x14ac:dyDescent="0.2">
      <c r="A306" s="269">
        <v>45874.710428240738</v>
      </c>
      <c r="B306" t="s">
        <v>755</v>
      </c>
      <c r="C306" t="s">
        <v>642</v>
      </c>
      <c r="D306" t="s">
        <v>826</v>
      </c>
    </row>
    <row r="307" spans="1:5" x14ac:dyDescent="0.2">
      <c r="A307" s="269">
        <v>45874.710555555554</v>
      </c>
      <c r="B307" t="s">
        <v>755</v>
      </c>
      <c r="C307" t="s">
        <v>642</v>
      </c>
      <c r="D307" t="s">
        <v>721</v>
      </c>
    </row>
    <row r="308" spans="1:5" x14ac:dyDescent="0.2">
      <c r="A308" s="269">
        <v>45874.710555555554</v>
      </c>
      <c r="B308" t="s">
        <v>755</v>
      </c>
      <c r="C308" t="s">
        <v>642</v>
      </c>
      <c r="D308" t="s">
        <v>827</v>
      </c>
      <c r="E308" t="s">
        <v>224</v>
      </c>
    </row>
    <row r="309" spans="1:5" x14ac:dyDescent="0.2">
      <c r="A309" s="269">
        <v>45874.710729166669</v>
      </c>
      <c r="B309" t="s">
        <v>755</v>
      </c>
      <c r="C309" t="s">
        <v>642</v>
      </c>
      <c r="D309" t="s">
        <v>827</v>
      </c>
      <c r="E309" t="s">
        <v>227</v>
      </c>
    </row>
    <row r="310" spans="1:5" x14ac:dyDescent="0.2">
      <c r="A310" s="269">
        <v>45874.710729166669</v>
      </c>
      <c r="B310" t="s">
        <v>755</v>
      </c>
      <c r="C310" t="s">
        <v>642</v>
      </c>
      <c r="D310" t="s">
        <v>721</v>
      </c>
      <c r="E310" t="s">
        <v>224</v>
      </c>
    </row>
    <row r="311" spans="1:5" x14ac:dyDescent="0.2">
      <c r="A311" s="269">
        <v>45874.710821759261</v>
      </c>
      <c r="B311" t="s">
        <v>755</v>
      </c>
      <c r="C311" t="s">
        <v>642</v>
      </c>
      <c r="D311" t="s">
        <v>828</v>
      </c>
      <c r="E311">
        <v>1</v>
      </c>
    </row>
    <row r="312" spans="1:5" x14ac:dyDescent="0.2">
      <c r="A312" s="269">
        <v>45874.710821759261</v>
      </c>
      <c r="B312" t="s">
        <v>755</v>
      </c>
      <c r="C312" t="s">
        <v>642</v>
      </c>
      <c r="D312" t="s">
        <v>829</v>
      </c>
      <c r="E312" t="s">
        <v>171</v>
      </c>
    </row>
    <row r="313" spans="1:5" x14ac:dyDescent="0.2">
      <c r="A313" s="269">
        <v>45874.711481481485</v>
      </c>
      <c r="B313" t="s">
        <v>755</v>
      </c>
      <c r="C313" t="s">
        <v>642</v>
      </c>
      <c r="D313" t="s">
        <v>829</v>
      </c>
    </row>
    <row r="314" spans="1:5" x14ac:dyDescent="0.2">
      <c r="A314" s="269">
        <v>45874.711481481485</v>
      </c>
      <c r="B314" t="s">
        <v>755</v>
      </c>
      <c r="C314" t="s">
        <v>642</v>
      </c>
      <c r="D314" t="s">
        <v>828</v>
      </c>
      <c r="E314" t="s">
        <v>171</v>
      </c>
    </row>
    <row r="315" spans="1:5" x14ac:dyDescent="0.2">
      <c r="A315" s="269">
        <v>45874.712430555555</v>
      </c>
      <c r="B315" t="s">
        <v>755</v>
      </c>
      <c r="C315" t="s">
        <v>642</v>
      </c>
      <c r="D315" t="s">
        <v>830</v>
      </c>
      <c r="E315" t="s">
        <v>210</v>
      </c>
    </row>
    <row r="316" spans="1:5" x14ac:dyDescent="0.2">
      <c r="A316" s="269">
        <v>45874.712569444448</v>
      </c>
      <c r="B316" t="s">
        <v>755</v>
      </c>
      <c r="C316" t="s">
        <v>642</v>
      </c>
      <c r="D316" t="s">
        <v>831</v>
      </c>
      <c r="E316" t="s">
        <v>113</v>
      </c>
    </row>
    <row r="317" spans="1:5" x14ac:dyDescent="0.2">
      <c r="A317" s="269">
        <v>45874.71303240741</v>
      </c>
      <c r="B317" t="s">
        <v>755</v>
      </c>
      <c r="C317" t="s">
        <v>642</v>
      </c>
      <c r="D317" t="s">
        <v>832</v>
      </c>
    </row>
    <row r="318" spans="1:5" x14ac:dyDescent="0.2">
      <c r="A318" s="269">
        <v>45874.71303240741</v>
      </c>
      <c r="B318" t="s">
        <v>755</v>
      </c>
      <c r="C318" t="s">
        <v>642</v>
      </c>
      <c r="D318" t="s">
        <v>833</v>
      </c>
      <c r="E318" t="s">
        <v>102</v>
      </c>
    </row>
    <row r="319" spans="1:5" x14ac:dyDescent="0.2">
      <c r="A319" s="269">
        <v>45874.713101851848</v>
      </c>
      <c r="B319" t="s">
        <v>755</v>
      </c>
      <c r="C319" t="s">
        <v>642</v>
      </c>
      <c r="D319" t="s">
        <v>760</v>
      </c>
      <c r="E319" t="s">
        <v>173</v>
      </c>
    </row>
    <row r="320" spans="1:5" x14ac:dyDescent="0.2">
      <c r="A320" s="269">
        <v>45874.713101851848</v>
      </c>
      <c r="B320" t="s">
        <v>755</v>
      </c>
      <c r="C320" t="s">
        <v>642</v>
      </c>
      <c r="D320" t="s">
        <v>834</v>
      </c>
      <c r="E320" t="s">
        <v>37</v>
      </c>
    </row>
    <row r="321" spans="1:5" x14ac:dyDescent="0.2">
      <c r="A321" s="269">
        <v>45874.713356481479</v>
      </c>
      <c r="B321" t="s">
        <v>755</v>
      </c>
      <c r="C321" t="s">
        <v>642</v>
      </c>
      <c r="D321" t="s">
        <v>835</v>
      </c>
      <c r="E321" t="s">
        <v>171</v>
      </c>
    </row>
    <row r="322" spans="1:5" x14ac:dyDescent="0.2">
      <c r="A322" s="269">
        <v>45874.713460648149</v>
      </c>
      <c r="B322" t="s">
        <v>755</v>
      </c>
      <c r="C322" t="s">
        <v>642</v>
      </c>
      <c r="D322" t="s">
        <v>836</v>
      </c>
      <c r="E322" t="s">
        <v>302</v>
      </c>
    </row>
    <row r="323" spans="1:5" x14ac:dyDescent="0.2">
      <c r="A323" s="269">
        <v>45874.713541666664</v>
      </c>
      <c r="B323" t="s">
        <v>755</v>
      </c>
      <c r="C323" t="s">
        <v>642</v>
      </c>
      <c r="D323" t="s">
        <v>837</v>
      </c>
      <c r="E323">
        <v>15</v>
      </c>
    </row>
    <row r="324" spans="1:5" x14ac:dyDescent="0.2">
      <c r="A324" s="269">
        <v>45874.713587962964</v>
      </c>
      <c r="B324" t="s">
        <v>755</v>
      </c>
      <c r="C324" t="s">
        <v>642</v>
      </c>
      <c r="D324" t="s">
        <v>838</v>
      </c>
    </row>
    <row r="325" spans="1:5" x14ac:dyDescent="0.2">
      <c r="A325" s="269">
        <v>45874.71365740741</v>
      </c>
      <c r="B325" t="s">
        <v>755</v>
      </c>
      <c r="C325" t="s">
        <v>642</v>
      </c>
      <c r="D325" t="s">
        <v>839</v>
      </c>
    </row>
    <row r="326" spans="1:5" x14ac:dyDescent="0.2">
      <c r="A326" s="269">
        <v>45874.713900462964</v>
      </c>
      <c r="B326" t="s">
        <v>755</v>
      </c>
      <c r="C326" t="s">
        <v>642</v>
      </c>
      <c r="D326" t="s">
        <v>752</v>
      </c>
      <c r="E326" t="s">
        <v>176</v>
      </c>
    </row>
    <row r="327" spans="1:5" x14ac:dyDescent="0.2">
      <c r="A327" s="269">
        <v>45874.714988425927</v>
      </c>
      <c r="B327" t="s">
        <v>755</v>
      </c>
      <c r="C327" t="s">
        <v>25</v>
      </c>
      <c r="D327" t="s">
        <v>840</v>
      </c>
    </row>
    <row r="328" spans="1:5" x14ac:dyDescent="0.2">
      <c r="A328" s="269">
        <v>45874.715069444443</v>
      </c>
      <c r="B328" t="s">
        <v>755</v>
      </c>
      <c r="C328" t="s">
        <v>25</v>
      </c>
      <c r="D328" t="s">
        <v>841</v>
      </c>
      <c r="E328" t="s">
        <v>118</v>
      </c>
    </row>
    <row r="329" spans="1:5" x14ac:dyDescent="0.2">
      <c r="A329" s="269">
        <v>45874.715069444443</v>
      </c>
      <c r="B329" t="s">
        <v>755</v>
      </c>
      <c r="C329" t="s">
        <v>25</v>
      </c>
      <c r="D329" t="s">
        <v>739</v>
      </c>
      <c r="E329" t="s">
        <v>217</v>
      </c>
    </row>
    <row r="330" spans="1:5" x14ac:dyDescent="0.2">
      <c r="A330" s="269">
        <v>45874.715162037035</v>
      </c>
      <c r="B330" t="s">
        <v>755</v>
      </c>
      <c r="C330" t="s">
        <v>25</v>
      </c>
      <c r="D330" t="s">
        <v>799</v>
      </c>
      <c r="E330" t="s">
        <v>173</v>
      </c>
    </row>
    <row r="331" spans="1:5" x14ac:dyDescent="0.2">
      <c r="A331" s="269">
        <v>45874.715162037035</v>
      </c>
      <c r="B331" t="s">
        <v>755</v>
      </c>
      <c r="C331" t="s">
        <v>25</v>
      </c>
      <c r="D331" t="s">
        <v>760</v>
      </c>
      <c r="E331" t="s">
        <v>37</v>
      </c>
    </row>
    <row r="332" spans="1:5" x14ac:dyDescent="0.2">
      <c r="A332" s="269">
        <v>45874.716643518521</v>
      </c>
      <c r="B332" t="s">
        <v>755</v>
      </c>
      <c r="C332" t="s">
        <v>25</v>
      </c>
      <c r="D332" t="s">
        <v>842</v>
      </c>
      <c r="E332" t="s">
        <v>171</v>
      </c>
    </row>
    <row r="333" spans="1:5" x14ac:dyDescent="0.2">
      <c r="A333" s="269">
        <v>45874.71671296296</v>
      </c>
      <c r="B333" t="s">
        <v>755</v>
      </c>
      <c r="C333" t="s">
        <v>25</v>
      </c>
      <c r="D333" t="s">
        <v>843</v>
      </c>
      <c r="E333" t="s">
        <v>171</v>
      </c>
    </row>
    <row r="334" spans="1:5" x14ac:dyDescent="0.2">
      <c r="A334" s="269">
        <v>45874.718321759261</v>
      </c>
      <c r="B334" t="s">
        <v>755</v>
      </c>
      <c r="C334" t="s">
        <v>25</v>
      </c>
      <c r="D334" t="s">
        <v>844</v>
      </c>
      <c r="E334" t="s">
        <v>306</v>
      </c>
    </row>
    <row r="335" spans="1:5" x14ac:dyDescent="0.2">
      <c r="A335" s="269">
        <v>45874.718356481484</v>
      </c>
      <c r="B335" t="s">
        <v>755</v>
      </c>
      <c r="C335" t="s">
        <v>25</v>
      </c>
      <c r="D335" t="s">
        <v>844</v>
      </c>
    </row>
    <row r="336" spans="1:5" x14ac:dyDescent="0.2">
      <c r="A336" s="269">
        <v>45874.718622685185</v>
      </c>
      <c r="B336" t="s">
        <v>755</v>
      </c>
      <c r="C336" t="s">
        <v>25</v>
      </c>
      <c r="D336" t="s">
        <v>804</v>
      </c>
      <c r="E336" t="s">
        <v>176</v>
      </c>
    </row>
    <row r="337" spans="1:5" x14ac:dyDescent="0.2">
      <c r="A337" s="269">
        <v>45874.718888888892</v>
      </c>
      <c r="B337" t="s">
        <v>755</v>
      </c>
      <c r="C337" t="s">
        <v>27</v>
      </c>
      <c r="D337" t="s">
        <v>845</v>
      </c>
      <c r="E337" t="s">
        <v>171</v>
      </c>
    </row>
    <row r="338" spans="1:5" x14ac:dyDescent="0.2">
      <c r="A338" s="269">
        <v>45874.718981481485</v>
      </c>
      <c r="B338" t="s">
        <v>755</v>
      </c>
      <c r="C338" t="s">
        <v>27</v>
      </c>
      <c r="D338" t="s">
        <v>804</v>
      </c>
      <c r="E338" t="s">
        <v>176</v>
      </c>
    </row>
    <row r="339" spans="1:5" x14ac:dyDescent="0.2">
      <c r="A339" s="269">
        <v>45874.733564814815</v>
      </c>
      <c r="B339" t="s">
        <v>755</v>
      </c>
      <c r="C339" t="s">
        <v>27</v>
      </c>
      <c r="D339" t="s">
        <v>846</v>
      </c>
    </row>
    <row r="340" spans="1:5" x14ac:dyDescent="0.2">
      <c r="A340" s="269">
        <v>45874.7344212963</v>
      </c>
      <c r="B340" t="s">
        <v>755</v>
      </c>
      <c r="C340" t="s">
        <v>27</v>
      </c>
      <c r="D340" t="s">
        <v>847</v>
      </c>
    </row>
    <row r="341" spans="1:5" x14ac:dyDescent="0.2">
      <c r="A341" s="269">
        <v>45874.734594907408</v>
      </c>
      <c r="B341" t="s">
        <v>755</v>
      </c>
      <c r="C341" t="s">
        <v>27</v>
      </c>
      <c r="D341" t="s">
        <v>847</v>
      </c>
    </row>
    <row r="342" spans="1:5" x14ac:dyDescent="0.2">
      <c r="A342" s="269">
        <v>45874.736273148148</v>
      </c>
      <c r="B342" t="s">
        <v>755</v>
      </c>
      <c r="C342" t="s">
        <v>27</v>
      </c>
      <c r="D342" t="s">
        <v>848</v>
      </c>
    </row>
    <row r="343" spans="1:5" x14ac:dyDescent="0.2">
      <c r="A343" s="269">
        <v>45874.737025462964</v>
      </c>
      <c r="B343" t="s">
        <v>755</v>
      </c>
      <c r="C343" t="s">
        <v>27</v>
      </c>
      <c r="D343" t="s">
        <v>849</v>
      </c>
    </row>
    <row r="344" spans="1:5" x14ac:dyDescent="0.2">
      <c r="A344" s="269">
        <v>45874.737199074072</v>
      </c>
      <c r="B344" t="s">
        <v>755</v>
      </c>
      <c r="C344" t="s">
        <v>27</v>
      </c>
      <c r="D344" t="s">
        <v>850</v>
      </c>
    </row>
    <row r="345" spans="1:5" x14ac:dyDescent="0.2">
      <c r="A345" s="269">
        <v>45874.75509259259</v>
      </c>
      <c r="B345" t="s">
        <v>755</v>
      </c>
      <c r="C345" t="s">
        <v>27</v>
      </c>
      <c r="D345" t="s">
        <v>851</v>
      </c>
      <c r="E345" t="s">
        <v>44</v>
      </c>
    </row>
    <row r="346" spans="1:5" x14ac:dyDescent="0.2">
      <c r="A346" s="269">
        <v>45874.755231481482</v>
      </c>
      <c r="B346" t="s">
        <v>755</v>
      </c>
      <c r="C346" t="s">
        <v>27</v>
      </c>
      <c r="D346" t="s">
        <v>852</v>
      </c>
    </row>
    <row r="347" spans="1:5" x14ac:dyDescent="0.2">
      <c r="A347" s="269">
        <v>45874.755243055559</v>
      </c>
      <c r="B347" t="s">
        <v>755</v>
      </c>
      <c r="C347" t="s">
        <v>27</v>
      </c>
      <c r="D347" t="s">
        <v>852</v>
      </c>
    </row>
    <row r="348" spans="1:5" x14ac:dyDescent="0.2">
      <c r="A348" s="269">
        <v>45874.755266203705</v>
      </c>
      <c r="B348" t="s">
        <v>755</v>
      </c>
      <c r="C348" t="s">
        <v>27</v>
      </c>
      <c r="D348" t="s">
        <v>823</v>
      </c>
    </row>
    <row r="349" spans="1:5" x14ac:dyDescent="0.2">
      <c r="A349" s="269">
        <v>45874.755300925928</v>
      </c>
      <c r="B349" t="s">
        <v>755</v>
      </c>
      <c r="C349" t="s">
        <v>27</v>
      </c>
      <c r="D349" t="s">
        <v>853</v>
      </c>
    </row>
    <row r="350" spans="1:5" x14ac:dyDescent="0.2">
      <c r="A350" s="269">
        <v>45874.757013888891</v>
      </c>
      <c r="B350" t="s">
        <v>755</v>
      </c>
      <c r="C350" t="s">
        <v>632</v>
      </c>
      <c r="D350" t="s">
        <v>854</v>
      </c>
      <c r="E350" t="s">
        <v>363</v>
      </c>
    </row>
    <row r="351" spans="1:5" x14ac:dyDescent="0.2">
      <c r="A351" s="269">
        <v>45874.757037037038</v>
      </c>
      <c r="B351" t="s">
        <v>755</v>
      </c>
      <c r="C351" t="s">
        <v>632</v>
      </c>
      <c r="D351" t="s">
        <v>855</v>
      </c>
      <c r="E351" t="s">
        <v>363</v>
      </c>
    </row>
    <row r="352" spans="1:5" x14ac:dyDescent="0.2">
      <c r="A352" s="269">
        <v>45874.757118055553</v>
      </c>
      <c r="B352" t="s">
        <v>755</v>
      </c>
      <c r="C352" t="s">
        <v>632</v>
      </c>
      <c r="D352" t="s">
        <v>856</v>
      </c>
      <c r="E352" t="s">
        <v>857</v>
      </c>
    </row>
    <row r="353" spans="1:5" x14ac:dyDescent="0.2">
      <c r="A353" s="269">
        <v>45874.757175925923</v>
      </c>
      <c r="B353" t="s">
        <v>755</v>
      </c>
      <c r="C353" t="s">
        <v>632</v>
      </c>
      <c r="D353" t="s">
        <v>858</v>
      </c>
      <c r="E353" t="s">
        <v>379</v>
      </c>
    </row>
    <row r="354" spans="1:5" ht="32" x14ac:dyDescent="0.2">
      <c r="A354" s="269">
        <v>45874.757233796299</v>
      </c>
      <c r="B354" t="s">
        <v>755</v>
      </c>
      <c r="C354" t="s">
        <v>632</v>
      </c>
      <c r="D354" t="s">
        <v>859</v>
      </c>
      <c r="E354" s="6" t="s">
        <v>860</v>
      </c>
    </row>
    <row r="355" spans="1:5" x14ac:dyDescent="0.2">
      <c r="A355" s="269">
        <v>45874.757303240738</v>
      </c>
      <c r="B355" t="s">
        <v>755</v>
      </c>
      <c r="C355" t="s">
        <v>632</v>
      </c>
      <c r="D355" t="s">
        <v>859</v>
      </c>
      <c r="E355" t="s">
        <v>861</v>
      </c>
    </row>
    <row r="356" spans="1:5" x14ac:dyDescent="0.2">
      <c r="A356" s="269">
        <v>45874.757349537038</v>
      </c>
      <c r="B356" t="s">
        <v>755</v>
      </c>
      <c r="C356" t="s">
        <v>632</v>
      </c>
      <c r="D356" t="s">
        <v>859</v>
      </c>
      <c r="E356" t="s">
        <v>862</v>
      </c>
    </row>
    <row r="357" spans="1:5" x14ac:dyDescent="0.2">
      <c r="A357" s="269">
        <v>45874.7575</v>
      </c>
      <c r="B357" t="s">
        <v>755</v>
      </c>
      <c r="C357" t="s">
        <v>632</v>
      </c>
      <c r="D357" t="s">
        <v>863</v>
      </c>
      <c r="E357" t="s">
        <v>862</v>
      </c>
    </row>
    <row r="358" spans="1:5" x14ac:dyDescent="0.2">
      <c r="A358" s="269">
        <v>45874.757511574076</v>
      </c>
      <c r="B358" t="s">
        <v>755</v>
      </c>
      <c r="C358" t="s">
        <v>632</v>
      </c>
      <c r="D358" t="s">
        <v>863</v>
      </c>
      <c r="E358" t="s">
        <v>362</v>
      </c>
    </row>
    <row r="359" spans="1:5" x14ac:dyDescent="0.2">
      <c r="A359" s="269">
        <v>45874.758831018517</v>
      </c>
      <c r="B359" t="s">
        <v>755</v>
      </c>
      <c r="C359" t="s">
        <v>26</v>
      </c>
      <c r="D359" t="s">
        <v>725</v>
      </c>
      <c r="E359" t="s">
        <v>70</v>
      </c>
    </row>
    <row r="360" spans="1:5" x14ac:dyDescent="0.2">
      <c r="A360" s="269">
        <v>45874.758923611109</v>
      </c>
      <c r="B360" t="s">
        <v>755</v>
      </c>
      <c r="C360" t="s">
        <v>609</v>
      </c>
      <c r="D360" t="s">
        <v>618</v>
      </c>
      <c r="E360" t="s">
        <v>70</v>
      </c>
    </row>
    <row r="361" spans="1:5" ht="224" x14ac:dyDescent="0.2">
      <c r="A361" s="269">
        <v>45874.767754629633</v>
      </c>
      <c r="B361" t="s">
        <v>755</v>
      </c>
      <c r="C361" t="s">
        <v>609</v>
      </c>
      <c r="D361" t="s">
        <v>864</v>
      </c>
      <c r="E361" s="6" t="s">
        <v>865</v>
      </c>
    </row>
    <row r="362" spans="1:5" ht="224" x14ac:dyDescent="0.2">
      <c r="A362" s="269">
        <v>45874.767789351848</v>
      </c>
      <c r="B362" t="s">
        <v>755</v>
      </c>
      <c r="C362" t="s">
        <v>609</v>
      </c>
      <c r="D362" t="s">
        <v>864</v>
      </c>
      <c r="E362" s="6" t="s">
        <v>865</v>
      </c>
    </row>
    <row r="363" spans="1:5" ht="224" x14ac:dyDescent="0.2">
      <c r="A363" s="269">
        <v>45874.768043981479</v>
      </c>
      <c r="B363" t="s">
        <v>755</v>
      </c>
      <c r="C363" t="s">
        <v>609</v>
      </c>
      <c r="D363" t="s">
        <v>864</v>
      </c>
      <c r="E363" s="6" t="s">
        <v>865</v>
      </c>
    </row>
    <row r="364" spans="1:5" x14ac:dyDescent="0.2">
      <c r="A364" s="269">
        <v>45874.768611111111</v>
      </c>
      <c r="B364" t="s">
        <v>755</v>
      </c>
      <c r="C364" t="s">
        <v>609</v>
      </c>
      <c r="D364" t="s">
        <v>864</v>
      </c>
      <c r="E364" t="s">
        <v>866</v>
      </c>
    </row>
    <row r="365" spans="1:5" ht="224" x14ac:dyDescent="0.2">
      <c r="A365" s="269">
        <v>45874.768680555557</v>
      </c>
      <c r="B365" t="s">
        <v>755</v>
      </c>
      <c r="C365" t="s">
        <v>609</v>
      </c>
      <c r="D365" t="s">
        <v>867</v>
      </c>
      <c r="E365" s="6" t="s">
        <v>866</v>
      </c>
    </row>
    <row r="366" spans="1:5" x14ac:dyDescent="0.2">
      <c r="A366" s="269">
        <v>45874.772719907407</v>
      </c>
      <c r="B366" t="s">
        <v>755</v>
      </c>
      <c r="C366" t="s">
        <v>632</v>
      </c>
      <c r="D366" t="s">
        <v>868</v>
      </c>
      <c r="E366" t="s">
        <v>137</v>
      </c>
    </row>
    <row r="367" spans="1:5" x14ac:dyDescent="0.2">
      <c r="A367" s="269">
        <v>45874.772743055553</v>
      </c>
      <c r="B367" t="s">
        <v>755</v>
      </c>
      <c r="C367" t="s">
        <v>632</v>
      </c>
      <c r="D367" t="s">
        <v>868</v>
      </c>
      <c r="E367" t="s">
        <v>314</v>
      </c>
    </row>
    <row r="368" spans="1:5" x14ac:dyDescent="0.2">
      <c r="A368" s="269">
        <v>45874.772847222222</v>
      </c>
      <c r="B368" t="s">
        <v>755</v>
      </c>
      <c r="C368" t="s">
        <v>632</v>
      </c>
      <c r="D368" t="s">
        <v>868</v>
      </c>
      <c r="E368" t="s">
        <v>137</v>
      </c>
    </row>
    <row r="369" spans="1:5" x14ac:dyDescent="0.2">
      <c r="A369" s="269">
        <v>45874.772881944446</v>
      </c>
      <c r="B369" t="s">
        <v>755</v>
      </c>
      <c r="C369" t="s">
        <v>632</v>
      </c>
      <c r="D369" t="s">
        <v>868</v>
      </c>
      <c r="E369" t="s">
        <v>314</v>
      </c>
    </row>
    <row r="370" spans="1:5" x14ac:dyDescent="0.2">
      <c r="A370" s="269">
        <v>45874.772951388892</v>
      </c>
      <c r="B370" t="s">
        <v>755</v>
      </c>
      <c r="C370" t="s">
        <v>632</v>
      </c>
      <c r="D370" t="s">
        <v>868</v>
      </c>
      <c r="E370" t="s">
        <v>137</v>
      </c>
    </row>
    <row r="371" spans="1:5" x14ac:dyDescent="0.2">
      <c r="A371" s="269">
        <v>45874.773287037038</v>
      </c>
      <c r="B371" t="s">
        <v>755</v>
      </c>
      <c r="C371" t="s">
        <v>632</v>
      </c>
      <c r="D371" t="s">
        <v>869</v>
      </c>
      <c r="E371" t="s">
        <v>137</v>
      </c>
    </row>
    <row r="372" spans="1:5" x14ac:dyDescent="0.2">
      <c r="A372" s="269">
        <v>45874.774699074071</v>
      </c>
      <c r="B372" t="s">
        <v>755</v>
      </c>
      <c r="C372" t="s">
        <v>632</v>
      </c>
      <c r="D372" t="s">
        <v>870</v>
      </c>
      <c r="E372" t="s">
        <v>362</v>
      </c>
    </row>
    <row r="373" spans="1:5" x14ac:dyDescent="0.2">
      <c r="A373" s="269">
        <v>45874.77480324074</v>
      </c>
      <c r="B373" t="s">
        <v>755</v>
      </c>
      <c r="C373" t="s">
        <v>632</v>
      </c>
      <c r="D373" t="s">
        <v>871</v>
      </c>
      <c r="E373" t="s">
        <v>362</v>
      </c>
    </row>
    <row r="374" spans="1:5" x14ac:dyDescent="0.2">
      <c r="A374" s="269">
        <v>45874.775972222225</v>
      </c>
      <c r="B374" t="s">
        <v>755</v>
      </c>
      <c r="C374" t="s">
        <v>27</v>
      </c>
      <c r="D374" t="s">
        <v>872</v>
      </c>
      <c r="E374" t="s">
        <v>362</v>
      </c>
    </row>
    <row r="375" spans="1:5" ht="96" x14ac:dyDescent="0.2">
      <c r="A375" s="269">
        <v>45874.778043981481</v>
      </c>
      <c r="B375" t="s">
        <v>755</v>
      </c>
      <c r="C375" t="s">
        <v>609</v>
      </c>
      <c r="D375" t="s">
        <v>873</v>
      </c>
      <c r="E375" s="6" t="s">
        <v>874</v>
      </c>
    </row>
    <row r="376" spans="1:5" ht="96" x14ac:dyDescent="0.2">
      <c r="A376" s="269">
        <v>45874.77847222222</v>
      </c>
      <c r="B376" t="s">
        <v>755</v>
      </c>
      <c r="C376" t="s">
        <v>609</v>
      </c>
      <c r="D376" t="s">
        <v>873</v>
      </c>
      <c r="E376" s="6" t="s">
        <v>875</v>
      </c>
    </row>
    <row r="377" spans="1:5" ht="80" x14ac:dyDescent="0.2">
      <c r="A377" s="269">
        <v>45874.778634259259</v>
      </c>
      <c r="B377" t="s">
        <v>755</v>
      </c>
      <c r="C377" t="s">
        <v>609</v>
      </c>
      <c r="D377" t="s">
        <v>873</v>
      </c>
      <c r="E377" s="6" t="s">
        <v>876</v>
      </c>
    </row>
    <row r="378" spans="1:5" x14ac:dyDescent="0.2">
      <c r="A378" s="269">
        <v>45874.778993055559</v>
      </c>
      <c r="B378" t="s">
        <v>755</v>
      </c>
      <c r="C378" t="s">
        <v>632</v>
      </c>
      <c r="D378" t="s">
        <v>877</v>
      </c>
      <c r="E378" t="s">
        <v>878</v>
      </c>
    </row>
    <row r="379" spans="1:5" x14ac:dyDescent="0.2">
      <c r="A379" s="269">
        <v>45874.779004629629</v>
      </c>
      <c r="B379" t="s">
        <v>755</v>
      </c>
      <c r="C379" t="s">
        <v>632</v>
      </c>
      <c r="D379" t="s">
        <v>879</v>
      </c>
    </row>
    <row r="380" spans="1:5" x14ac:dyDescent="0.2">
      <c r="A380" s="269">
        <v>45874.779328703706</v>
      </c>
      <c r="B380" t="s">
        <v>755</v>
      </c>
      <c r="C380" t="s">
        <v>632</v>
      </c>
      <c r="D380" t="s">
        <v>877</v>
      </c>
      <c r="E380" t="s">
        <v>362</v>
      </c>
    </row>
    <row r="381" spans="1:5" x14ac:dyDescent="0.2">
      <c r="A381" s="269">
        <v>45874.779340277775</v>
      </c>
      <c r="B381" t="s">
        <v>755</v>
      </c>
      <c r="C381" t="s">
        <v>632</v>
      </c>
      <c r="D381" t="s">
        <v>880</v>
      </c>
      <c r="E381" t="s">
        <v>362</v>
      </c>
    </row>
    <row r="382" spans="1:5" x14ac:dyDescent="0.2">
      <c r="A382" s="269">
        <v>45874.782418981478</v>
      </c>
      <c r="B382" t="s">
        <v>755</v>
      </c>
      <c r="C382" t="s">
        <v>27</v>
      </c>
      <c r="D382" t="s">
        <v>881</v>
      </c>
    </row>
    <row r="383" spans="1:5" x14ac:dyDescent="0.2">
      <c r="A383" s="269">
        <v>45874.782418981478</v>
      </c>
      <c r="B383" t="s">
        <v>755</v>
      </c>
      <c r="C383" t="s">
        <v>27</v>
      </c>
      <c r="D383" t="s">
        <v>882</v>
      </c>
      <c r="E383" t="s">
        <v>175</v>
      </c>
    </row>
    <row r="384" spans="1:5" x14ac:dyDescent="0.2">
      <c r="A384" s="269">
        <v>45874.782881944448</v>
      </c>
      <c r="B384" t="s">
        <v>755</v>
      </c>
      <c r="C384" t="s">
        <v>14</v>
      </c>
      <c r="D384" t="s">
        <v>883</v>
      </c>
    </row>
    <row r="385" spans="1:5" x14ac:dyDescent="0.2">
      <c r="A385" s="269">
        <v>45874.782939814817</v>
      </c>
      <c r="B385" t="s">
        <v>755</v>
      </c>
      <c r="C385" t="s">
        <v>14</v>
      </c>
      <c r="D385" t="s">
        <v>883</v>
      </c>
      <c r="E385" t="s">
        <v>884</v>
      </c>
    </row>
    <row r="386" spans="1:5" x14ac:dyDescent="0.2">
      <c r="A386" s="269">
        <v>45874.783101851855</v>
      </c>
      <c r="B386" t="s">
        <v>755</v>
      </c>
      <c r="C386" t="s">
        <v>14</v>
      </c>
      <c r="D386" t="s">
        <v>883</v>
      </c>
      <c r="E386" t="s">
        <v>188</v>
      </c>
    </row>
    <row r="387" spans="1:5" x14ac:dyDescent="0.2">
      <c r="A387" s="269">
        <v>45874.783576388887</v>
      </c>
      <c r="B387" t="s">
        <v>755</v>
      </c>
      <c r="C387" t="s">
        <v>642</v>
      </c>
      <c r="D387" t="s">
        <v>808</v>
      </c>
      <c r="E387" t="s">
        <v>207</v>
      </c>
    </row>
    <row r="388" spans="1:5" x14ac:dyDescent="0.2">
      <c r="A388" s="269">
        <v>45874.786458333336</v>
      </c>
      <c r="B388" t="s">
        <v>755</v>
      </c>
      <c r="C388" t="s">
        <v>609</v>
      </c>
      <c r="D388" t="s">
        <v>885</v>
      </c>
      <c r="E388" t="s">
        <v>886</v>
      </c>
    </row>
    <row r="389" spans="1:5" x14ac:dyDescent="0.2">
      <c r="A389" s="269">
        <v>45874.787662037037</v>
      </c>
      <c r="B389" t="s">
        <v>755</v>
      </c>
      <c r="C389" t="s">
        <v>609</v>
      </c>
      <c r="D389" t="s">
        <v>885</v>
      </c>
      <c r="E389" t="s">
        <v>887</v>
      </c>
    </row>
    <row r="390" spans="1:5" x14ac:dyDescent="0.2">
      <c r="A390" s="269">
        <v>45874.788854166669</v>
      </c>
      <c r="B390" t="s">
        <v>755</v>
      </c>
      <c r="C390" t="s">
        <v>609</v>
      </c>
      <c r="D390" t="s">
        <v>885</v>
      </c>
      <c r="E390" t="s">
        <v>888</v>
      </c>
    </row>
    <row r="391" spans="1:5" x14ac:dyDescent="0.2">
      <c r="A391" s="269">
        <v>45874.789224537039</v>
      </c>
      <c r="B391" t="s">
        <v>755</v>
      </c>
      <c r="C391" t="s">
        <v>609</v>
      </c>
      <c r="D391" t="s">
        <v>885</v>
      </c>
      <c r="E391" t="s">
        <v>889</v>
      </c>
    </row>
    <row r="392" spans="1:5" x14ac:dyDescent="0.2">
      <c r="A392" s="269">
        <v>45874.789571759262</v>
      </c>
      <c r="B392" t="s">
        <v>755</v>
      </c>
      <c r="C392" t="s">
        <v>609</v>
      </c>
      <c r="D392" t="s">
        <v>885</v>
      </c>
      <c r="E392" t="s">
        <v>890</v>
      </c>
    </row>
    <row r="393" spans="1:5" x14ac:dyDescent="0.2">
      <c r="A393" s="269">
        <v>45874.790034722224</v>
      </c>
      <c r="B393" t="s">
        <v>755</v>
      </c>
      <c r="C393" t="s">
        <v>609</v>
      </c>
      <c r="D393" t="s">
        <v>891</v>
      </c>
      <c r="E393" t="s">
        <v>24</v>
      </c>
    </row>
    <row r="394" spans="1:5" x14ac:dyDescent="0.2">
      <c r="A394" s="269">
        <v>45874.790532407409</v>
      </c>
      <c r="B394" t="s">
        <v>755</v>
      </c>
      <c r="C394" t="s">
        <v>2</v>
      </c>
      <c r="D394" t="s">
        <v>892</v>
      </c>
    </row>
    <row r="395" spans="1:5" x14ac:dyDescent="0.2">
      <c r="A395" s="269">
        <v>45874.790706018517</v>
      </c>
      <c r="B395" t="s">
        <v>755</v>
      </c>
      <c r="C395" t="s">
        <v>2</v>
      </c>
      <c r="D395" t="s">
        <v>774</v>
      </c>
    </row>
    <row r="396" spans="1:5" x14ac:dyDescent="0.2">
      <c r="A396" s="269">
        <v>45874.790775462963</v>
      </c>
      <c r="B396" t="s">
        <v>755</v>
      </c>
      <c r="C396" t="s">
        <v>2</v>
      </c>
      <c r="D396" t="s">
        <v>893</v>
      </c>
    </row>
    <row r="397" spans="1:5" x14ac:dyDescent="0.2">
      <c r="A397" s="269">
        <v>45874.790914351855</v>
      </c>
      <c r="B397" t="s">
        <v>755</v>
      </c>
      <c r="C397" t="s">
        <v>2</v>
      </c>
      <c r="D397" t="s">
        <v>894</v>
      </c>
    </row>
    <row r="398" spans="1:5" x14ac:dyDescent="0.2">
      <c r="A398" s="269">
        <v>45874.790914351855</v>
      </c>
      <c r="B398" t="s">
        <v>755</v>
      </c>
      <c r="C398" t="s">
        <v>2</v>
      </c>
      <c r="D398" t="s">
        <v>895</v>
      </c>
      <c r="E398" t="s">
        <v>15</v>
      </c>
    </row>
    <row r="399" spans="1:5" x14ac:dyDescent="0.2">
      <c r="A399" s="269">
        <v>45874.790937500002</v>
      </c>
      <c r="B399" t="s">
        <v>755</v>
      </c>
      <c r="C399" t="s">
        <v>2</v>
      </c>
      <c r="D399" t="s">
        <v>894</v>
      </c>
      <c r="E399" t="s">
        <v>15</v>
      </c>
    </row>
    <row r="400" spans="1:5" x14ac:dyDescent="0.2">
      <c r="A400" s="269">
        <v>45874.790937500002</v>
      </c>
      <c r="B400" t="s">
        <v>755</v>
      </c>
      <c r="C400" t="s">
        <v>2</v>
      </c>
      <c r="D400" t="s">
        <v>895</v>
      </c>
    </row>
    <row r="401" spans="1:5" x14ac:dyDescent="0.2">
      <c r="A401" s="269">
        <v>45874.790937500002</v>
      </c>
      <c r="B401" t="s">
        <v>755</v>
      </c>
      <c r="C401" t="s">
        <v>2</v>
      </c>
      <c r="D401" t="s">
        <v>895</v>
      </c>
    </row>
    <row r="402" spans="1:5" x14ac:dyDescent="0.2">
      <c r="A402" s="269">
        <v>45874.791087962964</v>
      </c>
      <c r="B402" t="s">
        <v>755</v>
      </c>
      <c r="C402" t="s">
        <v>2</v>
      </c>
      <c r="D402" t="s">
        <v>896</v>
      </c>
    </row>
    <row r="403" spans="1:5" x14ac:dyDescent="0.2">
      <c r="A403" s="269">
        <v>45874.791087962964</v>
      </c>
      <c r="B403" t="s">
        <v>755</v>
      </c>
      <c r="C403" t="s">
        <v>2</v>
      </c>
      <c r="D403" t="s">
        <v>897</v>
      </c>
      <c r="E403" t="s">
        <v>157</v>
      </c>
    </row>
    <row r="404" spans="1:5" x14ac:dyDescent="0.2">
      <c r="A404" s="269">
        <v>45874.791134259256</v>
      </c>
      <c r="B404" t="s">
        <v>755</v>
      </c>
      <c r="C404" t="s">
        <v>2</v>
      </c>
      <c r="D404" t="s">
        <v>894</v>
      </c>
    </row>
    <row r="405" spans="1:5" x14ac:dyDescent="0.2">
      <c r="A405" s="269">
        <v>45874.791134259256</v>
      </c>
      <c r="B405" t="s">
        <v>755</v>
      </c>
      <c r="C405" t="s">
        <v>2</v>
      </c>
      <c r="D405" t="s">
        <v>898</v>
      </c>
      <c r="E405" t="s">
        <v>15</v>
      </c>
    </row>
    <row r="406" spans="1:5" x14ac:dyDescent="0.2">
      <c r="A406" s="269">
        <v>45874.791226851848</v>
      </c>
      <c r="B406" t="s">
        <v>755</v>
      </c>
      <c r="C406" t="s">
        <v>2</v>
      </c>
      <c r="D406" t="s">
        <v>897</v>
      </c>
      <c r="E406" t="s">
        <v>34</v>
      </c>
    </row>
    <row r="407" spans="1:5" x14ac:dyDescent="0.2">
      <c r="A407" s="269">
        <v>45874.791226851848</v>
      </c>
      <c r="B407" t="s">
        <v>755</v>
      </c>
      <c r="C407" t="s">
        <v>2</v>
      </c>
      <c r="D407" t="s">
        <v>899</v>
      </c>
      <c r="E407" t="s">
        <v>157</v>
      </c>
    </row>
    <row r="408" spans="1:5" x14ac:dyDescent="0.2">
      <c r="A408" s="269">
        <v>45874.791273148148</v>
      </c>
      <c r="B408" t="s">
        <v>755</v>
      </c>
      <c r="C408" t="s">
        <v>2</v>
      </c>
      <c r="D408" t="s">
        <v>900</v>
      </c>
    </row>
    <row r="409" spans="1:5" x14ac:dyDescent="0.2">
      <c r="A409" s="269">
        <v>45874.791608796295</v>
      </c>
      <c r="B409" t="s">
        <v>755</v>
      </c>
      <c r="C409" t="s">
        <v>2</v>
      </c>
      <c r="D409" t="s">
        <v>901</v>
      </c>
    </row>
    <row r="410" spans="1:5" x14ac:dyDescent="0.2">
      <c r="A410" s="269">
        <v>45874.791608796295</v>
      </c>
      <c r="B410" t="s">
        <v>755</v>
      </c>
      <c r="C410" t="s">
        <v>2</v>
      </c>
      <c r="D410" t="s">
        <v>902</v>
      </c>
      <c r="E410" t="s">
        <v>163</v>
      </c>
    </row>
    <row r="411" spans="1:5" x14ac:dyDescent="0.2">
      <c r="A411" s="269">
        <v>45874.791759259257</v>
      </c>
      <c r="B411" t="s">
        <v>755</v>
      </c>
      <c r="C411" t="s">
        <v>2</v>
      </c>
      <c r="D411" t="s">
        <v>903</v>
      </c>
    </row>
    <row r="412" spans="1:5" x14ac:dyDescent="0.2">
      <c r="A412" s="269">
        <v>45874.791886574072</v>
      </c>
      <c r="B412" t="s">
        <v>755</v>
      </c>
      <c r="C412" t="s">
        <v>2</v>
      </c>
      <c r="D412" t="s">
        <v>904</v>
      </c>
    </row>
    <row r="413" spans="1:5" x14ac:dyDescent="0.2">
      <c r="A413" s="269">
        <v>45874.791886574072</v>
      </c>
      <c r="B413" t="s">
        <v>755</v>
      </c>
      <c r="C413" t="s">
        <v>2</v>
      </c>
      <c r="D413" t="s">
        <v>905</v>
      </c>
      <c r="E413" t="s">
        <v>8</v>
      </c>
    </row>
    <row r="414" spans="1:5" x14ac:dyDescent="0.2">
      <c r="A414" s="269">
        <v>45874.791909722226</v>
      </c>
      <c r="B414" t="s">
        <v>755</v>
      </c>
      <c r="C414" t="s">
        <v>2</v>
      </c>
      <c r="D414" t="s">
        <v>906</v>
      </c>
    </row>
    <row r="415" spans="1:5" x14ac:dyDescent="0.2">
      <c r="A415" s="269">
        <v>45874.79215277778</v>
      </c>
      <c r="B415" t="s">
        <v>755</v>
      </c>
      <c r="C415" t="s">
        <v>609</v>
      </c>
      <c r="D415" t="s">
        <v>907</v>
      </c>
    </row>
    <row r="416" spans="1:5" x14ac:dyDescent="0.2">
      <c r="A416" s="269">
        <v>45874.792210648149</v>
      </c>
      <c r="B416" t="s">
        <v>755</v>
      </c>
      <c r="C416" t="s">
        <v>609</v>
      </c>
      <c r="D416" t="s">
        <v>908</v>
      </c>
      <c r="E416">
        <v>3</v>
      </c>
    </row>
    <row r="417" spans="1:5" x14ac:dyDescent="0.2">
      <c r="A417" s="269">
        <v>45874.792280092595</v>
      </c>
      <c r="B417" t="s">
        <v>755</v>
      </c>
      <c r="C417" t="s">
        <v>609</v>
      </c>
      <c r="D417" t="s">
        <v>909</v>
      </c>
    </row>
    <row r="418" spans="1:5" x14ac:dyDescent="0.2">
      <c r="A418" s="269">
        <v>45874.792303240742</v>
      </c>
      <c r="B418" t="s">
        <v>755</v>
      </c>
      <c r="C418" t="s">
        <v>609</v>
      </c>
      <c r="D418" t="s">
        <v>910</v>
      </c>
    </row>
    <row r="419" spans="1:5" x14ac:dyDescent="0.2">
      <c r="A419" s="269">
        <v>45874.792581018519</v>
      </c>
      <c r="B419" t="s">
        <v>755</v>
      </c>
      <c r="C419" t="s">
        <v>609</v>
      </c>
      <c r="D419" t="s">
        <v>911</v>
      </c>
      <c r="E419">
        <v>4</v>
      </c>
    </row>
    <row r="420" spans="1:5" x14ac:dyDescent="0.2">
      <c r="A420" s="269">
        <v>45874.792581018519</v>
      </c>
      <c r="B420" t="s">
        <v>755</v>
      </c>
      <c r="C420" t="s">
        <v>609</v>
      </c>
      <c r="D420" t="s">
        <v>912</v>
      </c>
      <c r="E420" t="s">
        <v>26</v>
      </c>
    </row>
    <row r="421" spans="1:5" x14ac:dyDescent="0.2">
      <c r="A421" s="269">
        <v>45874.794085648151</v>
      </c>
      <c r="B421" t="s">
        <v>755</v>
      </c>
      <c r="C421" t="s">
        <v>2</v>
      </c>
      <c r="D421" t="s">
        <v>913</v>
      </c>
    </row>
    <row r="422" spans="1:5" x14ac:dyDescent="0.2">
      <c r="A422" s="269">
        <v>45874.794131944444</v>
      </c>
      <c r="B422" t="s">
        <v>755</v>
      </c>
      <c r="C422" t="s">
        <v>2</v>
      </c>
      <c r="D422" t="s">
        <v>914</v>
      </c>
    </row>
    <row r="423" spans="1:5" x14ac:dyDescent="0.2">
      <c r="A423" s="269">
        <v>45874.794340277775</v>
      </c>
      <c r="B423" t="s">
        <v>755</v>
      </c>
      <c r="C423" t="s">
        <v>2</v>
      </c>
      <c r="D423" t="s">
        <v>915</v>
      </c>
    </row>
    <row r="424" spans="1:5" x14ac:dyDescent="0.2">
      <c r="A424" s="269">
        <v>45874.7971875</v>
      </c>
      <c r="B424" t="s">
        <v>755</v>
      </c>
      <c r="C424" t="s">
        <v>14</v>
      </c>
      <c r="D424" t="s">
        <v>916</v>
      </c>
      <c r="E424" t="s">
        <v>350</v>
      </c>
    </row>
    <row r="425" spans="1:5" ht="48" x14ac:dyDescent="0.2">
      <c r="A425" s="269">
        <v>45874.797361111108</v>
      </c>
      <c r="B425" t="s">
        <v>755</v>
      </c>
      <c r="C425" t="s">
        <v>609</v>
      </c>
      <c r="D425" t="s">
        <v>917</v>
      </c>
      <c r="E425" s="6" t="s">
        <v>918</v>
      </c>
    </row>
    <row r="426" spans="1:5" ht="48" x14ac:dyDescent="0.2">
      <c r="A426" s="269">
        <v>45874.797488425924</v>
      </c>
      <c r="B426" t="s">
        <v>755</v>
      </c>
      <c r="C426" t="s">
        <v>609</v>
      </c>
      <c r="D426" t="s">
        <v>917</v>
      </c>
      <c r="E426" s="6" t="s">
        <v>919</v>
      </c>
    </row>
    <row r="427" spans="1:5" ht="48" x14ac:dyDescent="0.2">
      <c r="A427" s="269">
        <v>45874.79755787037</v>
      </c>
      <c r="B427" t="s">
        <v>755</v>
      </c>
      <c r="C427" t="s">
        <v>609</v>
      </c>
      <c r="D427" t="s">
        <v>917</v>
      </c>
      <c r="E427" s="6" t="s">
        <v>920</v>
      </c>
    </row>
    <row r="428" spans="1:5" ht="48" x14ac:dyDescent="0.2">
      <c r="A428" s="269">
        <v>45874.797997685186</v>
      </c>
      <c r="B428" t="s">
        <v>755</v>
      </c>
      <c r="C428" t="s">
        <v>609</v>
      </c>
      <c r="D428" t="s">
        <v>917</v>
      </c>
      <c r="E428" s="6" t="s">
        <v>89</v>
      </c>
    </row>
    <row r="429" spans="1:5" x14ac:dyDescent="0.2">
      <c r="A429" s="269">
        <v>45874.798611111109</v>
      </c>
      <c r="B429" t="s">
        <v>755</v>
      </c>
      <c r="C429" t="s">
        <v>14</v>
      </c>
      <c r="D429" t="s">
        <v>823</v>
      </c>
    </row>
    <row r="430" spans="1:5" x14ac:dyDescent="0.2">
      <c r="A430" s="269">
        <v>45874.798634259256</v>
      </c>
      <c r="B430" t="s">
        <v>755</v>
      </c>
      <c r="C430" t="s">
        <v>14</v>
      </c>
      <c r="D430" t="s">
        <v>823</v>
      </c>
    </row>
    <row r="431" spans="1:5" x14ac:dyDescent="0.2">
      <c r="A431" s="269">
        <v>45874.798888888887</v>
      </c>
      <c r="B431" t="s">
        <v>755</v>
      </c>
      <c r="C431" t="s">
        <v>14</v>
      </c>
      <c r="D431" t="s">
        <v>916</v>
      </c>
      <c r="E431" t="s">
        <v>350</v>
      </c>
    </row>
    <row r="432" spans="1:5" x14ac:dyDescent="0.2">
      <c r="A432" s="269">
        <v>45874.79896990741</v>
      </c>
      <c r="B432" t="s">
        <v>755</v>
      </c>
      <c r="C432" t="s">
        <v>14</v>
      </c>
      <c r="D432" t="s">
        <v>921</v>
      </c>
      <c r="E432" t="s">
        <v>186</v>
      </c>
    </row>
    <row r="433" spans="1:5" x14ac:dyDescent="0.2">
      <c r="A433" s="269">
        <v>45874.799004629633</v>
      </c>
      <c r="B433" t="s">
        <v>755</v>
      </c>
      <c r="C433" t="s">
        <v>14</v>
      </c>
      <c r="D433" t="s">
        <v>922</v>
      </c>
      <c r="E433" t="s">
        <v>84</v>
      </c>
    </row>
    <row r="434" spans="1:5" x14ac:dyDescent="0.2">
      <c r="A434" s="269">
        <v>45874.799293981479</v>
      </c>
      <c r="B434" t="s">
        <v>755</v>
      </c>
      <c r="C434" t="s">
        <v>14</v>
      </c>
      <c r="D434" t="s">
        <v>923</v>
      </c>
      <c r="E434">
        <v>2021</v>
      </c>
    </row>
    <row r="435" spans="1:5" x14ac:dyDescent="0.2">
      <c r="A435" s="269">
        <v>45874.800752314812</v>
      </c>
      <c r="B435" t="s">
        <v>755</v>
      </c>
      <c r="C435" t="s">
        <v>14</v>
      </c>
      <c r="D435" t="s">
        <v>924</v>
      </c>
      <c r="E435">
        <v>100</v>
      </c>
    </row>
    <row r="436" spans="1:5" x14ac:dyDescent="0.2">
      <c r="A436" s="269">
        <v>45874.803854166668</v>
      </c>
      <c r="B436" t="s">
        <v>755</v>
      </c>
      <c r="C436" t="s">
        <v>609</v>
      </c>
      <c r="D436" t="s">
        <v>925</v>
      </c>
      <c r="E436" t="s">
        <v>926</v>
      </c>
    </row>
    <row r="437" spans="1:5" x14ac:dyDescent="0.2">
      <c r="A437" s="269">
        <v>45874.803993055553</v>
      </c>
      <c r="B437" t="s">
        <v>755</v>
      </c>
      <c r="C437" t="s">
        <v>609</v>
      </c>
      <c r="D437" t="s">
        <v>925</v>
      </c>
      <c r="E437" t="s">
        <v>927</v>
      </c>
    </row>
    <row r="438" spans="1:5" x14ac:dyDescent="0.2">
      <c r="A438" s="269">
        <v>45874.807453703703</v>
      </c>
      <c r="B438" t="s">
        <v>755</v>
      </c>
      <c r="C438" t="s">
        <v>609</v>
      </c>
      <c r="D438" t="s">
        <v>928</v>
      </c>
      <c r="E438" t="s">
        <v>927</v>
      </c>
    </row>
    <row r="439" spans="1:5" x14ac:dyDescent="0.2">
      <c r="A439" s="269">
        <v>45874.807523148149</v>
      </c>
      <c r="B439" t="s">
        <v>755</v>
      </c>
      <c r="C439" t="s">
        <v>609</v>
      </c>
      <c r="D439" t="s">
        <v>929</v>
      </c>
      <c r="E439" t="s">
        <v>927</v>
      </c>
    </row>
    <row r="440" spans="1:5" x14ac:dyDescent="0.2">
      <c r="A440" s="269">
        <v>45874.807986111111</v>
      </c>
      <c r="B440" t="s">
        <v>755</v>
      </c>
      <c r="C440" t="s">
        <v>609</v>
      </c>
      <c r="D440" t="s">
        <v>930</v>
      </c>
      <c r="E440" t="s">
        <v>8</v>
      </c>
    </row>
    <row r="441" spans="1:5" x14ac:dyDescent="0.2">
      <c r="A441" s="269">
        <v>45874.808275462965</v>
      </c>
      <c r="B441" t="s">
        <v>755</v>
      </c>
      <c r="C441" t="s">
        <v>24</v>
      </c>
      <c r="D441" t="s">
        <v>931</v>
      </c>
    </row>
    <row r="442" spans="1:5" x14ac:dyDescent="0.2">
      <c r="A442" s="269">
        <v>45874.808761574073</v>
      </c>
      <c r="B442" t="s">
        <v>755</v>
      </c>
      <c r="C442" t="s">
        <v>24</v>
      </c>
      <c r="D442" t="s">
        <v>932</v>
      </c>
      <c r="E442">
        <v>1</v>
      </c>
    </row>
    <row r="443" spans="1:5" x14ac:dyDescent="0.2">
      <c r="A443" s="269">
        <v>45874.808831018519</v>
      </c>
      <c r="B443" t="s">
        <v>755</v>
      </c>
      <c r="C443" t="s">
        <v>24</v>
      </c>
      <c r="D443" t="s">
        <v>933</v>
      </c>
      <c r="E443">
        <v>1</v>
      </c>
    </row>
    <row r="444" spans="1:5" x14ac:dyDescent="0.2">
      <c r="A444" s="269">
        <v>45874.808958333335</v>
      </c>
      <c r="B444" t="s">
        <v>755</v>
      </c>
      <c r="C444" t="s">
        <v>24</v>
      </c>
      <c r="D444" t="s">
        <v>934</v>
      </c>
      <c r="E444" t="e">
        <v>#VALUE!</v>
      </c>
    </row>
    <row r="445" spans="1:5" x14ac:dyDescent="0.2">
      <c r="A445" s="269">
        <v>45874.80909722222</v>
      </c>
      <c r="B445" t="s">
        <v>755</v>
      </c>
      <c r="C445" t="s">
        <v>24</v>
      </c>
      <c r="D445" t="s">
        <v>932</v>
      </c>
      <c r="E445" t="s">
        <v>171</v>
      </c>
    </row>
    <row r="446" spans="1:5" x14ac:dyDescent="0.2">
      <c r="A446" s="269">
        <v>45874.80914351852</v>
      </c>
      <c r="B446" t="s">
        <v>755</v>
      </c>
      <c r="C446" t="s">
        <v>24</v>
      </c>
      <c r="D446" t="s">
        <v>932</v>
      </c>
      <c r="E446">
        <v>1</v>
      </c>
    </row>
    <row r="447" spans="1:5" x14ac:dyDescent="0.2">
      <c r="A447" s="269">
        <v>45874.809189814812</v>
      </c>
      <c r="B447" t="s">
        <v>755</v>
      </c>
      <c r="C447" t="s">
        <v>24</v>
      </c>
      <c r="D447" t="s">
        <v>934</v>
      </c>
      <c r="E447" t="e">
        <v>#VALUE!</v>
      </c>
    </row>
    <row r="448" spans="1:5" x14ac:dyDescent="0.2">
      <c r="A448" s="269">
        <v>45874.815891203703</v>
      </c>
      <c r="B448" t="s">
        <v>755</v>
      </c>
      <c r="C448" t="s">
        <v>14</v>
      </c>
      <c r="D448" t="s">
        <v>935</v>
      </c>
      <c r="E448" t="s">
        <v>90</v>
      </c>
    </row>
    <row r="449" spans="1:5" x14ac:dyDescent="0.2">
      <c r="A449" s="269">
        <v>45874.817499999997</v>
      </c>
      <c r="B449" t="s">
        <v>755</v>
      </c>
      <c r="C449" t="s">
        <v>609</v>
      </c>
      <c r="D449" t="s">
        <v>936</v>
      </c>
      <c r="E449" t="s">
        <v>937</v>
      </c>
    </row>
    <row r="450" spans="1:5" x14ac:dyDescent="0.2">
      <c r="A450" s="269">
        <v>45874.817546296297</v>
      </c>
      <c r="B450" t="s">
        <v>755</v>
      </c>
      <c r="C450" t="s">
        <v>609</v>
      </c>
      <c r="D450" t="s">
        <v>938</v>
      </c>
      <c r="E450" t="s">
        <v>937</v>
      </c>
    </row>
    <row r="451" spans="1:5" x14ac:dyDescent="0.2">
      <c r="A451" s="269">
        <v>45874.817627314813</v>
      </c>
      <c r="B451" t="s">
        <v>755</v>
      </c>
      <c r="C451" t="s">
        <v>609</v>
      </c>
      <c r="D451" t="s">
        <v>939</v>
      </c>
      <c r="E451" t="s">
        <v>937</v>
      </c>
    </row>
    <row r="452" spans="1:5" x14ac:dyDescent="0.2">
      <c r="A452" s="269">
        <v>45874.818206018521</v>
      </c>
      <c r="B452" t="s">
        <v>755</v>
      </c>
      <c r="C452" t="s">
        <v>24</v>
      </c>
      <c r="D452" t="s">
        <v>932</v>
      </c>
      <c r="E452">
        <v>1</v>
      </c>
    </row>
    <row r="453" spans="1:5" x14ac:dyDescent="0.2">
      <c r="A453" s="269">
        <v>45874.818252314813</v>
      </c>
      <c r="B453" t="s">
        <v>755</v>
      </c>
      <c r="C453" t="s">
        <v>24</v>
      </c>
      <c r="D453" t="s">
        <v>933</v>
      </c>
    </row>
    <row r="454" spans="1:5" x14ac:dyDescent="0.2">
      <c r="A454" s="269">
        <v>45874.818298611113</v>
      </c>
      <c r="B454" t="s">
        <v>755</v>
      </c>
      <c r="C454" t="s">
        <v>24</v>
      </c>
      <c r="D454" t="s">
        <v>934</v>
      </c>
      <c r="E454">
        <v>1</v>
      </c>
    </row>
    <row r="455" spans="1:5" x14ac:dyDescent="0.2">
      <c r="A455" s="269">
        <v>45874.818356481483</v>
      </c>
      <c r="B455" t="s">
        <v>755</v>
      </c>
      <c r="C455" t="s">
        <v>24</v>
      </c>
      <c r="D455" t="s">
        <v>934</v>
      </c>
      <c r="E455">
        <v>2</v>
      </c>
    </row>
    <row r="456" spans="1:5" x14ac:dyDescent="0.2">
      <c r="A456" s="269">
        <v>45874.818425925929</v>
      </c>
      <c r="B456" t="s">
        <v>755</v>
      </c>
      <c r="C456" t="s">
        <v>24</v>
      </c>
      <c r="D456" t="s">
        <v>940</v>
      </c>
      <c r="E456">
        <v>3</v>
      </c>
    </row>
    <row r="457" spans="1:5" x14ac:dyDescent="0.2">
      <c r="A457" s="269">
        <v>45874.818738425929</v>
      </c>
      <c r="B457" t="s">
        <v>755</v>
      </c>
      <c r="C457" t="s">
        <v>609</v>
      </c>
      <c r="D457" t="s">
        <v>941</v>
      </c>
    </row>
    <row r="458" spans="1:5" ht="128" x14ac:dyDescent="0.2">
      <c r="A458" s="269">
        <v>45874.8200462963</v>
      </c>
      <c r="B458" t="s">
        <v>755</v>
      </c>
      <c r="C458" t="s">
        <v>609</v>
      </c>
      <c r="D458" t="s">
        <v>942</v>
      </c>
      <c r="E458" s="6" t="s">
        <v>943</v>
      </c>
    </row>
    <row r="459" spans="1:5" ht="128" x14ac:dyDescent="0.2">
      <c r="A459" s="269">
        <v>45874.820081018515</v>
      </c>
      <c r="B459" t="s">
        <v>755</v>
      </c>
      <c r="C459" t="s">
        <v>609</v>
      </c>
      <c r="D459" t="s">
        <v>942</v>
      </c>
      <c r="E459" s="6" t="s">
        <v>943</v>
      </c>
    </row>
    <row r="460" spans="1:5" x14ac:dyDescent="0.2">
      <c r="A460" s="269">
        <v>45874.821504629632</v>
      </c>
      <c r="B460" t="s">
        <v>755</v>
      </c>
      <c r="C460" t="s">
        <v>101</v>
      </c>
      <c r="D460" t="s">
        <v>944</v>
      </c>
      <c r="E460" t="s">
        <v>937</v>
      </c>
    </row>
    <row r="461" spans="1:5" x14ac:dyDescent="0.2">
      <c r="A461" s="269">
        <v>45874.821608796294</v>
      </c>
      <c r="B461" t="s">
        <v>755</v>
      </c>
      <c r="C461" t="s">
        <v>25</v>
      </c>
      <c r="D461" t="s">
        <v>944</v>
      </c>
      <c r="E461" t="s">
        <v>937</v>
      </c>
    </row>
    <row r="462" spans="1:5" x14ac:dyDescent="0.2">
      <c r="A462" s="269">
        <v>45874.821851851855</v>
      </c>
      <c r="B462" t="s">
        <v>755</v>
      </c>
      <c r="C462" t="s">
        <v>27</v>
      </c>
      <c r="D462" t="s">
        <v>945</v>
      </c>
    </row>
    <row r="463" spans="1:5" x14ac:dyDescent="0.2">
      <c r="A463" s="269">
        <v>45874.821909722225</v>
      </c>
      <c r="B463" t="s">
        <v>755</v>
      </c>
      <c r="C463" t="s">
        <v>27</v>
      </c>
      <c r="D463" t="s">
        <v>946</v>
      </c>
    </row>
    <row r="464" spans="1:5" x14ac:dyDescent="0.2">
      <c r="A464" s="269">
        <v>45875.17046296296</v>
      </c>
      <c r="B464" t="s">
        <v>594</v>
      </c>
      <c r="C464" t="s">
        <v>595</v>
      </c>
      <c r="D464" t="s">
        <v>947</v>
      </c>
      <c r="E464" t="s">
        <v>38</v>
      </c>
    </row>
    <row r="465" spans="1:5" x14ac:dyDescent="0.2">
      <c r="A465" s="269">
        <v>45875.172152777777</v>
      </c>
      <c r="B465" t="s">
        <v>594</v>
      </c>
      <c r="C465" t="s">
        <v>14</v>
      </c>
      <c r="D465" t="s">
        <v>724</v>
      </c>
    </row>
    <row r="466" spans="1:5" x14ac:dyDescent="0.2">
      <c r="A466" s="269">
        <v>45875.172268518516</v>
      </c>
      <c r="B466" t="s">
        <v>594</v>
      </c>
      <c r="C466" t="s">
        <v>14</v>
      </c>
      <c r="D466" t="s">
        <v>948</v>
      </c>
      <c r="E466" t="s">
        <v>76</v>
      </c>
    </row>
    <row r="467" spans="1:5" x14ac:dyDescent="0.2">
      <c r="A467" s="269">
        <v>45875.172303240739</v>
      </c>
      <c r="B467" t="s">
        <v>594</v>
      </c>
      <c r="C467" t="s">
        <v>14</v>
      </c>
      <c r="D467" t="s">
        <v>949</v>
      </c>
      <c r="E467" t="s">
        <v>79</v>
      </c>
    </row>
    <row r="468" spans="1:5" x14ac:dyDescent="0.2">
      <c r="A468" s="269">
        <v>45875.172395833331</v>
      </c>
      <c r="B468" t="s">
        <v>594</v>
      </c>
      <c r="C468" t="s">
        <v>14</v>
      </c>
      <c r="D468" t="s">
        <v>846</v>
      </c>
    </row>
    <row r="469" spans="1:5" x14ac:dyDescent="0.2">
      <c r="A469" s="269">
        <v>45875.173125000001</v>
      </c>
      <c r="B469" t="s">
        <v>594</v>
      </c>
      <c r="C469" t="s">
        <v>14</v>
      </c>
      <c r="D469" t="s">
        <v>775</v>
      </c>
      <c r="E469" t="s">
        <v>950</v>
      </c>
    </row>
    <row r="470" spans="1:5" x14ac:dyDescent="0.2">
      <c r="A470" s="269">
        <v>45875.173993055556</v>
      </c>
      <c r="B470" t="s">
        <v>594</v>
      </c>
      <c r="C470" t="s">
        <v>14</v>
      </c>
      <c r="D470" t="s">
        <v>752</v>
      </c>
      <c r="E470">
        <v>0</v>
      </c>
    </row>
    <row r="471" spans="1:5" x14ac:dyDescent="0.2">
      <c r="A471" s="269">
        <v>45875.174317129633</v>
      </c>
      <c r="B471" t="s">
        <v>594</v>
      </c>
      <c r="C471" t="s">
        <v>14</v>
      </c>
      <c r="D471" t="s">
        <v>951</v>
      </c>
      <c r="E471">
        <v>1</v>
      </c>
    </row>
    <row r="472" spans="1:5" x14ac:dyDescent="0.2">
      <c r="A472" s="269">
        <v>45875.174317129633</v>
      </c>
      <c r="B472" t="s">
        <v>594</v>
      </c>
      <c r="C472" t="s">
        <v>14</v>
      </c>
      <c r="D472" t="s">
        <v>951</v>
      </c>
      <c r="E472">
        <v>1</v>
      </c>
    </row>
    <row r="473" spans="1:5" x14ac:dyDescent="0.2">
      <c r="A473" s="269">
        <v>45875.174317129633</v>
      </c>
      <c r="B473" t="s">
        <v>594</v>
      </c>
      <c r="C473" t="s">
        <v>14</v>
      </c>
      <c r="D473" t="s">
        <v>952</v>
      </c>
      <c r="E473">
        <v>1</v>
      </c>
    </row>
    <row r="474" spans="1:5" x14ac:dyDescent="0.2">
      <c r="A474" s="269">
        <v>45875.174317129633</v>
      </c>
      <c r="B474" t="s">
        <v>594</v>
      </c>
      <c r="C474" t="s">
        <v>14</v>
      </c>
      <c r="D474" t="s">
        <v>953</v>
      </c>
      <c r="E474">
        <v>2</v>
      </c>
    </row>
    <row r="475" spans="1:5" x14ac:dyDescent="0.2">
      <c r="A475" s="269">
        <v>45875.174317129633</v>
      </c>
      <c r="B475" t="s">
        <v>594</v>
      </c>
      <c r="C475" t="s">
        <v>14</v>
      </c>
      <c r="D475" t="s">
        <v>953</v>
      </c>
      <c r="E475">
        <v>2</v>
      </c>
    </row>
    <row r="476" spans="1:5" x14ac:dyDescent="0.2">
      <c r="A476" s="269">
        <v>45875.174675925926</v>
      </c>
      <c r="B476" t="s">
        <v>594</v>
      </c>
      <c r="C476" t="s">
        <v>14</v>
      </c>
      <c r="D476" t="s">
        <v>954</v>
      </c>
      <c r="E476" t="s">
        <v>955</v>
      </c>
    </row>
    <row r="477" spans="1:5" x14ac:dyDescent="0.2">
      <c r="A477" s="269">
        <v>45875.174687500003</v>
      </c>
      <c r="B477" t="s">
        <v>594</v>
      </c>
      <c r="C477" t="s">
        <v>14</v>
      </c>
      <c r="D477" t="s">
        <v>956</v>
      </c>
      <c r="E477" t="s">
        <v>957</v>
      </c>
    </row>
    <row r="478" spans="1:5" x14ac:dyDescent="0.2">
      <c r="A478" s="269">
        <v>45875.174687500003</v>
      </c>
      <c r="B478" t="s">
        <v>594</v>
      </c>
      <c r="C478" t="s">
        <v>14</v>
      </c>
      <c r="D478" t="s">
        <v>958</v>
      </c>
      <c r="E478" t="s">
        <v>959</v>
      </c>
    </row>
    <row r="479" spans="1:5" x14ac:dyDescent="0.2">
      <c r="A479" s="269">
        <v>45875.174687500003</v>
      </c>
      <c r="B479" t="s">
        <v>594</v>
      </c>
      <c r="C479" t="s">
        <v>14</v>
      </c>
      <c r="D479" t="s">
        <v>960</v>
      </c>
      <c r="E479" t="s">
        <v>961</v>
      </c>
    </row>
    <row r="480" spans="1:5" x14ac:dyDescent="0.2">
      <c r="A480" s="269">
        <v>45875.174687500003</v>
      </c>
      <c r="B480" t="s">
        <v>594</v>
      </c>
      <c r="C480" t="s">
        <v>14</v>
      </c>
      <c r="D480" t="s">
        <v>962</v>
      </c>
      <c r="E480" t="s">
        <v>963</v>
      </c>
    </row>
    <row r="481" spans="1:5" x14ac:dyDescent="0.2">
      <c r="A481" s="269">
        <v>45875.174745370372</v>
      </c>
      <c r="B481" t="s">
        <v>594</v>
      </c>
      <c r="C481" t="s">
        <v>14</v>
      </c>
      <c r="D481" t="s">
        <v>962</v>
      </c>
    </row>
    <row r="482" spans="1:5" x14ac:dyDescent="0.2">
      <c r="A482" s="269">
        <v>45875.174745370372</v>
      </c>
      <c r="B482" t="s">
        <v>594</v>
      </c>
      <c r="C482" t="s">
        <v>14</v>
      </c>
      <c r="D482" t="s">
        <v>960</v>
      </c>
    </row>
    <row r="483" spans="1:5" x14ac:dyDescent="0.2">
      <c r="A483" s="269">
        <v>45875.174745370372</v>
      </c>
      <c r="B483" t="s">
        <v>594</v>
      </c>
      <c r="C483" t="s">
        <v>14</v>
      </c>
      <c r="D483" t="s">
        <v>958</v>
      </c>
    </row>
    <row r="484" spans="1:5" x14ac:dyDescent="0.2">
      <c r="A484" s="269">
        <v>45875.174745370372</v>
      </c>
      <c r="B484" t="s">
        <v>594</v>
      </c>
      <c r="C484" t="s">
        <v>14</v>
      </c>
      <c r="D484" t="s">
        <v>956</v>
      </c>
    </row>
    <row r="485" spans="1:5" x14ac:dyDescent="0.2">
      <c r="A485" s="269">
        <v>45875.174745370372</v>
      </c>
      <c r="B485" t="s">
        <v>594</v>
      </c>
      <c r="C485" t="s">
        <v>14</v>
      </c>
      <c r="D485" t="s">
        <v>954</v>
      </c>
    </row>
    <row r="486" spans="1:5" x14ac:dyDescent="0.2">
      <c r="A486" s="269">
        <v>45875.174849537034</v>
      </c>
      <c r="B486" t="s">
        <v>594</v>
      </c>
      <c r="C486" t="s">
        <v>14</v>
      </c>
      <c r="D486" t="s">
        <v>954</v>
      </c>
      <c r="E486" t="s">
        <v>955</v>
      </c>
    </row>
    <row r="487" spans="1:5" x14ac:dyDescent="0.2">
      <c r="A487" s="269">
        <v>45875.174849537034</v>
      </c>
      <c r="B487" t="s">
        <v>594</v>
      </c>
      <c r="C487" t="s">
        <v>14</v>
      </c>
      <c r="D487" t="s">
        <v>956</v>
      </c>
      <c r="E487" t="s">
        <v>957</v>
      </c>
    </row>
    <row r="488" spans="1:5" x14ac:dyDescent="0.2">
      <c r="A488" s="269">
        <v>45875.174849537034</v>
      </c>
      <c r="B488" t="s">
        <v>594</v>
      </c>
      <c r="C488" t="s">
        <v>14</v>
      </c>
      <c r="D488" t="s">
        <v>958</v>
      </c>
      <c r="E488" t="s">
        <v>959</v>
      </c>
    </row>
    <row r="489" spans="1:5" x14ac:dyDescent="0.2">
      <c r="A489" s="269">
        <v>45875.174849537034</v>
      </c>
      <c r="B489" t="s">
        <v>594</v>
      </c>
      <c r="C489" t="s">
        <v>14</v>
      </c>
      <c r="D489" t="s">
        <v>960</v>
      </c>
      <c r="E489" t="s">
        <v>961</v>
      </c>
    </row>
    <row r="490" spans="1:5" x14ac:dyDescent="0.2">
      <c r="A490" s="269">
        <v>45875.174849537034</v>
      </c>
      <c r="B490" t="s">
        <v>594</v>
      </c>
      <c r="C490" t="s">
        <v>14</v>
      </c>
      <c r="D490" t="s">
        <v>962</v>
      </c>
      <c r="E490" t="s">
        <v>963</v>
      </c>
    </row>
    <row r="491" spans="1:5" x14ac:dyDescent="0.2">
      <c r="A491" s="269">
        <v>45875.175694444442</v>
      </c>
      <c r="B491" t="s">
        <v>594</v>
      </c>
      <c r="C491" t="s">
        <v>14</v>
      </c>
      <c r="D491" t="s">
        <v>962</v>
      </c>
    </row>
    <row r="492" spans="1:5" x14ac:dyDescent="0.2">
      <c r="A492" s="269">
        <v>45875.175694444442</v>
      </c>
      <c r="B492" t="s">
        <v>594</v>
      </c>
      <c r="C492" t="s">
        <v>14</v>
      </c>
      <c r="D492" t="s">
        <v>960</v>
      </c>
    </row>
    <row r="493" spans="1:5" x14ac:dyDescent="0.2">
      <c r="A493" s="269">
        <v>45875.175694444442</v>
      </c>
      <c r="B493" t="s">
        <v>594</v>
      </c>
      <c r="C493" t="s">
        <v>14</v>
      </c>
      <c r="D493" t="s">
        <v>958</v>
      </c>
    </row>
    <row r="494" spans="1:5" x14ac:dyDescent="0.2">
      <c r="A494" s="269">
        <v>45875.175694444442</v>
      </c>
      <c r="B494" t="s">
        <v>594</v>
      </c>
      <c r="C494" t="s">
        <v>14</v>
      </c>
      <c r="D494" t="s">
        <v>956</v>
      </c>
    </row>
    <row r="495" spans="1:5" x14ac:dyDescent="0.2">
      <c r="A495" s="269">
        <v>45875.175694444442</v>
      </c>
      <c r="B495" t="s">
        <v>594</v>
      </c>
      <c r="C495" t="s">
        <v>14</v>
      </c>
      <c r="D495" t="s">
        <v>954</v>
      </c>
    </row>
    <row r="496" spans="1:5" x14ac:dyDescent="0.2">
      <c r="A496" s="269">
        <v>45875.176111111112</v>
      </c>
      <c r="B496" t="s">
        <v>594</v>
      </c>
      <c r="C496" t="s">
        <v>14</v>
      </c>
      <c r="D496" t="s">
        <v>964</v>
      </c>
    </row>
    <row r="497" spans="1:5" x14ac:dyDescent="0.2">
      <c r="A497" s="269">
        <v>45875.176319444443</v>
      </c>
      <c r="B497" t="s">
        <v>594</v>
      </c>
      <c r="C497" t="s">
        <v>14</v>
      </c>
      <c r="D497" t="s">
        <v>964</v>
      </c>
    </row>
    <row r="498" spans="1:5" x14ac:dyDescent="0.2">
      <c r="A498" s="269">
        <v>45875.176550925928</v>
      </c>
      <c r="B498" t="s">
        <v>594</v>
      </c>
      <c r="C498" t="s">
        <v>14</v>
      </c>
      <c r="D498" t="s">
        <v>965</v>
      </c>
      <c r="E498">
        <v>0</v>
      </c>
    </row>
    <row r="499" spans="1:5" x14ac:dyDescent="0.2">
      <c r="A499" s="269">
        <v>45875.179756944446</v>
      </c>
      <c r="B499" t="s">
        <v>594</v>
      </c>
      <c r="C499" t="s">
        <v>14</v>
      </c>
      <c r="D499" t="s">
        <v>964</v>
      </c>
    </row>
    <row r="500" spans="1:5" x14ac:dyDescent="0.2">
      <c r="A500" s="269">
        <v>45875.184328703705</v>
      </c>
      <c r="B500" t="s">
        <v>594</v>
      </c>
      <c r="C500" t="s">
        <v>14</v>
      </c>
      <c r="D500" t="s">
        <v>966</v>
      </c>
    </row>
    <row r="501" spans="1:5" x14ac:dyDescent="0.2">
      <c r="A501" s="269">
        <v>45875.184374999997</v>
      </c>
      <c r="B501" t="s">
        <v>594</v>
      </c>
      <c r="C501" t="s">
        <v>14</v>
      </c>
      <c r="D501" t="s">
        <v>967</v>
      </c>
      <c r="E501" t="s">
        <v>42</v>
      </c>
    </row>
    <row r="502" spans="1:5" x14ac:dyDescent="0.2">
      <c r="A502" s="269">
        <v>45875.184942129628</v>
      </c>
      <c r="B502" t="s">
        <v>594</v>
      </c>
      <c r="C502" t="s">
        <v>14</v>
      </c>
      <c r="D502" t="s">
        <v>968</v>
      </c>
    </row>
    <row r="503" spans="1:5" x14ac:dyDescent="0.2">
      <c r="A503" s="269">
        <v>45875.185127314813</v>
      </c>
      <c r="B503" t="s">
        <v>594</v>
      </c>
      <c r="C503" t="s">
        <v>14</v>
      </c>
      <c r="D503" t="s">
        <v>969</v>
      </c>
    </row>
    <row r="504" spans="1:5" x14ac:dyDescent="0.2">
      <c r="A504" s="269">
        <v>45875.185185185182</v>
      </c>
      <c r="B504" t="s">
        <v>594</v>
      </c>
      <c r="C504" t="s">
        <v>14</v>
      </c>
      <c r="D504" t="s">
        <v>970</v>
      </c>
    </row>
    <row r="505" spans="1:5" x14ac:dyDescent="0.2">
      <c r="A505" s="269">
        <v>45875.190069444441</v>
      </c>
      <c r="B505" t="s">
        <v>594</v>
      </c>
      <c r="C505" t="s">
        <v>14</v>
      </c>
      <c r="D505" t="s">
        <v>958</v>
      </c>
      <c r="E505" t="s">
        <v>182</v>
      </c>
    </row>
    <row r="506" spans="1:5" x14ac:dyDescent="0.2">
      <c r="A506" s="269">
        <v>45875.190104166664</v>
      </c>
      <c r="B506" t="s">
        <v>594</v>
      </c>
      <c r="C506" t="s">
        <v>14</v>
      </c>
      <c r="D506" t="s">
        <v>960</v>
      </c>
      <c r="E506" t="s">
        <v>84</v>
      </c>
    </row>
    <row r="507" spans="1:5" x14ac:dyDescent="0.2">
      <c r="A507" s="269">
        <v>45875.190138888887</v>
      </c>
      <c r="B507" t="s">
        <v>594</v>
      </c>
      <c r="C507" t="s">
        <v>14</v>
      </c>
      <c r="D507" t="s">
        <v>954</v>
      </c>
      <c r="E507" t="s">
        <v>181</v>
      </c>
    </row>
    <row r="508" spans="1:5" x14ac:dyDescent="0.2">
      <c r="A508" s="269">
        <v>45875.190925925926</v>
      </c>
      <c r="B508" t="s">
        <v>594</v>
      </c>
      <c r="C508" t="s">
        <v>14</v>
      </c>
      <c r="D508" t="s">
        <v>971</v>
      </c>
      <c r="E508" t="s">
        <v>186</v>
      </c>
    </row>
    <row r="509" spans="1:5" x14ac:dyDescent="0.2">
      <c r="A509" s="269">
        <v>45875.191666666666</v>
      </c>
      <c r="B509" t="s">
        <v>594</v>
      </c>
      <c r="C509" t="s">
        <v>14</v>
      </c>
      <c r="D509" t="s">
        <v>971</v>
      </c>
      <c r="E509" t="s">
        <v>350</v>
      </c>
    </row>
    <row r="510" spans="1:5" x14ac:dyDescent="0.2">
      <c r="A510" s="269">
        <v>45875.191701388889</v>
      </c>
      <c r="B510" t="s">
        <v>594</v>
      </c>
      <c r="C510" t="s">
        <v>14</v>
      </c>
      <c r="D510" t="s">
        <v>971</v>
      </c>
      <c r="E510" t="s">
        <v>186</v>
      </c>
    </row>
    <row r="511" spans="1:5" x14ac:dyDescent="0.2">
      <c r="A511" s="269">
        <v>45875.192187499997</v>
      </c>
      <c r="B511" t="s">
        <v>594</v>
      </c>
      <c r="C511" t="s">
        <v>14</v>
      </c>
      <c r="D511" t="s">
        <v>971</v>
      </c>
      <c r="E511" t="s">
        <v>350</v>
      </c>
    </row>
    <row r="512" spans="1:5" x14ac:dyDescent="0.2">
      <c r="A512" s="269">
        <v>45875.196435185186</v>
      </c>
      <c r="B512" t="s">
        <v>594</v>
      </c>
      <c r="C512" t="s">
        <v>14</v>
      </c>
      <c r="D512" t="s">
        <v>972</v>
      </c>
    </row>
    <row r="513" spans="1:5" x14ac:dyDescent="0.2">
      <c r="A513" s="269">
        <v>45875.196585648147</v>
      </c>
      <c r="B513" t="s">
        <v>594</v>
      </c>
      <c r="C513" t="s">
        <v>14</v>
      </c>
      <c r="D513" t="s">
        <v>973</v>
      </c>
    </row>
    <row r="514" spans="1:5" x14ac:dyDescent="0.2">
      <c r="A514" s="269">
        <v>45875.197812500002</v>
      </c>
      <c r="B514" t="s">
        <v>594</v>
      </c>
      <c r="C514" t="s">
        <v>14</v>
      </c>
      <c r="D514" t="s">
        <v>971</v>
      </c>
      <c r="E514" t="s">
        <v>186</v>
      </c>
    </row>
    <row r="515" spans="1:5" x14ac:dyDescent="0.2">
      <c r="A515" s="269">
        <v>45875.19809027778</v>
      </c>
      <c r="B515" t="s">
        <v>594</v>
      </c>
      <c r="C515" t="s">
        <v>14</v>
      </c>
      <c r="D515" t="s">
        <v>971</v>
      </c>
      <c r="E515" t="s">
        <v>350</v>
      </c>
    </row>
    <row r="516" spans="1:5" x14ac:dyDescent="0.2">
      <c r="A516" s="269">
        <v>45875.198113425926</v>
      </c>
      <c r="B516" t="s">
        <v>594</v>
      </c>
      <c r="C516" t="s">
        <v>14</v>
      </c>
      <c r="D516" t="s">
        <v>971</v>
      </c>
      <c r="E516" t="s">
        <v>186</v>
      </c>
    </row>
    <row r="517" spans="1:5" x14ac:dyDescent="0.2">
      <c r="A517" s="269">
        <v>45875.199050925927</v>
      </c>
      <c r="B517" t="s">
        <v>594</v>
      </c>
      <c r="C517" t="s">
        <v>14</v>
      </c>
      <c r="D517" t="s">
        <v>971</v>
      </c>
      <c r="E517" t="s">
        <v>350</v>
      </c>
    </row>
    <row r="518" spans="1:5" x14ac:dyDescent="0.2">
      <c r="A518" s="269">
        <v>45875.199074074073</v>
      </c>
      <c r="B518" t="s">
        <v>594</v>
      </c>
      <c r="C518" t="s">
        <v>14</v>
      </c>
      <c r="D518" t="s">
        <v>971</v>
      </c>
      <c r="E518" t="s">
        <v>186</v>
      </c>
    </row>
    <row r="519" spans="1:5" x14ac:dyDescent="0.2">
      <c r="A519" s="269">
        <v>45875.199525462966</v>
      </c>
      <c r="B519" t="s">
        <v>594</v>
      </c>
      <c r="C519" t="s">
        <v>14</v>
      </c>
      <c r="D519" t="s">
        <v>974</v>
      </c>
      <c r="E519" t="s">
        <v>350</v>
      </c>
    </row>
    <row r="520" spans="1:5" x14ac:dyDescent="0.2">
      <c r="A520" s="269">
        <v>45875.199548611112</v>
      </c>
      <c r="B520" t="s">
        <v>594</v>
      </c>
      <c r="C520" t="s">
        <v>14</v>
      </c>
      <c r="D520" t="s">
        <v>974</v>
      </c>
      <c r="E520" t="s">
        <v>186</v>
      </c>
    </row>
    <row r="521" spans="1:5" x14ac:dyDescent="0.2">
      <c r="A521" s="269">
        <v>45875.199594907404</v>
      </c>
      <c r="B521" t="s">
        <v>594</v>
      </c>
      <c r="C521" t="s">
        <v>14</v>
      </c>
      <c r="D521" t="s">
        <v>971</v>
      </c>
    </row>
    <row r="522" spans="1:5" x14ac:dyDescent="0.2">
      <c r="A522" s="269">
        <v>45875.199618055558</v>
      </c>
      <c r="B522" t="s">
        <v>594</v>
      </c>
      <c r="C522" t="s">
        <v>14</v>
      </c>
      <c r="D522" t="s">
        <v>974</v>
      </c>
    </row>
    <row r="523" spans="1:5" x14ac:dyDescent="0.2">
      <c r="A523" s="269">
        <v>45875.201064814813</v>
      </c>
      <c r="B523" t="s">
        <v>594</v>
      </c>
      <c r="C523" t="s">
        <v>14</v>
      </c>
      <c r="D523" t="s">
        <v>971</v>
      </c>
      <c r="E523" t="s">
        <v>186</v>
      </c>
    </row>
    <row r="524" spans="1:5" x14ac:dyDescent="0.2">
      <c r="A524" s="269">
        <v>45875.201909722222</v>
      </c>
      <c r="B524" t="s">
        <v>594</v>
      </c>
      <c r="C524" t="s">
        <v>14</v>
      </c>
      <c r="D524" t="s">
        <v>971</v>
      </c>
      <c r="E524" t="s">
        <v>350</v>
      </c>
    </row>
    <row r="525" spans="1:5" x14ac:dyDescent="0.2">
      <c r="A525" s="269">
        <v>45875.202499999999</v>
      </c>
      <c r="B525" t="s">
        <v>594</v>
      </c>
      <c r="C525" t="s">
        <v>14</v>
      </c>
      <c r="D525" t="s">
        <v>975</v>
      </c>
      <c r="E525" t="s">
        <v>350</v>
      </c>
    </row>
    <row r="526" spans="1:5" x14ac:dyDescent="0.2">
      <c r="A526" s="269">
        <v>45875.202557870369</v>
      </c>
      <c r="B526" t="s">
        <v>594</v>
      </c>
      <c r="C526" t="s">
        <v>14</v>
      </c>
      <c r="D526" t="s">
        <v>975</v>
      </c>
    </row>
    <row r="527" spans="1:5" x14ac:dyDescent="0.2">
      <c r="A527" s="269">
        <v>45875.20275462963</v>
      </c>
      <c r="B527" t="s">
        <v>594</v>
      </c>
      <c r="C527" t="s">
        <v>14</v>
      </c>
      <c r="D527" t="s">
        <v>976</v>
      </c>
    </row>
    <row r="528" spans="1:5" x14ac:dyDescent="0.2">
      <c r="A528" s="269">
        <v>45875.202777777777</v>
      </c>
      <c r="B528" t="s">
        <v>594</v>
      </c>
      <c r="C528" t="s">
        <v>14</v>
      </c>
      <c r="D528" t="s">
        <v>977</v>
      </c>
    </row>
    <row r="529" spans="1:5" x14ac:dyDescent="0.2">
      <c r="A529" s="269">
        <v>45875.202777777777</v>
      </c>
      <c r="B529" t="s">
        <v>594</v>
      </c>
      <c r="C529" t="s">
        <v>14</v>
      </c>
      <c r="D529" t="s">
        <v>978</v>
      </c>
    </row>
    <row r="530" spans="1:5" x14ac:dyDescent="0.2">
      <c r="A530" s="269">
        <v>45875.203414351854</v>
      </c>
      <c r="B530" t="s">
        <v>594</v>
      </c>
      <c r="C530" t="s">
        <v>14</v>
      </c>
      <c r="D530" t="s">
        <v>971</v>
      </c>
      <c r="E530" t="s">
        <v>84</v>
      </c>
    </row>
    <row r="531" spans="1:5" x14ac:dyDescent="0.2">
      <c r="A531" s="269">
        <v>45875.203449074077</v>
      </c>
      <c r="B531" t="s">
        <v>594</v>
      </c>
      <c r="C531" t="s">
        <v>14</v>
      </c>
      <c r="D531" t="s">
        <v>979</v>
      </c>
      <c r="E531" t="s">
        <v>84</v>
      </c>
    </row>
    <row r="532" spans="1:5" x14ac:dyDescent="0.2">
      <c r="A532" s="269">
        <v>45875.20722222222</v>
      </c>
      <c r="B532" t="s">
        <v>594</v>
      </c>
      <c r="C532" t="s">
        <v>14</v>
      </c>
      <c r="D532" t="s">
        <v>980</v>
      </c>
    </row>
    <row r="533" spans="1:5" x14ac:dyDescent="0.2">
      <c r="A533" s="269">
        <v>45875.207731481481</v>
      </c>
      <c r="B533" t="s">
        <v>594</v>
      </c>
      <c r="C533" t="s">
        <v>101</v>
      </c>
      <c r="D533" t="s">
        <v>981</v>
      </c>
      <c r="E533" t="s">
        <v>44</v>
      </c>
    </row>
    <row r="534" spans="1:5" x14ac:dyDescent="0.2">
      <c r="A534" s="269">
        <v>45875.20826388889</v>
      </c>
      <c r="B534" t="s">
        <v>594</v>
      </c>
      <c r="C534" t="s">
        <v>14</v>
      </c>
      <c r="D534" t="s">
        <v>980</v>
      </c>
    </row>
    <row r="535" spans="1:5" x14ac:dyDescent="0.2">
      <c r="A535" s="269">
        <v>45875.208333333336</v>
      </c>
      <c r="B535" t="s">
        <v>594</v>
      </c>
      <c r="C535" t="s">
        <v>14</v>
      </c>
      <c r="D535" t="s">
        <v>976</v>
      </c>
      <c r="E535" t="s">
        <v>87</v>
      </c>
    </row>
    <row r="536" spans="1:5" x14ac:dyDescent="0.2">
      <c r="A536" s="269">
        <v>45875.208657407406</v>
      </c>
      <c r="B536" t="s">
        <v>594</v>
      </c>
      <c r="C536" t="s">
        <v>14</v>
      </c>
      <c r="D536" t="s">
        <v>982</v>
      </c>
      <c r="E536">
        <v>0</v>
      </c>
    </row>
    <row r="537" spans="1:5" x14ac:dyDescent="0.2">
      <c r="A537" s="269">
        <v>45875.208715277775</v>
      </c>
      <c r="B537" t="s">
        <v>594</v>
      </c>
      <c r="C537" t="s">
        <v>14</v>
      </c>
      <c r="D537" t="s">
        <v>983</v>
      </c>
      <c r="E537" t="s">
        <v>44</v>
      </c>
    </row>
    <row r="538" spans="1:5" x14ac:dyDescent="0.2">
      <c r="A538" s="269">
        <v>45875.208784722221</v>
      </c>
      <c r="B538" t="s">
        <v>594</v>
      </c>
      <c r="C538" t="s">
        <v>14</v>
      </c>
      <c r="D538" t="s">
        <v>984</v>
      </c>
      <c r="E538" t="s">
        <v>360</v>
      </c>
    </row>
    <row r="539" spans="1:5" x14ac:dyDescent="0.2">
      <c r="A539" s="269">
        <v>45875.208819444444</v>
      </c>
      <c r="B539" t="s">
        <v>594</v>
      </c>
      <c r="C539" t="s">
        <v>14</v>
      </c>
      <c r="D539" t="s">
        <v>984</v>
      </c>
      <c r="E539" t="s">
        <v>40</v>
      </c>
    </row>
    <row r="540" spans="1:5" x14ac:dyDescent="0.2">
      <c r="A540" s="269">
        <v>45875.209849537037</v>
      </c>
      <c r="B540" t="s">
        <v>594</v>
      </c>
      <c r="C540" t="s">
        <v>14</v>
      </c>
      <c r="D540" t="s">
        <v>985</v>
      </c>
    </row>
    <row r="541" spans="1:5" x14ac:dyDescent="0.2">
      <c r="A541" s="269">
        <v>45875.209849537037</v>
      </c>
      <c r="B541" t="s">
        <v>594</v>
      </c>
      <c r="C541" t="s">
        <v>14</v>
      </c>
      <c r="D541" t="s">
        <v>985</v>
      </c>
      <c r="E541">
        <v>0</v>
      </c>
    </row>
    <row r="542" spans="1:5" x14ac:dyDescent="0.2">
      <c r="A542" s="269">
        <v>45875.210034722222</v>
      </c>
      <c r="B542" t="s">
        <v>594</v>
      </c>
      <c r="C542" t="s">
        <v>101</v>
      </c>
      <c r="D542" t="s">
        <v>986</v>
      </c>
      <c r="E542">
        <v>3000</v>
      </c>
    </row>
    <row r="543" spans="1:5" x14ac:dyDescent="0.2">
      <c r="A543" s="269">
        <v>45875.210798611108</v>
      </c>
      <c r="B543" t="s">
        <v>594</v>
      </c>
      <c r="C543" t="s">
        <v>14</v>
      </c>
      <c r="D543" t="s">
        <v>985</v>
      </c>
      <c r="E543" t="e">
        <v>#VALUE!</v>
      </c>
    </row>
    <row r="544" spans="1:5" x14ac:dyDescent="0.2">
      <c r="A544" s="269">
        <v>45875.2108912037</v>
      </c>
      <c r="B544" t="s">
        <v>594</v>
      </c>
      <c r="C544" t="s">
        <v>14</v>
      </c>
      <c r="D544" t="s">
        <v>985</v>
      </c>
      <c r="E544" t="e">
        <v>#VALUE!</v>
      </c>
    </row>
    <row r="545" spans="1:5" x14ac:dyDescent="0.2">
      <c r="A545" s="269">
        <v>45875.210914351854</v>
      </c>
      <c r="B545" t="s">
        <v>594</v>
      </c>
      <c r="C545" t="s">
        <v>14</v>
      </c>
      <c r="D545" t="s">
        <v>985</v>
      </c>
    </row>
    <row r="546" spans="1:5" x14ac:dyDescent="0.2">
      <c r="A546" s="269">
        <v>45875.211793981478</v>
      </c>
      <c r="B546" t="s">
        <v>594</v>
      </c>
      <c r="C546" t="s">
        <v>27</v>
      </c>
      <c r="D546" t="s">
        <v>985</v>
      </c>
      <c r="E546">
        <v>0</v>
      </c>
    </row>
    <row r="547" spans="1:5" x14ac:dyDescent="0.2">
      <c r="A547" s="269">
        <v>45875.212766203702</v>
      </c>
      <c r="B547" t="s">
        <v>594</v>
      </c>
      <c r="C547" t="s">
        <v>14</v>
      </c>
      <c r="D547" t="s">
        <v>985</v>
      </c>
      <c r="E547">
        <v>0</v>
      </c>
    </row>
    <row r="548" spans="1:5" x14ac:dyDescent="0.2">
      <c r="A548" s="269">
        <v>45875.212835648148</v>
      </c>
      <c r="B548" t="s">
        <v>594</v>
      </c>
      <c r="C548" t="s">
        <v>14</v>
      </c>
      <c r="D548" t="s">
        <v>987</v>
      </c>
      <c r="E548" t="s">
        <v>181</v>
      </c>
    </row>
    <row r="549" spans="1:5" x14ac:dyDescent="0.2">
      <c r="A549" s="269">
        <v>45875.212858796294</v>
      </c>
      <c r="B549" t="s">
        <v>594</v>
      </c>
      <c r="C549" t="s">
        <v>14</v>
      </c>
      <c r="D549" t="s">
        <v>988</v>
      </c>
      <c r="E549" t="s">
        <v>989</v>
      </c>
    </row>
    <row r="550" spans="1:5" x14ac:dyDescent="0.2">
      <c r="A550" s="269">
        <v>45875.212951388887</v>
      </c>
      <c r="B550" t="s">
        <v>594</v>
      </c>
      <c r="C550" t="s">
        <v>14</v>
      </c>
      <c r="D550" t="s">
        <v>988</v>
      </c>
      <c r="E550" t="s">
        <v>182</v>
      </c>
    </row>
    <row r="551" spans="1:5" x14ac:dyDescent="0.2">
      <c r="A551" s="269">
        <v>45875.21297453704</v>
      </c>
      <c r="B551" t="s">
        <v>594</v>
      </c>
      <c r="C551" t="s">
        <v>14</v>
      </c>
      <c r="D551" t="s">
        <v>990</v>
      </c>
      <c r="E551" t="s">
        <v>84</v>
      </c>
    </row>
    <row r="552" spans="1:5" x14ac:dyDescent="0.2">
      <c r="A552" s="269">
        <v>45875.213043981479</v>
      </c>
      <c r="B552" t="s">
        <v>594</v>
      </c>
      <c r="C552" t="s">
        <v>14</v>
      </c>
      <c r="D552" t="s">
        <v>974</v>
      </c>
      <c r="E552" t="s">
        <v>186</v>
      </c>
    </row>
    <row r="553" spans="1:5" x14ac:dyDescent="0.2">
      <c r="A553" s="269">
        <v>45875.213159722225</v>
      </c>
      <c r="B553" t="s">
        <v>594</v>
      </c>
      <c r="C553" t="s">
        <v>14</v>
      </c>
      <c r="D553" t="s">
        <v>987</v>
      </c>
      <c r="E553" t="s">
        <v>991</v>
      </c>
    </row>
    <row r="554" spans="1:5" x14ac:dyDescent="0.2">
      <c r="A554" s="269">
        <v>45875.213217592594</v>
      </c>
      <c r="B554" t="s">
        <v>594</v>
      </c>
      <c r="C554" t="s">
        <v>14</v>
      </c>
      <c r="D554" t="s">
        <v>987</v>
      </c>
      <c r="E554" t="s">
        <v>186</v>
      </c>
    </row>
    <row r="555" spans="1:5" x14ac:dyDescent="0.2">
      <c r="A555" s="269">
        <v>45875.213287037041</v>
      </c>
      <c r="B555" t="s">
        <v>594</v>
      </c>
      <c r="C555" t="s">
        <v>14</v>
      </c>
      <c r="D555" t="s">
        <v>992</v>
      </c>
      <c r="E555" t="s">
        <v>378</v>
      </c>
    </row>
    <row r="556" spans="1:5" x14ac:dyDescent="0.2">
      <c r="A556" s="269">
        <v>45875.213310185187</v>
      </c>
      <c r="B556" t="s">
        <v>594</v>
      </c>
      <c r="C556" t="s">
        <v>14</v>
      </c>
      <c r="D556" t="s">
        <v>993</v>
      </c>
      <c r="E556">
        <v>5</v>
      </c>
    </row>
    <row r="557" spans="1:5" x14ac:dyDescent="0.2">
      <c r="A557" s="269">
        <v>45875.213472222225</v>
      </c>
      <c r="B557" t="s">
        <v>594</v>
      </c>
      <c r="C557" t="s">
        <v>14</v>
      </c>
      <c r="D557" t="s">
        <v>994</v>
      </c>
      <c r="E557" t="s">
        <v>87</v>
      </c>
    </row>
    <row r="558" spans="1:5" x14ac:dyDescent="0.2">
      <c r="A558" s="269">
        <v>45875.213680555556</v>
      </c>
      <c r="B558" t="s">
        <v>594</v>
      </c>
      <c r="C558" t="s">
        <v>14</v>
      </c>
      <c r="D558" t="s">
        <v>995</v>
      </c>
      <c r="E558">
        <v>0</v>
      </c>
    </row>
    <row r="559" spans="1:5" x14ac:dyDescent="0.2">
      <c r="A559" s="269">
        <v>45875.213819444441</v>
      </c>
      <c r="B559" t="s">
        <v>594</v>
      </c>
      <c r="C559" t="s">
        <v>14</v>
      </c>
      <c r="D559" t="s">
        <v>996</v>
      </c>
      <c r="E559">
        <v>0</v>
      </c>
    </row>
    <row r="560" spans="1:5" x14ac:dyDescent="0.2">
      <c r="A560" s="269">
        <v>45875.213865740741</v>
      </c>
      <c r="B560" t="s">
        <v>594</v>
      </c>
      <c r="C560" t="s">
        <v>14</v>
      </c>
      <c r="D560" t="s">
        <v>997</v>
      </c>
      <c r="E560">
        <v>5</v>
      </c>
    </row>
    <row r="561" spans="1:5" x14ac:dyDescent="0.2">
      <c r="A561" s="269">
        <v>45875.213958333334</v>
      </c>
      <c r="B561" t="s">
        <v>594</v>
      </c>
      <c r="C561" t="s">
        <v>14</v>
      </c>
      <c r="D561" t="s">
        <v>986</v>
      </c>
      <c r="E561">
        <v>0</v>
      </c>
    </row>
    <row r="562" spans="1:5" x14ac:dyDescent="0.2">
      <c r="A562" s="269">
        <v>45875.214560185188</v>
      </c>
      <c r="B562" t="s">
        <v>594</v>
      </c>
      <c r="C562" t="s">
        <v>14</v>
      </c>
      <c r="D562" t="s">
        <v>985</v>
      </c>
      <c r="E562">
        <v>5</v>
      </c>
    </row>
    <row r="563" spans="1:5" x14ac:dyDescent="0.2">
      <c r="A563" s="269">
        <v>45875.214583333334</v>
      </c>
      <c r="B563" t="s">
        <v>594</v>
      </c>
      <c r="C563" t="s">
        <v>14</v>
      </c>
      <c r="D563" t="s">
        <v>997</v>
      </c>
      <c r="E563">
        <v>5</v>
      </c>
    </row>
    <row r="564" spans="1:5" x14ac:dyDescent="0.2">
      <c r="A564" s="269">
        <v>45875.21465277778</v>
      </c>
      <c r="B564" t="s">
        <v>594</v>
      </c>
      <c r="C564" t="s">
        <v>14</v>
      </c>
      <c r="D564" t="s">
        <v>986</v>
      </c>
      <c r="E564">
        <v>0</v>
      </c>
    </row>
    <row r="565" spans="1:5" x14ac:dyDescent="0.2">
      <c r="A565" s="269">
        <v>45875.214814814812</v>
      </c>
      <c r="B565" t="s">
        <v>594</v>
      </c>
      <c r="C565" t="s">
        <v>14</v>
      </c>
      <c r="D565" t="s">
        <v>996</v>
      </c>
      <c r="E565">
        <v>0</v>
      </c>
    </row>
    <row r="566" spans="1:5" x14ac:dyDescent="0.2">
      <c r="A566" s="269">
        <v>45875.215127314812</v>
      </c>
      <c r="B566" t="s">
        <v>594</v>
      </c>
      <c r="C566" t="s">
        <v>14</v>
      </c>
      <c r="D566" t="s">
        <v>996</v>
      </c>
      <c r="E566">
        <v>0</v>
      </c>
    </row>
    <row r="567" spans="1:5" x14ac:dyDescent="0.2">
      <c r="A567" s="269">
        <v>45875.215243055558</v>
      </c>
      <c r="B567" t="s">
        <v>594</v>
      </c>
      <c r="C567" t="s">
        <v>14</v>
      </c>
      <c r="D567" t="s">
        <v>996</v>
      </c>
      <c r="E567">
        <v>0</v>
      </c>
    </row>
    <row r="568" spans="1:5" x14ac:dyDescent="0.2">
      <c r="A568" s="269">
        <v>45875.215312499997</v>
      </c>
      <c r="B568" t="s">
        <v>594</v>
      </c>
      <c r="C568" t="s">
        <v>14</v>
      </c>
      <c r="D568" t="s">
        <v>998</v>
      </c>
      <c r="E568">
        <v>5</v>
      </c>
    </row>
    <row r="569" spans="1:5" x14ac:dyDescent="0.2">
      <c r="A569" s="269">
        <v>45875.215439814812</v>
      </c>
      <c r="B569" t="s">
        <v>594</v>
      </c>
      <c r="C569" t="s">
        <v>14</v>
      </c>
      <c r="D569" t="s">
        <v>996</v>
      </c>
      <c r="E569">
        <v>0</v>
      </c>
    </row>
    <row r="570" spans="1:5" x14ac:dyDescent="0.2">
      <c r="A570" s="269">
        <v>45875.215462962966</v>
      </c>
      <c r="B570" t="s">
        <v>594</v>
      </c>
      <c r="C570" t="s">
        <v>14</v>
      </c>
      <c r="D570" t="s">
        <v>999</v>
      </c>
      <c r="E570">
        <v>0</v>
      </c>
    </row>
    <row r="571" spans="1:5" x14ac:dyDescent="0.2">
      <c r="A571" s="269">
        <v>45875.215509259258</v>
      </c>
      <c r="B571" t="s">
        <v>594</v>
      </c>
      <c r="C571" t="s">
        <v>14</v>
      </c>
      <c r="D571" t="s">
        <v>995</v>
      </c>
      <c r="E571">
        <v>0</v>
      </c>
    </row>
    <row r="572" spans="1:5" x14ac:dyDescent="0.2">
      <c r="A572" s="269">
        <v>45875.215578703705</v>
      </c>
      <c r="B572" t="s">
        <v>594</v>
      </c>
      <c r="C572" t="s">
        <v>14</v>
      </c>
      <c r="D572" t="s">
        <v>1000</v>
      </c>
      <c r="E572">
        <v>0</v>
      </c>
    </row>
    <row r="573" spans="1:5" x14ac:dyDescent="0.2">
      <c r="A573" s="269">
        <v>45875.215648148151</v>
      </c>
      <c r="B573" t="s">
        <v>594</v>
      </c>
      <c r="C573" t="s">
        <v>14</v>
      </c>
      <c r="D573" t="s">
        <v>1001</v>
      </c>
      <c r="E573" t="e">
        <v>#REF!</v>
      </c>
    </row>
    <row r="574" spans="1:5" x14ac:dyDescent="0.2">
      <c r="A574" s="269">
        <v>45875.215694444443</v>
      </c>
      <c r="B574" t="s">
        <v>594</v>
      </c>
      <c r="C574" t="s">
        <v>14</v>
      </c>
      <c r="D574" t="s">
        <v>1002</v>
      </c>
      <c r="E574">
        <v>0</v>
      </c>
    </row>
    <row r="575" spans="1:5" x14ac:dyDescent="0.2">
      <c r="A575" s="269">
        <v>45875.21570601852</v>
      </c>
      <c r="B575" t="s">
        <v>594</v>
      </c>
      <c r="C575" t="s">
        <v>14</v>
      </c>
      <c r="D575" t="s">
        <v>1003</v>
      </c>
      <c r="E575">
        <v>0</v>
      </c>
    </row>
    <row r="576" spans="1:5" x14ac:dyDescent="0.2">
      <c r="A576" s="269">
        <v>45875.215752314813</v>
      </c>
      <c r="B576" t="s">
        <v>594</v>
      </c>
      <c r="C576" t="s">
        <v>14</v>
      </c>
      <c r="D576" t="s">
        <v>1000</v>
      </c>
      <c r="E576">
        <v>0</v>
      </c>
    </row>
    <row r="577" spans="1:5" x14ac:dyDescent="0.2">
      <c r="A577" s="269">
        <v>45875.215775462966</v>
      </c>
      <c r="B577" t="s">
        <v>594</v>
      </c>
      <c r="C577" t="s">
        <v>14</v>
      </c>
      <c r="D577" t="s">
        <v>1004</v>
      </c>
      <c r="E577">
        <v>0</v>
      </c>
    </row>
    <row r="578" spans="1:5" x14ac:dyDescent="0.2">
      <c r="A578" s="269">
        <v>45875.215798611112</v>
      </c>
      <c r="B578" t="s">
        <v>594</v>
      </c>
      <c r="C578" t="s">
        <v>14</v>
      </c>
      <c r="D578" t="s">
        <v>1005</v>
      </c>
      <c r="E578">
        <v>0</v>
      </c>
    </row>
    <row r="579" spans="1:5" x14ac:dyDescent="0.2">
      <c r="A579" s="269">
        <v>45875.215844907405</v>
      </c>
      <c r="B579" t="s">
        <v>594</v>
      </c>
      <c r="C579" t="s">
        <v>14</v>
      </c>
      <c r="D579" t="s">
        <v>1000</v>
      </c>
      <c r="E579">
        <v>0</v>
      </c>
    </row>
    <row r="580" spans="1:5" x14ac:dyDescent="0.2">
      <c r="A580" s="269">
        <v>45875.215879629628</v>
      </c>
      <c r="B580" t="s">
        <v>594</v>
      </c>
      <c r="C580" t="s">
        <v>14</v>
      </c>
      <c r="D580" t="s">
        <v>1001</v>
      </c>
      <c r="E580">
        <v>0</v>
      </c>
    </row>
    <row r="581" spans="1:5" x14ac:dyDescent="0.2">
      <c r="A581" s="269">
        <v>45875.215937499997</v>
      </c>
      <c r="B581" t="s">
        <v>594</v>
      </c>
      <c r="C581" t="s">
        <v>14</v>
      </c>
      <c r="D581" t="s">
        <v>1006</v>
      </c>
      <c r="E581">
        <v>0</v>
      </c>
    </row>
    <row r="582" spans="1:5" x14ac:dyDescent="0.2">
      <c r="A582" s="269">
        <v>45875.215960648151</v>
      </c>
      <c r="B582" t="s">
        <v>594</v>
      </c>
      <c r="C582" t="s">
        <v>14</v>
      </c>
      <c r="D582" t="s">
        <v>1005</v>
      </c>
      <c r="E582">
        <v>0</v>
      </c>
    </row>
    <row r="583" spans="1:5" x14ac:dyDescent="0.2">
      <c r="A583" s="269">
        <v>45875.215983796297</v>
      </c>
      <c r="B583" t="s">
        <v>594</v>
      </c>
      <c r="C583" t="s">
        <v>14</v>
      </c>
      <c r="D583" t="s">
        <v>1007</v>
      </c>
      <c r="E583">
        <v>0</v>
      </c>
    </row>
    <row r="584" spans="1:5" x14ac:dyDescent="0.2">
      <c r="A584" s="269">
        <v>45875.21603009259</v>
      </c>
      <c r="B584" t="s">
        <v>594</v>
      </c>
      <c r="C584" t="s">
        <v>14</v>
      </c>
      <c r="D584" t="s">
        <v>1008</v>
      </c>
      <c r="E584">
        <v>2</v>
      </c>
    </row>
    <row r="585" spans="1:5" x14ac:dyDescent="0.2">
      <c r="A585" s="269">
        <v>45875.21607638889</v>
      </c>
      <c r="B585" t="s">
        <v>594</v>
      </c>
      <c r="C585" t="s">
        <v>14</v>
      </c>
      <c r="D585" t="s">
        <v>976</v>
      </c>
      <c r="E585" t="s">
        <v>384</v>
      </c>
    </row>
    <row r="586" spans="1:5" x14ac:dyDescent="0.2">
      <c r="A586" s="269">
        <v>45875.216446759259</v>
      </c>
      <c r="B586" t="s">
        <v>594</v>
      </c>
      <c r="C586" t="s">
        <v>14</v>
      </c>
      <c r="D586" t="s">
        <v>996</v>
      </c>
      <c r="E586">
        <v>0</v>
      </c>
    </row>
    <row r="587" spans="1:5" x14ac:dyDescent="0.2">
      <c r="A587" s="269">
        <v>45875.216550925928</v>
      </c>
      <c r="B587" t="s">
        <v>594</v>
      </c>
      <c r="C587" t="s">
        <v>14</v>
      </c>
      <c r="D587" t="s">
        <v>1003</v>
      </c>
      <c r="E587">
        <v>0</v>
      </c>
    </row>
    <row r="588" spans="1:5" x14ac:dyDescent="0.2">
      <c r="A588" s="269">
        <v>45875.216597222221</v>
      </c>
      <c r="B588" t="s">
        <v>594</v>
      </c>
      <c r="C588" t="s">
        <v>14</v>
      </c>
      <c r="D588" t="s">
        <v>996</v>
      </c>
      <c r="E588">
        <v>0</v>
      </c>
    </row>
    <row r="589" spans="1:5" x14ac:dyDescent="0.2">
      <c r="A589" s="269">
        <v>45875.216666666667</v>
      </c>
      <c r="B589" t="s">
        <v>594</v>
      </c>
      <c r="C589" t="s">
        <v>14</v>
      </c>
      <c r="D589" t="s">
        <v>1003</v>
      </c>
      <c r="E589">
        <v>0</v>
      </c>
    </row>
    <row r="590" spans="1:5" x14ac:dyDescent="0.2">
      <c r="A590" s="269">
        <v>45875.216770833336</v>
      </c>
      <c r="B590" t="s">
        <v>594</v>
      </c>
      <c r="C590" t="s">
        <v>14</v>
      </c>
      <c r="D590" t="s">
        <v>1003</v>
      </c>
      <c r="E590">
        <v>0</v>
      </c>
    </row>
    <row r="591" spans="1:5" x14ac:dyDescent="0.2">
      <c r="A591" s="269">
        <v>45875.216805555552</v>
      </c>
      <c r="B591" t="s">
        <v>594</v>
      </c>
      <c r="C591" t="s">
        <v>14</v>
      </c>
      <c r="D591" t="s">
        <v>996</v>
      </c>
      <c r="E591">
        <v>0</v>
      </c>
    </row>
    <row r="592" spans="1:5" x14ac:dyDescent="0.2">
      <c r="A592" s="269">
        <v>45875.217013888891</v>
      </c>
      <c r="B592" t="s">
        <v>594</v>
      </c>
      <c r="C592" t="s">
        <v>14</v>
      </c>
      <c r="D592" t="s">
        <v>1002</v>
      </c>
      <c r="E592">
        <v>0</v>
      </c>
    </row>
    <row r="593" spans="1:5" x14ac:dyDescent="0.2">
      <c r="A593" s="269">
        <v>45875.217083333337</v>
      </c>
      <c r="B593" t="s">
        <v>594</v>
      </c>
      <c r="C593" t="s">
        <v>14</v>
      </c>
      <c r="D593" t="s">
        <v>1003</v>
      </c>
      <c r="E593">
        <v>0</v>
      </c>
    </row>
    <row r="594" spans="1:5" x14ac:dyDescent="0.2">
      <c r="A594" s="269">
        <v>45875.217280092591</v>
      </c>
      <c r="B594" t="s">
        <v>594</v>
      </c>
      <c r="C594" t="s">
        <v>14</v>
      </c>
      <c r="D594" t="s">
        <v>986</v>
      </c>
      <c r="E594">
        <v>0</v>
      </c>
    </row>
    <row r="595" spans="1:5" x14ac:dyDescent="0.2">
      <c r="A595" s="269">
        <v>45875.217361111114</v>
      </c>
      <c r="B595" t="s">
        <v>594</v>
      </c>
      <c r="C595" t="s">
        <v>14</v>
      </c>
      <c r="D595" t="s">
        <v>985</v>
      </c>
      <c r="E595">
        <v>5</v>
      </c>
    </row>
    <row r="596" spans="1:5" x14ac:dyDescent="0.2">
      <c r="A596" s="269">
        <v>45875.217395833337</v>
      </c>
      <c r="B596" t="s">
        <v>594</v>
      </c>
      <c r="C596" t="s">
        <v>14</v>
      </c>
      <c r="D596" t="s">
        <v>997</v>
      </c>
      <c r="E596">
        <v>5</v>
      </c>
    </row>
    <row r="597" spans="1:5" x14ac:dyDescent="0.2">
      <c r="A597" s="269">
        <v>45875.217418981483</v>
      </c>
      <c r="B597" t="s">
        <v>594</v>
      </c>
      <c r="C597" t="s">
        <v>14</v>
      </c>
      <c r="D597" t="s">
        <v>985</v>
      </c>
      <c r="E597">
        <v>5</v>
      </c>
    </row>
    <row r="598" spans="1:5" x14ac:dyDescent="0.2">
      <c r="A598" s="269">
        <v>45875.217453703706</v>
      </c>
      <c r="B598" t="s">
        <v>594</v>
      </c>
      <c r="C598" t="s">
        <v>14</v>
      </c>
      <c r="D598" t="s">
        <v>986</v>
      </c>
      <c r="E598">
        <v>0</v>
      </c>
    </row>
    <row r="599" spans="1:5" x14ac:dyDescent="0.2">
      <c r="A599" s="269">
        <v>45875.217488425929</v>
      </c>
      <c r="B599" t="s">
        <v>594</v>
      </c>
      <c r="C599" t="s">
        <v>14</v>
      </c>
      <c r="D599" t="s">
        <v>1009</v>
      </c>
      <c r="E599">
        <v>0</v>
      </c>
    </row>
    <row r="600" spans="1:5" x14ac:dyDescent="0.2">
      <c r="A600" s="269">
        <v>45875.217569444445</v>
      </c>
      <c r="B600" t="s">
        <v>594</v>
      </c>
      <c r="C600" t="s">
        <v>14</v>
      </c>
      <c r="D600" t="s">
        <v>996</v>
      </c>
      <c r="E600">
        <v>0</v>
      </c>
    </row>
    <row r="601" spans="1:5" x14ac:dyDescent="0.2">
      <c r="A601" s="269">
        <v>45875.217604166668</v>
      </c>
      <c r="B601" t="s">
        <v>594</v>
      </c>
      <c r="C601" t="s">
        <v>14</v>
      </c>
      <c r="D601" t="s">
        <v>1002</v>
      </c>
      <c r="E601">
        <v>0</v>
      </c>
    </row>
    <row r="602" spans="1:5" x14ac:dyDescent="0.2">
      <c r="A602" s="269">
        <v>45875.217650462961</v>
      </c>
      <c r="B602" t="s">
        <v>594</v>
      </c>
      <c r="C602" t="s">
        <v>14</v>
      </c>
      <c r="D602" t="s">
        <v>1003</v>
      </c>
      <c r="E602">
        <v>0</v>
      </c>
    </row>
    <row r="603" spans="1:5" x14ac:dyDescent="0.2">
      <c r="A603" s="269">
        <v>45875.217766203707</v>
      </c>
      <c r="B603" t="s">
        <v>594</v>
      </c>
      <c r="C603" t="s">
        <v>14</v>
      </c>
      <c r="D603" t="s">
        <v>1003</v>
      </c>
      <c r="E603">
        <v>0</v>
      </c>
    </row>
    <row r="604" spans="1:5" x14ac:dyDescent="0.2">
      <c r="A604" s="269">
        <v>45875.217939814815</v>
      </c>
      <c r="B604" t="s">
        <v>594</v>
      </c>
      <c r="C604" t="s">
        <v>14</v>
      </c>
      <c r="D604" t="s">
        <v>985</v>
      </c>
      <c r="E604">
        <v>5</v>
      </c>
    </row>
    <row r="605" spans="1:5" x14ac:dyDescent="0.2">
      <c r="A605" s="269">
        <v>45875.217974537038</v>
      </c>
      <c r="B605" t="s">
        <v>594</v>
      </c>
      <c r="C605" t="s">
        <v>14</v>
      </c>
      <c r="D605" t="s">
        <v>997</v>
      </c>
      <c r="E605">
        <v>5</v>
      </c>
    </row>
    <row r="606" spans="1:5" x14ac:dyDescent="0.2">
      <c r="A606" s="269">
        <v>45875.21802083333</v>
      </c>
      <c r="B606" t="s">
        <v>594</v>
      </c>
      <c r="C606" t="s">
        <v>14</v>
      </c>
      <c r="D606" t="s">
        <v>985</v>
      </c>
      <c r="E606">
        <v>5</v>
      </c>
    </row>
    <row r="607" spans="1:5" x14ac:dyDescent="0.2">
      <c r="A607" s="269">
        <v>45875.218136574076</v>
      </c>
      <c r="B607" t="s">
        <v>594</v>
      </c>
      <c r="C607" t="s">
        <v>14</v>
      </c>
      <c r="D607" t="s">
        <v>986</v>
      </c>
      <c r="E607">
        <v>0</v>
      </c>
    </row>
    <row r="608" spans="1:5" x14ac:dyDescent="0.2">
      <c r="A608" s="269">
        <v>45875.218182870369</v>
      </c>
      <c r="B608" t="s">
        <v>594</v>
      </c>
      <c r="C608" t="s">
        <v>14</v>
      </c>
      <c r="D608" t="s">
        <v>1009</v>
      </c>
      <c r="E608">
        <v>0</v>
      </c>
    </row>
    <row r="609" spans="1:5" x14ac:dyDescent="0.2">
      <c r="A609" s="269">
        <v>45875.218217592592</v>
      </c>
      <c r="B609" t="s">
        <v>594</v>
      </c>
      <c r="C609" t="s">
        <v>14</v>
      </c>
      <c r="D609" t="s">
        <v>996</v>
      </c>
      <c r="E609">
        <v>0</v>
      </c>
    </row>
    <row r="610" spans="1:5" x14ac:dyDescent="0.2">
      <c r="A610" s="269">
        <v>45875.218240740738</v>
      </c>
      <c r="B610" t="s">
        <v>594</v>
      </c>
      <c r="C610" t="s">
        <v>14</v>
      </c>
      <c r="D610" t="s">
        <v>1010</v>
      </c>
      <c r="E610">
        <v>5</v>
      </c>
    </row>
    <row r="611" spans="1:5" x14ac:dyDescent="0.2">
      <c r="A611" s="269">
        <v>45875.218391203707</v>
      </c>
      <c r="B611" t="s">
        <v>594</v>
      </c>
      <c r="C611" t="s">
        <v>14</v>
      </c>
      <c r="D611" t="s">
        <v>996</v>
      </c>
      <c r="E611">
        <v>0</v>
      </c>
    </row>
    <row r="612" spans="1:5" x14ac:dyDescent="0.2">
      <c r="A612" s="269">
        <v>45875.2184375</v>
      </c>
      <c r="B612" t="s">
        <v>594</v>
      </c>
      <c r="C612" t="s">
        <v>14</v>
      </c>
      <c r="D612" t="s">
        <v>1000</v>
      </c>
      <c r="E612">
        <v>0</v>
      </c>
    </row>
    <row r="613" spans="1:5" x14ac:dyDescent="0.2">
      <c r="A613" s="269">
        <v>45875.218460648146</v>
      </c>
      <c r="B613" t="s">
        <v>594</v>
      </c>
      <c r="C613" t="s">
        <v>14</v>
      </c>
      <c r="D613" t="s">
        <v>1006</v>
      </c>
      <c r="E613">
        <v>0</v>
      </c>
    </row>
    <row r="614" spans="1:5" x14ac:dyDescent="0.2">
      <c r="A614" s="269">
        <v>45875.218495370369</v>
      </c>
      <c r="B614" t="s">
        <v>594</v>
      </c>
      <c r="C614" t="s">
        <v>14</v>
      </c>
      <c r="D614" t="s">
        <v>996</v>
      </c>
      <c r="E614">
        <v>0</v>
      </c>
    </row>
    <row r="615" spans="1:5" x14ac:dyDescent="0.2">
      <c r="A615" s="269">
        <v>45875.218518518515</v>
      </c>
      <c r="B615" t="s">
        <v>594</v>
      </c>
      <c r="C615" t="s">
        <v>14</v>
      </c>
      <c r="D615" t="s">
        <v>999</v>
      </c>
      <c r="E615">
        <v>0</v>
      </c>
    </row>
    <row r="616" spans="1:5" x14ac:dyDescent="0.2">
      <c r="A616" s="269">
        <v>45875.218553240738</v>
      </c>
      <c r="B616" t="s">
        <v>594</v>
      </c>
      <c r="C616" t="s">
        <v>14</v>
      </c>
      <c r="D616" t="s">
        <v>1004</v>
      </c>
      <c r="E616">
        <v>0</v>
      </c>
    </row>
    <row r="617" spans="1:5" x14ac:dyDescent="0.2">
      <c r="A617" s="269">
        <v>45875.218576388892</v>
      </c>
      <c r="B617" t="s">
        <v>594</v>
      </c>
      <c r="C617" t="s">
        <v>14</v>
      </c>
      <c r="D617" t="s">
        <v>1005</v>
      </c>
      <c r="E617">
        <v>0</v>
      </c>
    </row>
    <row r="618" spans="1:5" x14ac:dyDescent="0.2">
      <c r="A618" s="269">
        <v>45875.218611111108</v>
      </c>
      <c r="B618" t="s">
        <v>594</v>
      </c>
      <c r="C618" t="s">
        <v>14</v>
      </c>
      <c r="D618" t="s">
        <v>1011</v>
      </c>
      <c r="E618" t="s">
        <v>192</v>
      </c>
    </row>
    <row r="619" spans="1:5" x14ac:dyDescent="0.2">
      <c r="A619" s="269">
        <v>45875.218634259261</v>
      </c>
      <c r="B619" t="s">
        <v>594</v>
      </c>
      <c r="C619" t="s">
        <v>14</v>
      </c>
      <c r="D619" t="s">
        <v>1012</v>
      </c>
      <c r="E619">
        <v>5</v>
      </c>
    </row>
    <row r="620" spans="1:5" x14ac:dyDescent="0.2">
      <c r="A620" s="269">
        <v>45875.218668981484</v>
      </c>
      <c r="B620" t="s">
        <v>594</v>
      </c>
      <c r="C620" t="s">
        <v>14</v>
      </c>
      <c r="D620" t="s">
        <v>1013</v>
      </c>
      <c r="E620" t="s">
        <v>370</v>
      </c>
    </row>
    <row r="621" spans="1:5" x14ac:dyDescent="0.2">
      <c r="A621" s="269">
        <v>45875.218715277777</v>
      </c>
      <c r="B621" t="s">
        <v>594</v>
      </c>
      <c r="C621" t="s">
        <v>14</v>
      </c>
      <c r="D621" t="s">
        <v>975</v>
      </c>
      <c r="E621" t="s">
        <v>350</v>
      </c>
    </row>
    <row r="622" spans="1:5" x14ac:dyDescent="0.2">
      <c r="A622" s="269">
        <v>45875.218784722223</v>
      </c>
      <c r="B622" t="s">
        <v>594</v>
      </c>
      <c r="C622" t="s">
        <v>14</v>
      </c>
      <c r="D622" t="s">
        <v>1014</v>
      </c>
      <c r="E622" t="s">
        <v>369</v>
      </c>
    </row>
    <row r="623" spans="1:5" x14ac:dyDescent="0.2">
      <c r="A623" s="269">
        <v>45875.218842592592</v>
      </c>
      <c r="B623" t="s">
        <v>594</v>
      </c>
      <c r="C623" t="s">
        <v>14</v>
      </c>
      <c r="D623" t="s">
        <v>1014</v>
      </c>
      <c r="E623" t="s">
        <v>402</v>
      </c>
    </row>
    <row r="624" spans="1:5" x14ac:dyDescent="0.2">
      <c r="A624" s="269">
        <v>45875.218969907408</v>
      </c>
      <c r="B624" t="s">
        <v>594</v>
      </c>
      <c r="C624" t="s">
        <v>14</v>
      </c>
      <c r="D624" t="s">
        <v>745</v>
      </c>
      <c r="E624" t="s">
        <v>198</v>
      </c>
    </row>
    <row r="625" spans="1:5" x14ac:dyDescent="0.2">
      <c r="A625" s="269">
        <v>45875.218993055554</v>
      </c>
      <c r="B625" t="s">
        <v>594</v>
      </c>
      <c r="C625" t="s">
        <v>14</v>
      </c>
      <c r="D625" t="s">
        <v>1015</v>
      </c>
      <c r="E625">
        <v>1</v>
      </c>
    </row>
    <row r="626" spans="1:5" x14ac:dyDescent="0.2">
      <c r="A626" s="269">
        <v>45875.219027777777</v>
      </c>
      <c r="B626" t="s">
        <v>594</v>
      </c>
      <c r="C626" t="s">
        <v>14</v>
      </c>
      <c r="D626" t="s">
        <v>1016</v>
      </c>
      <c r="E626" t="s">
        <v>361</v>
      </c>
    </row>
    <row r="627" spans="1:5" x14ac:dyDescent="0.2">
      <c r="A627" s="269">
        <v>45875.2190625</v>
      </c>
      <c r="B627" t="s">
        <v>594</v>
      </c>
      <c r="C627" t="s">
        <v>14</v>
      </c>
      <c r="D627" t="s">
        <v>921</v>
      </c>
      <c r="E627" t="s">
        <v>186</v>
      </c>
    </row>
    <row r="628" spans="1:5" x14ac:dyDescent="0.2">
      <c r="A628" s="269">
        <v>45875.219108796293</v>
      </c>
      <c r="B628" t="s">
        <v>594</v>
      </c>
      <c r="C628" t="s">
        <v>14</v>
      </c>
      <c r="D628" t="s">
        <v>1017</v>
      </c>
      <c r="E628" t="s">
        <v>395</v>
      </c>
    </row>
    <row r="629" spans="1:5" x14ac:dyDescent="0.2">
      <c r="A629" s="269">
        <v>45875.219513888886</v>
      </c>
      <c r="B629" t="s">
        <v>594</v>
      </c>
      <c r="C629" t="s">
        <v>14</v>
      </c>
      <c r="D629" t="s">
        <v>1018</v>
      </c>
    </row>
    <row r="630" spans="1:5" x14ac:dyDescent="0.2">
      <c r="A630" s="269">
        <v>45875.219652777778</v>
      </c>
      <c r="B630" t="s">
        <v>594</v>
      </c>
      <c r="C630" t="s">
        <v>14</v>
      </c>
      <c r="D630" t="s">
        <v>1019</v>
      </c>
    </row>
    <row r="631" spans="1:5" x14ac:dyDescent="0.2">
      <c r="A631" s="269">
        <v>45875.220046296294</v>
      </c>
      <c r="B631" t="s">
        <v>594</v>
      </c>
      <c r="C631" t="s">
        <v>14</v>
      </c>
      <c r="D631" t="s">
        <v>1020</v>
      </c>
    </row>
    <row r="632" spans="1:5" x14ac:dyDescent="0.2">
      <c r="A632" s="269">
        <v>45875.220196759263</v>
      </c>
      <c r="B632" t="s">
        <v>594</v>
      </c>
      <c r="C632" t="s">
        <v>14</v>
      </c>
      <c r="D632" t="s">
        <v>1021</v>
      </c>
    </row>
    <row r="633" spans="1:5" x14ac:dyDescent="0.2">
      <c r="A633" s="269">
        <v>45875.22079861111</v>
      </c>
      <c r="B633" t="s">
        <v>594</v>
      </c>
      <c r="C633" t="s">
        <v>14</v>
      </c>
      <c r="D633" t="s">
        <v>656</v>
      </c>
      <c r="E633" t="s">
        <v>38</v>
      </c>
    </row>
    <row r="634" spans="1:5" x14ac:dyDescent="0.2">
      <c r="A634" s="269">
        <v>45875.220833333333</v>
      </c>
      <c r="B634" t="s">
        <v>594</v>
      </c>
      <c r="C634" t="s">
        <v>14</v>
      </c>
      <c r="D634" t="s">
        <v>1022</v>
      </c>
      <c r="E634" t="s">
        <v>38</v>
      </c>
    </row>
    <row r="635" spans="1:5" x14ac:dyDescent="0.2">
      <c r="A635" s="269">
        <v>45875.220879629633</v>
      </c>
      <c r="B635" t="s">
        <v>594</v>
      </c>
      <c r="C635" t="s">
        <v>14</v>
      </c>
      <c r="D635" t="s">
        <v>1023</v>
      </c>
      <c r="E635" t="s">
        <v>38</v>
      </c>
    </row>
    <row r="636" spans="1:5" x14ac:dyDescent="0.2">
      <c r="A636" s="269">
        <v>45875.221307870372</v>
      </c>
      <c r="B636" t="s">
        <v>594</v>
      </c>
      <c r="C636" t="s">
        <v>609</v>
      </c>
      <c r="D636" t="s">
        <v>1024</v>
      </c>
      <c r="E636" t="s">
        <v>950</v>
      </c>
    </row>
    <row r="637" spans="1:5" ht="112" x14ac:dyDescent="0.2">
      <c r="A637" s="269">
        <v>45875.22142361111</v>
      </c>
      <c r="B637" t="s">
        <v>594</v>
      </c>
      <c r="C637" t="s">
        <v>609</v>
      </c>
      <c r="D637" t="s">
        <v>1025</v>
      </c>
      <c r="E637" s="6" t="s">
        <v>1026</v>
      </c>
    </row>
    <row r="638" spans="1:5" x14ac:dyDescent="0.2">
      <c r="A638" s="269">
        <v>45875.221828703703</v>
      </c>
      <c r="B638" t="s">
        <v>594</v>
      </c>
      <c r="C638" t="s">
        <v>609</v>
      </c>
      <c r="D638" t="s">
        <v>1027</v>
      </c>
      <c r="E638" t="s">
        <v>85</v>
      </c>
    </row>
    <row r="639" spans="1:5" x14ac:dyDescent="0.2">
      <c r="A639" s="269">
        <v>45875.221944444442</v>
      </c>
      <c r="B639" t="s">
        <v>594</v>
      </c>
      <c r="C639" t="s">
        <v>609</v>
      </c>
      <c r="D639" t="s">
        <v>1028</v>
      </c>
      <c r="E639" t="s">
        <v>1029</v>
      </c>
    </row>
    <row r="640" spans="1:5" x14ac:dyDescent="0.2">
      <c r="A640" s="269">
        <v>45875.222280092596</v>
      </c>
      <c r="B640" t="s">
        <v>594</v>
      </c>
      <c r="C640" t="s">
        <v>609</v>
      </c>
      <c r="D640" t="s">
        <v>1030</v>
      </c>
    </row>
    <row r="641" spans="1:5" x14ac:dyDescent="0.2">
      <c r="A641" s="269">
        <v>45875.222349537034</v>
      </c>
      <c r="B641" t="s">
        <v>594</v>
      </c>
      <c r="C641" t="s">
        <v>609</v>
      </c>
      <c r="D641" t="s">
        <v>1031</v>
      </c>
      <c r="E641">
        <v>8</v>
      </c>
    </row>
    <row r="642" spans="1:5" x14ac:dyDescent="0.2">
      <c r="A642" s="269">
        <v>45875.222615740742</v>
      </c>
      <c r="B642" t="s">
        <v>594</v>
      </c>
      <c r="C642" t="s">
        <v>609</v>
      </c>
      <c r="D642" t="s">
        <v>1032</v>
      </c>
      <c r="E642">
        <v>10</v>
      </c>
    </row>
    <row r="643" spans="1:5" x14ac:dyDescent="0.2">
      <c r="A643" s="269">
        <v>45875.222650462965</v>
      </c>
      <c r="B643" t="s">
        <v>594</v>
      </c>
      <c r="C643" t="s">
        <v>609</v>
      </c>
      <c r="D643" t="s">
        <v>1033</v>
      </c>
      <c r="E643" t="s">
        <v>96</v>
      </c>
    </row>
    <row r="644" spans="1:5" x14ac:dyDescent="0.2">
      <c r="A644" s="269">
        <v>45875.224050925928</v>
      </c>
      <c r="B644" t="s">
        <v>594</v>
      </c>
      <c r="C644" t="s">
        <v>609</v>
      </c>
      <c r="D644" t="s">
        <v>1034</v>
      </c>
      <c r="E644" t="s">
        <v>1035</v>
      </c>
    </row>
    <row r="645" spans="1:5" x14ac:dyDescent="0.2">
      <c r="A645" s="269">
        <v>45875.224699074075</v>
      </c>
      <c r="B645" t="s">
        <v>594</v>
      </c>
      <c r="C645" t="s">
        <v>14</v>
      </c>
      <c r="D645" t="s">
        <v>1036</v>
      </c>
    </row>
    <row r="646" spans="1:5" x14ac:dyDescent="0.2">
      <c r="A646" s="269">
        <v>45875.22488425926</v>
      </c>
      <c r="B646" t="s">
        <v>594</v>
      </c>
      <c r="C646" t="s">
        <v>609</v>
      </c>
      <c r="D646" t="s">
        <v>1037</v>
      </c>
    </row>
    <row r="647" spans="1:5" x14ac:dyDescent="0.2">
      <c r="A647" s="269">
        <v>45875.224953703706</v>
      </c>
      <c r="B647" t="s">
        <v>594</v>
      </c>
      <c r="C647" t="s">
        <v>609</v>
      </c>
      <c r="D647" t="s">
        <v>1038</v>
      </c>
      <c r="E647">
        <v>9</v>
      </c>
    </row>
    <row r="648" spans="1:5" x14ac:dyDescent="0.2">
      <c r="A648" s="269">
        <v>45875.224988425929</v>
      </c>
      <c r="B648" t="s">
        <v>594</v>
      </c>
      <c r="C648" t="s">
        <v>609</v>
      </c>
      <c r="D648" t="s">
        <v>1039</v>
      </c>
      <c r="E648">
        <v>9</v>
      </c>
    </row>
    <row r="649" spans="1:5" x14ac:dyDescent="0.2">
      <c r="A649" s="269">
        <v>45875.225208333337</v>
      </c>
      <c r="B649" t="s">
        <v>594</v>
      </c>
      <c r="C649" t="s">
        <v>609</v>
      </c>
      <c r="D649" t="s">
        <v>1037</v>
      </c>
    </row>
    <row r="650" spans="1:5" x14ac:dyDescent="0.2">
      <c r="A650" s="269">
        <v>45875.225266203706</v>
      </c>
      <c r="B650" t="s">
        <v>594</v>
      </c>
      <c r="C650" t="s">
        <v>609</v>
      </c>
      <c r="D650" t="s">
        <v>1040</v>
      </c>
      <c r="E650">
        <v>9</v>
      </c>
    </row>
    <row r="651" spans="1:5" x14ac:dyDescent="0.2">
      <c r="A651" s="269">
        <v>45875.22550925926</v>
      </c>
      <c r="B651" t="s">
        <v>594</v>
      </c>
      <c r="C651" t="s">
        <v>609</v>
      </c>
      <c r="D651" t="s">
        <v>1041</v>
      </c>
    </row>
    <row r="652" spans="1:5" x14ac:dyDescent="0.2">
      <c r="A652" s="269">
        <v>45875.225613425922</v>
      </c>
      <c r="B652" t="s">
        <v>594</v>
      </c>
      <c r="C652" t="s">
        <v>609</v>
      </c>
      <c r="D652" t="s">
        <v>1042</v>
      </c>
      <c r="E652" t="s">
        <v>92</v>
      </c>
    </row>
    <row r="653" spans="1:5" x14ac:dyDescent="0.2">
      <c r="A653" s="269">
        <v>45875.226006944446</v>
      </c>
      <c r="B653" t="s">
        <v>594</v>
      </c>
      <c r="C653" t="s">
        <v>609</v>
      </c>
      <c r="D653" t="s">
        <v>1043</v>
      </c>
      <c r="E653" t="s">
        <v>1044</v>
      </c>
    </row>
    <row r="654" spans="1:5" x14ac:dyDescent="0.2">
      <c r="A654" s="269">
        <v>45875.226111111115</v>
      </c>
      <c r="B654" t="s">
        <v>594</v>
      </c>
      <c r="C654" t="s">
        <v>609</v>
      </c>
      <c r="D654" t="s">
        <v>1045</v>
      </c>
      <c r="E654" t="s">
        <v>78</v>
      </c>
    </row>
    <row r="655" spans="1:5" x14ac:dyDescent="0.2">
      <c r="A655" s="269">
        <v>45875.226226851853</v>
      </c>
      <c r="B655" t="s">
        <v>594</v>
      </c>
      <c r="C655" t="s">
        <v>609</v>
      </c>
      <c r="D655" t="s">
        <v>1046</v>
      </c>
      <c r="E655" t="s">
        <v>10</v>
      </c>
    </row>
    <row r="656" spans="1:5" x14ac:dyDescent="0.2">
      <c r="A656" s="269">
        <v>45875.226400462961</v>
      </c>
      <c r="B656" t="s">
        <v>594</v>
      </c>
      <c r="C656" t="s">
        <v>609</v>
      </c>
      <c r="D656" t="s">
        <v>1047</v>
      </c>
    </row>
    <row r="657" spans="1:5" x14ac:dyDescent="0.2">
      <c r="A657" s="269">
        <v>45875.226458333331</v>
      </c>
      <c r="B657" t="s">
        <v>594</v>
      </c>
      <c r="C657" t="s">
        <v>609</v>
      </c>
      <c r="D657" t="s">
        <v>1048</v>
      </c>
      <c r="E657">
        <v>10</v>
      </c>
    </row>
    <row r="658" spans="1:5" x14ac:dyDescent="0.2">
      <c r="A658" s="269">
        <v>45875.226712962962</v>
      </c>
      <c r="B658" t="s">
        <v>594</v>
      </c>
      <c r="C658" t="s">
        <v>609</v>
      </c>
      <c r="D658" t="s">
        <v>1049</v>
      </c>
    </row>
    <row r="659" spans="1:5" x14ac:dyDescent="0.2">
      <c r="A659" s="269">
        <v>45875.226759259262</v>
      </c>
      <c r="B659" t="s">
        <v>594</v>
      </c>
      <c r="C659" t="s">
        <v>609</v>
      </c>
      <c r="D659" t="s">
        <v>1050</v>
      </c>
      <c r="E659" t="s">
        <v>96</v>
      </c>
    </row>
    <row r="660" spans="1:5" x14ac:dyDescent="0.2">
      <c r="A660" s="269">
        <v>45875.226909722223</v>
      </c>
      <c r="B660" t="s">
        <v>594</v>
      </c>
      <c r="C660" t="s">
        <v>609</v>
      </c>
      <c r="D660" t="s">
        <v>1051</v>
      </c>
      <c r="E660" t="s">
        <v>1035</v>
      </c>
    </row>
    <row r="661" spans="1:5" x14ac:dyDescent="0.2">
      <c r="A661" s="269">
        <v>45875.226944444446</v>
      </c>
      <c r="B661" t="s">
        <v>594</v>
      </c>
      <c r="C661" t="s">
        <v>609</v>
      </c>
      <c r="D661" t="s">
        <v>1052</v>
      </c>
      <c r="E661">
        <v>12</v>
      </c>
    </row>
    <row r="662" spans="1:5" x14ac:dyDescent="0.2">
      <c r="A662" s="269">
        <v>45875.227002314816</v>
      </c>
      <c r="B662" t="s">
        <v>594</v>
      </c>
      <c r="C662" t="s">
        <v>609</v>
      </c>
      <c r="D662" t="s">
        <v>1053</v>
      </c>
      <c r="E662" t="s">
        <v>78</v>
      </c>
    </row>
    <row r="663" spans="1:5" x14ac:dyDescent="0.2">
      <c r="A663" s="269">
        <v>45875.227083333331</v>
      </c>
      <c r="B663" t="s">
        <v>594</v>
      </c>
      <c r="C663" t="s">
        <v>609</v>
      </c>
      <c r="D663" t="s">
        <v>1045</v>
      </c>
      <c r="E663" t="s">
        <v>64</v>
      </c>
    </row>
    <row r="664" spans="1:5" x14ac:dyDescent="0.2">
      <c r="A664" s="269">
        <v>45875.227094907408</v>
      </c>
      <c r="B664" t="s">
        <v>594</v>
      </c>
      <c r="C664" t="s">
        <v>609</v>
      </c>
      <c r="D664" t="s">
        <v>1045</v>
      </c>
      <c r="E664" t="s">
        <v>78</v>
      </c>
    </row>
    <row r="665" spans="1:5" x14ac:dyDescent="0.2">
      <c r="A665" s="269">
        <v>45875.227129629631</v>
      </c>
      <c r="B665" t="s">
        <v>594</v>
      </c>
      <c r="C665" t="s">
        <v>609</v>
      </c>
      <c r="D665" t="s">
        <v>1045</v>
      </c>
      <c r="E665" t="s">
        <v>64</v>
      </c>
    </row>
    <row r="666" spans="1:5" x14ac:dyDescent="0.2">
      <c r="A666" s="269">
        <v>45875.227152777778</v>
      </c>
      <c r="B666" t="s">
        <v>594</v>
      </c>
      <c r="C666" t="s">
        <v>609</v>
      </c>
      <c r="D666" t="s">
        <v>1053</v>
      </c>
      <c r="E666" t="s">
        <v>64</v>
      </c>
    </row>
    <row r="667" spans="1:5" x14ac:dyDescent="0.2">
      <c r="A667" s="269">
        <v>45875.22760416667</v>
      </c>
      <c r="B667" t="s">
        <v>594</v>
      </c>
      <c r="C667" t="s">
        <v>609</v>
      </c>
      <c r="D667" t="s">
        <v>1054</v>
      </c>
      <c r="E667">
        <v>2</v>
      </c>
    </row>
    <row r="668" spans="1:5" x14ac:dyDescent="0.2">
      <c r="A668" s="269">
        <v>45875.228472222225</v>
      </c>
      <c r="B668" t="s">
        <v>594</v>
      </c>
      <c r="C668" t="s">
        <v>27</v>
      </c>
      <c r="D668" t="s">
        <v>1055</v>
      </c>
    </row>
    <row r="669" spans="1:5" x14ac:dyDescent="0.2">
      <c r="A669" s="269">
        <v>45875.228472222225</v>
      </c>
      <c r="B669" t="s">
        <v>594</v>
      </c>
      <c r="C669" t="s">
        <v>27</v>
      </c>
      <c r="D669" t="s">
        <v>1056</v>
      </c>
      <c r="E669" t="s">
        <v>1057</v>
      </c>
    </row>
    <row r="670" spans="1:5" x14ac:dyDescent="0.2">
      <c r="A670" s="269">
        <v>45875.228518518517</v>
      </c>
      <c r="B670" t="s">
        <v>594</v>
      </c>
      <c r="C670" t="s">
        <v>27</v>
      </c>
      <c r="D670" t="s">
        <v>1058</v>
      </c>
      <c r="E670" t="s">
        <v>365</v>
      </c>
    </row>
    <row r="671" spans="1:5" x14ac:dyDescent="0.2">
      <c r="A671" s="269">
        <v>45875.228541666664</v>
      </c>
      <c r="B671" t="s">
        <v>594</v>
      </c>
      <c r="C671" t="s">
        <v>27</v>
      </c>
      <c r="D671" t="s">
        <v>1059</v>
      </c>
      <c r="E671" t="s">
        <v>315</v>
      </c>
    </row>
    <row r="672" spans="1:5" x14ac:dyDescent="0.2">
      <c r="A672" s="269">
        <v>45875.228634259256</v>
      </c>
      <c r="B672" t="s">
        <v>594</v>
      </c>
      <c r="C672" t="s">
        <v>27</v>
      </c>
      <c r="D672" t="s">
        <v>1060</v>
      </c>
      <c r="E672" t="s">
        <v>281</v>
      </c>
    </row>
    <row r="673" spans="1:5" x14ac:dyDescent="0.2">
      <c r="A673" s="269">
        <v>45875.229027777779</v>
      </c>
      <c r="B673" t="s">
        <v>594</v>
      </c>
      <c r="C673" t="s">
        <v>27</v>
      </c>
      <c r="D673" t="s">
        <v>986</v>
      </c>
      <c r="E673">
        <v>0</v>
      </c>
    </row>
    <row r="674" spans="1:5" x14ac:dyDescent="0.2">
      <c r="A674" s="269">
        <v>45875.229201388887</v>
      </c>
      <c r="B674" t="s">
        <v>594</v>
      </c>
      <c r="C674" t="s">
        <v>27</v>
      </c>
      <c r="D674" t="s">
        <v>985</v>
      </c>
      <c r="E674">
        <v>0</v>
      </c>
    </row>
    <row r="675" spans="1:5" x14ac:dyDescent="0.2">
      <c r="A675" s="269">
        <v>45875.229259259257</v>
      </c>
      <c r="B675" t="s">
        <v>594</v>
      </c>
      <c r="C675" t="s">
        <v>27</v>
      </c>
      <c r="D675" t="s">
        <v>986</v>
      </c>
      <c r="E675">
        <v>0</v>
      </c>
    </row>
    <row r="676" spans="1:5" x14ac:dyDescent="0.2">
      <c r="A676" s="269">
        <v>45875.229305555556</v>
      </c>
      <c r="B676" t="s">
        <v>594</v>
      </c>
      <c r="C676" t="s">
        <v>27</v>
      </c>
      <c r="D676" t="s">
        <v>985</v>
      </c>
      <c r="E676">
        <v>0</v>
      </c>
    </row>
    <row r="677" spans="1:5" x14ac:dyDescent="0.2">
      <c r="A677" s="269">
        <v>45875.229351851849</v>
      </c>
      <c r="B677" t="s">
        <v>594</v>
      </c>
      <c r="C677" t="s">
        <v>27</v>
      </c>
      <c r="D677" t="s">
        <v>1061</v>
      </c>
      <c r="E677">
        <v>0</v>
      </c>
    </row>
    <row r="678" spans="1:5" x14ac:dyDescent="0.2">
      <c r="A678" s="269">
        <v>45875.229421296295</v>
      </c>
      <c r="B678" t="s">
        <v>594</v>
      </c>
      <c r="C678" t="s">
        <v>27</v>
      </c>
      <c r="D678" t="s">
        <v>985</v>
      </c>
      <c r="E678">
        <v>0</v>
      </c>
    </row>
    <row r="679" spans="1:5" x14ac:dyDescent="0.2">
      <c r="A679" s="269">
        <v>45875.229525462964</v>
      </c>
      <c r="B679" t="s">
        <v>594</v>
      </c>
      <c r="C679" t="s">
        <v>27</v>
      </c>
      <c r="D679" t="s">
        <v>1062</v>
      </c>
      <c r="E679">
        <v>0</v>
      </c>
    </row>
    <row r="680" spans="1:5" x14ac:dyDescent="0.2">
      <c r="A680" s="269">
        <v>45875.229629629626</v>
      </c>
      <c r="B680" t="s">
        <v>594</v>
      </c>
      <c r="C680" t="s">
        <v>27</v>
      </c>
      <c r="D680" t="s">
        <v>985</v>
      </c>
      <c r="E680">
        <v>0</v>
      </c>
    </row>
    <row r="681" spans="1:5" x14ac:dyDescent="0.2">
      <c r="A681" s="269">
        <v>45875.229664351849</v>
      </c>
      <c r="B681" t="s">
        <v>594</v>
      </c>
      <c r="C681" t="s">
        <v>27</v>
      </c>
      <c r="D681" t="s">
        <v>1061</v>
      </c>
      <c r="E681">
        <v>0</v>
      </c>
    </row>
    <row r="682" spans="1:5" x14ac:dyDescent="0.2">
      <c r="A682" s="269">
        <v>45875.229768518519</v>
      </c>
      <c r="B682" t="s">
        <v>594</v>
      </c>
      <c r="C682" t="s">
        <v>27</v>
      </c>
      <c r="D682" t="s">
        <v>985</v>
      </c>
      <c r="E682">
        <v>0</v>
      </c>
    </row>
    <row r="683" spans="1:5" x14ac:dyDescent="0.2">
      <c r="A683" s="269">
        <v>45875.229791666665</v>
      </c>
      <c r="B683" t="s">
        <v>594</v>
      </c>
      <c r="C683" t="s">
        <v>27</v>
      </c>
      <c r="D683" t="s">
        <v>1010</v>
      </c>
      <c r="E683">
        <v>0</v>
      </c>
    </row>
    <row r="684" spans="1:5" x14ac:dyDescent="0.2">
      <c r="A684" s="269">
        <v>45875.229837962965</v>
      </c>
      <c r="B684" t="s">
        <v>594</v>
      </c>
      <c r="C684" t="s">
        <v>27</v>
      </c>
      <c r="D684" t="s">
        <v>996</v>
      </c>
      <c r="E684">
        <v>0</v>
      </c>
    </row>
    <row r="685" spans="1:5" x14ac:dyDescent="0.2">
      <c r="A685" s="269">
        <v>45875.229907407411</v>
      </c>
      <c r="B685" t="s">
        <v>594</v>
      </c>
      <c r="C685" t="s">
        <v>27</v>
      </c>
      <c r="D685" t="s">
        <v>996</v>
      </c>
      <c r="E685">
        <v>0</v>
      </c>
    </row>
    <row r="686" spans="1:5" x14ac:dyDescent="0.2">
      <c r="A686" s="269">
        <v>45875.229942129627</v>
      </c>
      <c r="B686" t="s">
        <v>594</v>
      </c>
      <c r="C686" t="s">
        <v>27</v>
      </c>
      <c r="D686" t="s">
        <v>1063</v>
      </c>
      <c r="E686">
        <v>0</v>
      </c>
    </row>
    <row r="687" spans="1:5" x14ac:dyDescent="0.2">
      <c r="A687" s="269">
        <v>45875.230081018519</v>
      </c>
      <c r="B687" t="s">
        <v>594</v>
      </c>
      <c r="C687" t="s">
        <v>27</v>
      </c>
      <c r="D687" t="s">
        <v>1064</v>
      </c>
      <c r="E687" t="s">
        <v>316</v>
      </c>
    </row>
    <row r="688" spans="1:5" x14ac:dyDescent="0.2">
      <c r="A688" s="269">
        <v>45875.230115740742</v>
      </c>
      <c r="B688" t="s">
        <v>594</v>
      </c>
      <c r="C688" t="s">
        <v>27</v>
      </c>
      <c r="D688" t="s">
        <v>1013</v>
      </c>
      <c r="E688" t="s">
        <v>365</v>
      </c>
    </row>
    <row r="689" spans="1:5" x14ac:dyDescent="0.2">
      <c r="A689" s="269">
        <v>45875.230138888888</v>
      </c>
      <c r="B689" t="s">
        <v>594</v>
      </c>
      <c r="C689" t="s">
        <v>27</v>
      </c>
      <c r="D689" t="s">
        <v>1016</v>
      </c>
      <c r="E689" t="s">
        <v>1065</v>
      </c>
    </row>
    <row r="690" spans="1:5" x14ac:dyDescent="0.2">
      <c r="A690" s="269">
        <v>45875.230173611111</v>
      </c>
      <c r="B690" t="s">
        <v>594</v>
      </c>
      <c r="C690" t="s">
        <v>27</v>
      </c>
      <c r="D690" t="s">
        <v>1066</v>
      </c>
      <c r="E690" t="s">
        <v>316</v>
      </c>
    </row>
    <row r="691" spans="1:5" x14ac:dyDescent="0.2">
      <c r="A691" s="269">
        <v>45875.230196759258</v>
      </c>
      <c r="B691" t="s">
        <v>594</v>
      </c>
      <c r="C691" t="s">
        <v>27</v>
      </c>
      <c r="D691" t="s">
        <v>1067</v>
      </c>
      <c r="E691" t="s">
        <v>354</v>
      </c>
    </row>
    <row r="692" spans="1:5" x14ac:dyDescent="0.2">
      <c r="A692" s="269">
        <v>45875.230254629627</v>
      </c>
      <c r="B692" t="s">
        <v>594</v>
      </c>
      <c r="C692" t="s">
        <v>27</v>
      </c>
      <c r="D692" t="s">
        <v>1000</v>
      </c>
      <c r="E692">
        <v>0</v>
      </c>
    </row>
    <row r="693" spans="1:5" x14ac:dyDescent="0.2">
      <c r="A693" s="269">
        <v>45875.23027777778</v>
      </c>
      <c r="B693" t="s">
        <v>594</v>
      </c>
      <c r="C693" t="s">
        <v>27</v>
      </c>
      <c r="D693" t="s">
        <v>1001</v>
      </c>
      <c r="E693">
        <v>0</v>
      </c>
    </row>
    <row r="694" spans="1:5" x14ac:dyDescent="0.2">
      <c r="A694" s="269">
        <v>45875.230347222219</v>
      </c>
      <c r="B694" t="s">
        <v>594</v>
      </c>
      <c r="C694" t="s">
        <v>27</v>
      </c>
      <c r="D694" t="s">
        <v>1068</v>
      </c>
      <c r="E694">
        <v>0</v>
      </c>
    </row>
    <row r="695" spans="1:5" x14ac:dyDescent="0.2">
      <c r="A695" s="269">
        <v>45875.230428240742</v>
      </c>
      <c r="B695" t="s">
        <v>594</v>
      </c>
      <c r="C695" t="s">
        <v>27</v>
      </c>
      <c r="D695" t="s">
        <v>1001</v>
      </c>
      <c r="E695">
        <v>0</v>
      </c>
    </row>
    <row r="696" spans="1:5" x14ac:dyDescent="0.2">
      <c r="A696" s="269">
        <v>45875.230462962965</v>
      </c>
      <c r="B696" t="s">
        <v>594</v>
      </c>
      <c r="C696" t="s">
        <v>27</v>
      </c>
      <c r="D696" t="s">
        <v>1068</v>
      </c>
      <c r="E696">
        <v>0</v>
      </c>
    </row>
    <row r="697" spans="1:5" x14ac:dyDescent="0.2">
      <c r="A697" s="269">
        <v>45875.230497685188</v>
      </c>
      <c r="B697" t="s">
        <v>594</v>
      </c>
      <c r="C697" t="s">
        <v>27</v>
      </c>
      <c r="D697" t="s">
        <v>1000</v>
      </c>
      <c r="E697">
        <v>0</v>
      </c>
    </row>
    <row r="698" spans="1:5" x14ac:dyDescent="0.2">
      <c r="A698" s="269">
        <v>45875.230509259258</v>
      </c>
      <c r="B698" t="s">
        <v>594</v>
      </c>
      <c r="C698" t="s">
        <v>27</v>
      </c>
      <c r="D698" t="s">
        <v>1001</v>
      </c>
      <c r="E698">
        <v>0</v>
      </c>
    </row>
    <row r="699" spans="1:5" x14ac:dyDescent="0.2">
      <c r="A699" s="269">
        <v>45875.230590277781</v>
      </c>
      <c r="B699" t="s">
        <v>594</v>
      </c>
      <c r="C699" t="s">
        <v>27</v>
      </c>
      <c r="D699" t="s">
        <v>1069</v>
      </c>
      <c r="E699">
        <v>0</v>
      </c>
    </row>
    <row r="700" spans="1:5" x14ac:dyDescent="0.2">
      <c r="A700" s="269">
        <v>45875.23065972222</v>
      </c>
      <c r="B700" t="s">
        <v>594</v>
      </c>
      <c r="C700" t="s">
        <v>27</v>
      </c>
      <c r="D700" t="s">
        <v>1000</v>
      </c>
      <c r="E700">
        <v>0</v>
      </c>
    </row>
    <row r="701" spans="1:5" x14ac:dyDescent="0.2">
      <c r="A701" s="269">
        <v>45875.230682870373</v>
      </c>
      <c r="B701" t="s">
        <v>594</v>
      </c>
      <c r="C701" t="s">
        <v>27</v>
      </c>
      <c r="D701" t="s">
        <v>1068</v>
      </c>
      <c r="E701">
        <v>0</v>
      </c>
    </row>
    <row r="702" spans="1:5" x14ac:dyDescent="0.2">
      <c r="A702" s="269">
        <v>45875.230752314812</v>
      </c>
      <c r="B702" t="s">
        <v>594</v>
      </c>
      <c r="C702" t="s">
        <v>27</v>
      </c>
      <c r="D702" t="s">
        <v>1070</v>
      </c>
      <c r="E702">
        <v>1000</v>
      </c>
    </row>
    <row r="703" spans="1:5" x14ac:dyDescent="0.2">
      <c r="A703" s="269">
        <v>45875.230833333335</v>
      </c>
      <c r="B703" t="s">
        <v>594</v>
      </c>
      <c r="C703" t="s">
        <v>27</v>
      </c>
      <c r="D703" t="s">
        <v>1006</v>
      </c>
      <c r="E703">
        <v>0</v>
      </c>
    </row>
    <row r="704" spans="1:5" x14ac:dyDescent="0.2">
      <c r="A704" s="269">
        <v>45875.230868055558</v>
      </c>
      <c r="B704" t="s">
        <v>594</v>
      </c>
      <c r="C704" t="s">
        <v>27</v>
      </c>
      <c r="D704" t="s">
        <v>1071</v>
      </c>
      <c r="E704">
        <v>0</v>
      </c>
    </row>
    <row r="705" spans="1:5" x14ac:dyDescent="0.2">
      <c r="A705" s="269">
        <v>45875.230891203704</v>
      </c>
      <c r="B705" t="s">
        <v>594</v>
      </c>
      <c r="C705" t="s">
        <v>27</v>
      </c>
      <c r="D705" t="s">
        <v>1006</v>
      </c>
      <c r="E705">
        <v>0</v>
      </c>
    </row>
    <row r="706" spans="1:5" x14ac:dyDescent="0.2">
      <c r="A706" s="269">
        <v>45875.230914351851</v>
      </c>
      <c r="B706" t="s">
        <v>594</v>
      </c>
      <c r="C706" t="s">
        <v>27</v>
      </c>
      <c r="D706" t="s">
        <v>1072</v>
      </c>
      <c r="E706">
        <v>0</v>
      </c>
    </row>
    <row r="707" spans="1:5" x14ac:dyDescent="0.2">
      <c r="A707" s="269">
        <v>45875.380208333336</v>
      </c>
      <c r="B707" t="s">
        <v>755</v>
      </c>
      <c r="C707" t="s">
        <v>595</v>
      </c>
      <c r="D707" t="s">
        <v>947</v>
      </c>
      <c r="E707" t="s">
        <v>38</v>
      </c>
    </row>
    <row r="708" spans="1:5" x14ac:dyDescent="0.2">
      <c r="A708" s="269">
        <v>45875.381342592591</v>
      </c>
      <c r="B708" t="s">
        <v>755</v>
      </c>
      <c r="C708" t="s">
        <v>609</v>
      </c>
      <c r="D708" t="s">
        <v>1002</v>
      </c>
      <c r="E708" t="s">
        <v>937</v>
      </c>
    </row>
    <row r="709" spans="1:5" ht="128" x14ac:dyDescent="0.2">
      <c r="A709" s="269">
        <v>45875.381666666668</v>
      </c>
      <c r="B709" t="s">
        <v>755</v>
      </c>
      <c r="C709" t="s">
        <v>609</v>
      </c>
      <c r="D709" t="s">
        <v>942</v>
      </c>
      <c r="E709" s="6" t="s">
        <v>1073</v>
      </c>
    </row>
    <row r="710" spans="1:5" x14ac:dyDescent="0.2">
      <c r="A710" s="269">
        <v>45875.381886574076</v>
      </c>
      <c r="B710" t="s">
        <v>755</v>
      </c>
      <c r="C710" t="s">
        <v>609</v>
      </c>
      <c r="D710" t="s">
        <v>1074</v>
      </c>
    </row>
    <row r="711" spans="1:5" x14ac:dyDescent="0.2">
      <c r="A711" s="269">
        <v>45875.381956018522</v>
      </c>
      <c r="B711" t="s">
        <v>755</v>
      </c>
      <c r="C711" t="s">
        <v>609</v>
      </c>
      <c r="D711" t="s">
        <v>1075</v>
      </c>
      <c r="E711">
        <v>9</v>
      </c>
    </row>
    <row r="712" spans="1:5" x14ac:dyDescent="0.2">
      <c r="A712" s="269">
        <v>45875.383819444447</v>
      </c>
      <c r="B712" t="s">
        <v>755</v>
      </c>
      <c r="C712" t="s">
        <v>14</v>
      </c>
      <c r="D712" t="s">
        <v>1076</v>
      </c>
    </row>
    <row r="713" spans="1:5" x14ac:dyDescent="0.2">
      <c r="A713" s="269">
        <v>45875.387025462966</v>
      </c>
      <c r="B713" t="s">
        <v>755</v>
      </c>
      <c r="C713" t="s">
        <v>14</v>
      </c>
      <c r="D713" t="s">
        <v>1077</v>
      </c>
    </row>
    <row r="714" spans="1:5" x14ac:dyDescent="0.2">
      <c r="A714" s="269">
        <v>45875.387083333335</v>
      </c>
      <c r="B714" t="s">
        <v>755</v>
      </c>
      <c r="C714" t="s">
        <v>14</v>
      </c>
      <c r="D714" t="s">
        <v>922</v>
      </c>
      <c r="E714" t="s">
        <v>350</v>
      </c>
    </row>
    <row r="715" spans="1:5" x14ac:dyDescent="0.2">
      <c r="A715" s="269">
        <v>45875.387106481481</v>
      </c>
      <c r="B715" t="s">
        <v>755</v>
      </c>
      <c r="C715" t="s">
        <v>14</v>
      </c>
      <c r="D715" t="s">
        <v>922</v>
      </c>
      <c r="E715" t="s">
        <v>186</v>
      </c>
    </row>
    <row r="716" spans="1:5" x14ac:dyDescent="0.2">
      <c r="A716" s="269">
        <v>45875.387118055558</v>
      </c>
      <c r="B716" t="s">
        <v>755</v>
      </c>
      <c r="C716" t="s">
        <v>14</v>
      </c>
      <c r="D716" t="s">
        <v>922</v>
      </c>
    </row>
    <row r="717" spans="1:5" x14ac:dyDescent="0.2">
      <c r="A717" s="269">
        <v>45875.38758101852</v>
      </c>
      <c r="B717" t="s">
        <v>755</v>
      </c>
      <c r="C717" t="s">
        <v>27</v>
      </c>
      <c r="D717" t="s">
        <v>808</v>
      </c>
      <c r="E717" t="s">
        <v>279</v>
      </c>
    </row>
    <row r="718" spans="1:5" x14ac:dyDescent="0.2">
      <c r="A718" s="269">
        <v>45875.387708333335</v>
      </c>
      <c r="B718" t="s">
        <v>755</v>
      </c>
      <c r="C718" t="s">
        <v>27</v>
      </c>
      <c r="D718" t="s">
        <v>1078</v>
      </c>
      <c r="E718" t="s">
        <v>1079</v>
      </c>
    </row>
    <row r="719" spans="1:5" x14ac:dyDescent="0.2">
      <c r="A719" s="269">
        <v>45875.388090277775</v>
      </c>
      <c r="B719" t="s">
        <v>755</v>
      </c>
      <c r="C719" t="s">
        <v>609</v>
      </c>
      <c r="D719" t="s">
        <v>838</v>
      </c>
    </row>
    <row r="720" spans="1:5" x14ac:dyDescent="0.2">
      <c r="A720" s="269">
        <v>45875.388657407406</v>
      </c>
      <c r="B720" t="s">
        <v>755</v>
      </c>
      <c r="C720" t="s">
        <v>609</v>
      </c>
      <c r="D720" t="s">
        <v>1080</v>
      </c>
      <c r="E720">
        <v>4</v>
      </c>
    </row>
    <row r="721" spans="1:5" x14ac:dyDescent="0.2">
      <c r="A721" s="269">
        <v>45875.389027777775</v>
      </c>
      <c r="B721" t="s">
        <v>755</v>
      </c>
      <c r="C721" t="s">
        <v>609</v>
      </c>
      <c r="D721" t="s">
        <v>1081</v>
      </c>
      <c r="E721" t="s">
        <v>817</v>
      </c>
    </row>
    <row r="722" spans="1:5" x14ac:dyDescent="0.2">
      <c r="A722" s="269">
        <v>45875.389097222222</v>
      </c>
      <c r="B722" t="s">
        <v>755</v>
      </c>
      <c r="C722" t="s">
        <v>609</v>
      </c>
      <c r="D722" t="s">
        <v>1082</v>
      </c>
      <c r="E722" t="s">
        <v>1057</v>
      </c>
    </row>
    <row r="723" spans="1:5" x14ac:dyDescent="0.2">
      <c r="A723" s="269">
        <v>45875.389351851853</v>
      </c>
      <c r="B723" t="s">
        <v>755</v>
      </c>
      <c r="C723" t="s">
        <v>27</v>
      </c>
      <c r="D723" t="s">
        <v>1083</v>
      </c>
    </row>
    <row r="724" spans="1:5" x14ac:dyDescent="0.2">
      <c r="A724" s="269">
        <v>45875.389351851853</v>
      </c>
      <c r="B724" t="s">
        <v>755</v>
      </c>
      <c r="C724" t="s">
        <v>27</v>
      </c>
      <c r="D724" t="s">
        <v>1084</v>
      </c>
      <c r="E724" t="s">
        <v>171</v>
      </c>
    </row>
    <row r="725" spans="1:5" x14ac:dyDescent="0.2">
      <c r="A725" s="269">
        <v>45875.389560185184</v>
      </c>
      <c r="B725" t="s">
        <v>755</v>
      </c>
      <c r="C725" t="s">
        <v>27</v>
      </c>
      <c r="D725" t="s">
        <v>1085</v>
      </c>
      <c r="E725" t="s">
        <v>280</v>
      </c>
    </row>
    <row r="726" spans="1:5" x14ac:dyDescent="0.2">
      <c r="A726" s="269">
        <v>45875.389722222222</v>
      </c>
      <c r="B726" t="s">
        <v>755</v>
      </c>
      <c r="C726" t="s">
        <v>27</v>
      </c>
      <c r="D726" t="s">
        <v>1086</v>
      </c>
      <c r="E726" t="s">
        <v>280</v>
      </c>
    </row>
    <row r="727" spans="1:5" x14ac:dyDescent="0.2">
      <c r="A727" s="269">
        <v>45875.389791666668</v>
      </c>
      <c r="B727" t="s">
        <v>755</v>
      </c>
      <c r="C727" t="s">
        <v>27</v>
      </c>
      <c r="D727" t="s">
        <v>1087</v>
      </c>
      <c r="E727" t="s">
        <v>1088</v>
      </c>
    </row>
    <row r="728" spans="1:5" x14ac:dyDescent="0.2">
      <c r="A728" s="269">
        <v>45875.38989583333</v>
      </c>
      <c r="B728" t="s">
        <v>755</v>
      </c>
      <c r="C728" t="s">
        <v>609</v>
      </c>
      <c r="D728" t="s">
        <v>1089</v>
      </c>
      <c r="E728" t="s">
        <v>280</v>
      </c>
    </row>
    <row r="729" spans="1:5" x14ac:dyDescent="0.2">
      <c r="A729" s="269">
        <v>45875.390266203707</v>
      </c>
      <c r="B729" t="s">
        <v>755</v>
      </c>
      <c r="C729" t="s">
        <v>609</v>
      </c>
      <c r="D729" t="s">
        <v>1090</v>
      </c>
      <c r="E729" t="s">
        <v>1091</v>
      </c>
    </row>
    <row r="730" spans="1:5" x14ac:dyDescent="0.2">
      <c r="A730" s="269">
        <v>45875.390381944446</v>
      </c>
      <c r="B730" t="s">
        <v>755</v>
      </c>
      <c r="C730" t="s">
        <v>609</v>
      </c>
      <c r="D730" t="s">
        <v>1092</v>
      </c>
      <c r="E730" t="s">
        <v>138</v>
      </c>
    </row>
    <row r="731" spans="1:5" x14ac:dyDescent="0.2">
      <c r="A731" s="269">
        <v>45875.390717592592</v>
      </c>
      <c r="B731" t="s">
        <v>755</v>
      </c>
      <c r="C731" t="s">
        <v>609</v>
      </c>
      <c r="D731" t="s">
        <v>1093</v>
      </c>
    </row>
    <row r="732" spans="1:5" x14ac:dyDescent="0.2">
      <c r="A732" s="269">
        <v>45875.390717592592</v>
      </c>
      <c r="B732" t="s">
        <v>755</v>
      </c>
      <c r="C732" t="s">
        <v>609</v>
      </c>
      <c r="D732" t="s">
        <v>1093</v>
      </c>
    </row>
    <row r="733" spans="1:5" x14ac:dyDescent="0.2">
      <c r="A733" s="269">
        <v>45875.390810185185</v>
      </c>
      <c r="B733" t="s">
        <v>755</v>
      </c>
      <c r="C733" t="s">
        <v>609</v>
      </c>
      <c r="D733" t="s">
        <v>1094</v>
      </c>
    </row>
    <row r="734" spans="1:5" x14ac:dyDescent="0.2">
      <c r="A734" s="269">
        <v>45875.390844907408</v>
      </c>
      <c r="B734" t="s">
        <v>755</v>
      </c>
      <c r="C734" t="s">
        <v>609</v>
      </c>
      <c r="D734" t="s">
        <v>1095</v>
      </c>
      <c r="E734">
        <v>5</v>
      </c>
    </row>
    <row r="735" spans="1:5" x14ac:dyDescent="0.2">
      <c r="A735" s="269">
        <v>45875.3908912037</v>
      </c>
      <c r="B735" t="s">
        <v>755</v>
      </c>
      <c r="C735" t="s">
        <v>609</v>
      </c>
      <c r="D735" t="s">
        <v>1096</v>
      </c>
    </row>
    <row r="736" spans="1:5" x14ac:dyDescent="0.2">
      <c r="A736" s="269">
        <v>45875.391006944446</v>
      </c>
      <c r="B736" t="s">
        <v>755</v>
      </c>
      <c r="C736" t="s">
        <v>609</v>
      </c>
      <c r="D736" t="s">
        <v>1097</v>
      </c>
      <c r="E736" t="s">
        <v>33</v>
      </c>
    </row>
    <row r="737" spans="1:5" x14ac:dyDescent="0.2">
      <c r="A737" s="269">
        <v>45875.391087962962</v>
      </c>
      <c r="B737" t="s">
        <v>755</v>
      </c>
      <c r="C737" t="s">
        <v>609</v>
      </c>
      <c r="D737" t="s">
        <v>1098</v>
      </c>
      <c r="E737" t="s">
        <v>52</v>
      </c>
    </row>
    <row r="738" spans="1:5" x14ac:dyDescent="0.2">
      <c r="A738" s="269">
        <v>45875.391134259262</v>
      </c>
      <c r="B738" t="s">
        <v>755</v>
      </c>
      <c r="C738" t="s">
        <v>609</v>
      </c>
      <c r="D738" t="s">
        <v>1099</v>
      </c>
      <c r="E738" t="s">
        <v>33</v>
      </c>
    </row>
    <row r="739" spans="1:5" x14ac:dyDescent="0.2">
      <c r="A739" s="269">
        <v>45875.391319444447</v>
      </c>
      <c r="B739" t="s">
        <v>755</v>
      </c>
      <c r="C739" t="s">
        <v>609</v>
      </c>
      <c r="D739" t="s">
        <v>1100</v>
      </c>
      <c r="E739" t="s">
        <v>1101</v>
      </c>
    </row>
    <row r="740" spans="1:5" x14ac:dyDescent="0.2">
      <c r="A740" s="269">
        <v>45875.391365740739</v>
      </c>
      <c r="B740" t="s">
        <v>755</v>
      </c>
      <c r="C740" t="s">
        <v>609</v>
      </c>
      <c r="D740" t="s">
        <v>1100</v>
      </c>
      <c r="E740" t="s">
        <v>1102</v>
      </c>
    </row>
    <row r="741" spans="1:5" ht="144" x14ac:dyDescent="0.2">
      <c r="A741" s="269">
        <v>45875.391886574071</v>
      </c>
      <c r="B741" t="s">
        <v>755</v>
      </c>
      <c r="C741" t="s">
        <v>609</v>
      </c>
      <c r="D741" t="s">
        <v>1103</v>
      </c>
      <c r="E741" s="6" t="s">
        <v>1104</v>
      </c>
    </row>
    <row r="742" spans="1:5" ht="48" x14ac:dyDescent="0.2">
      <c r="A742" s="269">
        <v>45875.391921296294</v>
      </c>
      <c r="B742" t="s">
        <v>755</v>
      </c>
      <c r="C742" t="s">
        <v>609</v>
      </c>
      <c r="D742" t="s">
        <v>1103</v>
      </c>
      <c r="E742" s="6" t="s">
        <v>1105</v>
      </c>
    </row>
    <row r="743" spans="1:5" ht="48" x14ac:dyDescent="0.2">
      <c r="A743" s="269">
        <v>45875.391967592594</v>
      </c>
      <c r="B743" t="s">
        <v>755</v>
      </c>
      <c r="C743" t="s">
        <v>609</v>
      </c>
      <c r="D743" t="s">
        <v>1103</v>
      </c>
      <c r="E743" s="6" t="s">
        <v>1106</v>
      </c>
    </row>
    <row r="744" spans="1:5" ht="80" x14ac:dyDescent="0.2">
      <c r="A744" s="269">
        <v>45875.39203703704</v>
      </c>
      <c r="B744" t="s">
        <v>755</v>
      </c>
      <c r="C744" t="s">
        <v>609</v>
      </c>
      <c r="D744" t="s">
        <v>1107</v>
      </c>
      <c r="E744" s="6" t="s">
        <v>1108</v>
      </c>
    </row>
    <row r="745" spans="1:5" ht="80" x14ac:dyDescent="0.2">
      <c r="A745" s="269">
        <v>45875.392129629632</v>
      </c>
      <c r="B745" t="s">
        <v>755</v>
      </c>
      <c r="C745" t="s">
        <v>609</v>
      </c>
      <c r="D745" t="s">
        <v>1107</v>
      </c>
      <c r="E745" s="6" t="s">
        <v>1109</v>
      </c>
    </row>
    <row r="746" spans="1:5" x14ac:dyDescent="0.2">
      <c r="A746" s="269">
        <v>45875.392789351848</v>
      </c>
      <c r="B746" t="s">
        <v>755</v>
      </c>
      <c r="C746" t="s">
        <v>609</v>
      </c>
      <c r="D746" t="s">
        <v>1110</v>
      </c>
      <c r="E746" t="s">
        <v>311</v>
      </c>
    </row>
    <row r="747" spans="1:5" ht="64" x14ac:dyDescent="0.2">
      <c r="A747" s="269">
        <v>45875.392962962964</v>
      </c>
      <c r="B747" t="s">
        <v>755</v>
      </c>
      <c r="C747" t="s">
        <v>609</v>
      </c>
      <c r="D747" t="s">
        <v>1103</v>
      </c>
      <c r="E747" s="6" t="s">
        <v>1111</v>
      </c>
    </row>
    <row r="748" spans="1:5" x14ac:dyDescent="0.2">
      <c r="A748" s="269">
        <v>45875.392997685187</v>
      </c>
      <c r="B748" t="s">
        <v>755</v>
      </c>
      <c r="C748" t="s">
        <v>609</v>
      </c>
      <c r="D748" t="s">
        <v>1112</v>
      </c>
      <c r="E748" t="s">
        <v>1113</v>
      </c>
    </row>
    <row r="749" spans="1:5" ht="64" x14ac:dyDescent="0.2">
      <c r="A749" s="269">
        <v>45875.393009259256</v>
      </c>
      <c r="B749" t="s">
        <v>755</v>
      </c>
      <c r="C749" t="s">
        <v>609</v>
      </c>
      <c r="D749" t="s">
        <v>1103</v>
      </c>
      <c r="E749" s="6" t="s">
        <v>1114</v>
      </c>
    </row>
    <row r="750" spans="1:5" ht="80" x14ac:dyDescent="0.2">
      <c r="A750" s="269">
        <v>45875.393043981479</v>
      </c>
      <c r="B750" t="s">
        <v>755</v>
      </c>
      <c r="C750" t="s">
        <v>609</v>
      </c>
      <c r="D750" t="s">
        <v>1103</v>
      </c>
      <c r="E750" s="6" t="s">
        <v>1115</v>
      </c>
    </row>
    <row r="751" spans="1:5" x14ac:dyDescent="0.2">
      <c r="A751" s="269">
        <v>45875.393078703702</v>
      </c>
      <c r="B751" t="s">
        <v>755</v>
      </c>
      <c r="C751" t="s">
        <v>609</v>
      </c>
      <c r="D751" t="s">
        <v>1116</v>
      </c>
    </row>
    <row r="752" spans="1:5" ht="96" x14ac:dyDescent="0.2">
      <c r="A752" s="269">
        <v>45875.393136574072</v>
      </c>
      <c r="B752" t="s">
        <v>755</v>
      </c>
      <c r="C752" t="s">
        <v>609</v>
      </c>
      <c r="D752" t="s">
        <v>1103</v>
      </c>
      <c r="E752" s="6" t="s">
        <v>1117</v>
      </c>
    </row>
    <row r="753" spans="1:5" x14ac:dyDescent="0.2">
      <c r="A753" s="269">
        <v>45875.393159722225</v>
      </c>
      <c r="B753" t="s">
        <v>755</v>
      </c>
      <c r="C753" t="s">
        <v>609</v>
      </c>
      <c r="D753" t="s">
        <v>1118</v>
      </c>
    </row>
    <row r="754" spans="1:5" ht="96" x14ac:dyDescent="0.2">
      <c r="A754" s="269">
        <v>45875.393333333333</v>
      </c>
      <c r="B754" t="s">
        <v>755</v>
      </c>
      <c r="C754" t="s">
        <v>609</v>
      </c>
      <c r="D754" t="s">
        <v>1103</v>
      </c>
      <c r="E754" s="6" t="s">
        <v>1117</v>
      </c>
    </row>
    <row r="755" spans="1:5" ht="112" x14ac:dyDescent="0.2">
      <c r="A755" s="269">
        <v>45875.393368055556</v>
      </c>
      <c r="B755" t="s">
        <v>755</v>
      </c>
      <c r="C755" t="s">
        <v>609</v>
      </c>
      <c r="D755" t="s">
        <v>1103</v>
      </c>
      <c r="E755" s="6" t="s">
        <v>1119</v>
      </c>
    </row>
    <row r="756" spans="1:5" ht="96" x14ac:dyDescent="0.2">
      <c r="A756" s="269">
        <v>45875.393460648149</v>
      </c>
      <c r="B756" t="s">
        <v>755</v>
      </c>
      <c r="C756" t="s">
        <v>609</v>
      </c>
      <c r="D756" t="s">
        <v>1107</v>
      </c>
      <c r="E756" s="6" t="s">
        <v>1120</v>
      </c>
    </row>
    <row r="757" spans="1:5" x14ac:dyDescent="0.2">
      <c r="A757" s="269">
        <v>45875.393587962964</v>
      </c>
      <c r="B757" t="s">
        <v>755</v>
      </c>
      <c r="C757" t="s">
        <v>609</v>
      </c>
      <c r="D757" t="s">
        <v>1121</v>
      </c>
      <c r="E757" t="s">
        <v>331</v>
      </c>
    </row>
    <row r="758" spans="1:5" ht="112" x14ac:dyDescent="0.2">
      <c r="A758" s="269">
        <v>45875.393726851849</v>
      </c>
      <c r="B758" t="s">
        <v>755</v>
      </c>
      <c r="C758" t="s">
        <v>609</v>
      </c>
      <c r="D758" t="s">
        <v>1107</v>
      </c>
      <c r="E758" s="6" t="s">
        <v>1122</v>
      </c>
    </row>
    <row r="759" spans="1:5" ht="112" x14ac:dyDescent="0.2">
      <c r="A759" s="269">
        <v>45875.393819444442</v>
      </c>
      <c r="B759" t="s">
        <v>755</v>
      </c>
      <c r="C759" t="s">
        <v>609</v>
      </c>
      <c r="D759" t="s">
        <v>1107</v>
      </c>
      <c r="E759" s="6" t="s">
        <v>1123</v>
      </c>
    </row>
    <row r="760" spans="1:5" ht="112" x14ac:dyDescent="0.2">
      <c r="A760" s="269">
        <v>45875.393865740742</v>
      </c>
      <c r="B760" t="s">
        <v>755</v>
      </c>
      <c r="C760" t="s">
        <v>609</v>
      </c>
      <c r="D760" t="s">
        <v>1107</v>
      </c>
      <c r="E760" s="6" t="s">
        <v>1123</v>
      </c>
    </row>
    <row r="761" spans="1:5" x14ac:dyDescent="0.2">
      <c r="A761" s="269">
        <v>45875.393877314818</v>
      </c>
      <c r="B761" t="s">
        <v>755</v>
      </c>
      <c r="C761" t="s">
        <v>609</v>
      </c>
      <c r="D761" t="s">
        <v>1124</v>
      </c>
    </row>
    <row r="762" spans="1:5" x14ac:dyDescent="0.2">
      <c r="A762" s="269">
        <v>45875.394108796296</v>
      </c>
      <c r="B762" t="s">
        <v>755</v>
      </c>
      <c r="C762" t="s">
        <v>609</v>
      </c>
      <c r="D762" t="s">
        <v>1125</v>
      </c>
      <c r="E762" t="s">
        <v>101</v>
      </c>
    </row>
    <row r="763" spans="1:5" x14ac:dyDescent="0.2">
      <c r="A763" s="269">
        <v>45875.394479166665</v>
      </c>
      <c r="B763" t="s">
        <v>755</v>
      </c>
      <c r="C763" t="s">
        <v>26</v>
      </c>
      <c r="D763" t="s">
        <v>725</v>
      </c>
      <c r="E763" t="s">
        <v>937</v>
      </c>
    </row>
    <row r="764" spans="1:5" x14ac:dyDescent="0.2">
      <c r="A764" s="269">
        <v>45875.394791666666</v>
      </c>
      <c r="B764" t="s">
        <v>755</v>
      </c>
      <c r="C764" t="s">
        <v>14</v>
      </c>
      <c r="D764" t="s">
        <v>1077</v>
      </c>
      <c r="E764" t="s">
        <v>360</v>
      </c>
    </row>
    <row r="765" spans="1:5" x14ac:dyDescent="0.2">
      <c r="A765" s="269">
        <v>45875.397152777776</v>
      </c>
      <c r="B765" t="s">
        <v>755</v>
      </c>
      <c r="C765" t="s">
        <v>14</v>
      </c>
      <c r="D765" t="s">
        <v>1126</v>
      </c>
    </row>
    <row r="766" spans="1:5" x14ac:dyDescent="0.2">
      <c r="A766" s="269">
        <v>45875.397268518522</v>
      </c>
      <c r="B766" t="s">
        <v>755</v>
      </c>
      <c r="C766" t="s">
        <v>14</v>
      </c>
      <c r="D766" t="s">
        <v>979</v>
      </c>
    </row>
    <row r="767" spans="1:5" x14ac:dyDescent="0.2">
      <c r="A767" s="269">
        <v>45875.402025462965</v>
      </c>
      <c r="B767" t="s">
        <v>755</v>
      </c>
      <c r="C767" t="s">
        <v>609</v>
      </c>
      <c r="D767" t="s">
        <v>1127</v>
      </c>
      <c r="E767" t="s">
        <v>82</v>
      </c>
    </row>
    <row r="768" spans="1:5" ht="112" x14ac:dyDescent="0.2">
      <c r="A768" s="269">
        <v>45875.402268518519</v>
      </c>
      <c r="B768" t="s">
        <v>755</v>
      </c>
      <c r="C768" t="s">
        <v>609</v>
      </c>
      <c r="D768" t="s">
        <v>1128</v>
      </c>
      <c r="E768" s="6" t="s">
        <v>1129</v>
      </c>
    </row>
    <row r="769" spans="1:5" ht="112" x14ac:dyDescent="0.2">
      <c r="A769" s="269">
        <v>45875.402407407404</v>
      </c>
      <c r="B769" t="s">
        <v>755</v>
      </c>
      <c r="C769" t="s">
        <v>609</v>
      </c>
      <c r="D769" t="s">
        <v>1128</v>
      </c>
      <c r="E769" s="6" t="s">
        <v>1130</v>
      </c>
    </row>
    <row r="770" spans="1:5" x14ac:dyDescent="0.2">
      <c r="A770" s="269">
        <v>45875.402592592596</v>
      </c>
      <c r="B770" t="s">
        <v>755</v>
      </c>
      <c r="C770" t="s">
        <v>14</v>
      </c>
      <c r="D770" t="s">
        <v>775</v>
      </c>
      <c r="E770" t="s">
        <v>82</v>
      </c>
    </row>
    <row r="771" spans="1:5" x14ac:dyDescent="0.2">
      <c r="A771" s="269">
        <v>45875.403402777774</v>
      </c>
      <c r="B771" t="s">
        <v>755</v>
      </c>
      <c r="C771" t="s">
        <v>14</v>
      </c>
      <c r="D771" t="s">
        <v>656</v>
      </c>
      <c r="E771" t="s">
        <v>85</v>
      </c>
    </row>
    <row r="772" spans="1:5" x14ac:dyDescent="0.2">
      <c r="A772" s="269">
        <v>45875.403599537036</v>
      </c>
      <c r="B772" t="s">
        <v>755</v>
      </c>
      <c r="C772" t="s">
        <v>14</v>
      </c>
      <c r="D772" t="s">
        <v>1131</v>
      </c>
      <c r="E772" t="s">
        <v>90</v>
      </c>
    </row>
    <row r="773" spans="1:5" x14ac:dyDescent="0.2">
      <c r="A773" s="269">
        <v>45875.403657407405</v>
      </c>
      <c r="B773" t="s">
        <v>755</v>
      </c>
      <c r="C773" t="s">
        <v>14</v>
      </c>
      <c r="D773" t="s">
        <v>656</v>
      </c>
      <c r="E773" t="s">
        <v>183</v>
      </c>
    </row>
    <row r="774" spans="1:5" x14ac:dyDescent="0.2">
      <c r="A774" s="269">
        <v>45875.403749999998</v>
      </c>
      <c r="B774" t="s">
        <v>755</v>
      </c>
      <c r="C774" t="s">
        <v>14</v>
      </c>
      <c r="D774" t="s">
        <v>1132</v>
      </c>
      <c r="E774" t="s">
        <v>94</v>
      </c>
    </row>
    <row r="775" spans="1:5" x14ac:dyDescent="0.2">
      <c r="A775" s="269">
        <v>45875.403865740744</v>
      </c>
      <c r="B775" t="s">
        <v>755</v>
      </c>
      <c r="C775" t="s">
        <v>609</v>
      </c>
      <c r="D775" t="s">
        <v>1027</v>
      </c>
      <c r="E775" t="s">
        <v>90</v>
      </c>
    </row>
    <row r="776" spans="1:5" x14ac:dyDescent="0.2">
      <c r="A776" s="269">
        <v>45875.458935185183</v>
      </c>
      <c r="B776" t="s">
        <v>594</v>
      </c>
      <c r="C776" t="s">
        <v>595</v>
      </c>
      <c r="D776" t="s">
        <v>947</v>
      </c>
      <c r="E776" t="s">
        <v>38</v>
      </c>
    </row>
    <row r="777" spans="1:5" x14ac:dyDescent="0.2">
      <c r="A777" s="269">
        <v>45875.459247685183</v>
      </c>
      <c r="B777" t="s">
        <v>594</v>
      </c>
      <c r="C777" t="s">
        <v>2</v>
      </c>
      <c r="D777" t="s">
        <v>1133</v>
      </c>
      <c r="E777" t="s">
        <v>1134</v>
      </c>
    </row>
    <row r="778" spans="1:5" x14ac:dyDescent="0.2">
      <c r="A778" s="269">
        <v>45875.459444444445</v>
      </c>
      <c r="B778" t="s">
        <v>594</v>
      </c>
      <c r="C778" t="s">
        <v>2</v>
      </c>
      <c r="D778" t="s">
        <v>1135</v>
      </c>
      <c r="E778" t="e">
        <v>#REF!</v>
      </c>
    </row>
    <row r="779" spans="1:5" x14ac:dyDescent="0.2">
      <c r="A779" s="269">
        <v>45875.45988425926</v>
      </c>
      <c r="B779" t="s">
        <v>594</v>
      </c>
      <c r="C779" t="s">
        <v>2</v>
      </c>
      <c r="D779" t="s">
        <v>1135</v>
      </c>
      <c r="E779" t="s">
        <v>1134</v>
      </c>
    </row>
    <row r="780" spans="1:5" x14ac:dyDescent="0.2">
      <c r="A780" s="269">
        <v>45875.45994212963</v>
      </c>
      <c r="B780" t="s">
        <v>594</v>
      </c>
      <c r="C780" t="s">
        <v>2</v>
      </c>
      <c r="D780" t="s">
        <v>1136</v>
      </c>
      <c r="E780" t="s">
        <v>1134</v>
      </c>
    </row>
    <row r="781" spans="1:5" x14ac:dyDescent="0.2">
      <c r="A781" s="269">
        <v>45875.460046296299</v>
      </c>
      <c r="B781" t="s">
        <v>594</v>
      </c>
      <c r="C781" t="s">
        <v>27</v>
      </c>
      <c r="D781" t="s">
        <v>1137</v>
      </c>
      <c r="E781" t="s">
        <v>315</v>
      </c>
    </row>
    <row r="782" spans="1:5" x14ac:dyDescent="0.2">
      <c r="A782" s="269">
        <v>45875.460115740738</v>
      </c>
      <c r="B782" t="s">
        <v>594</v>
      </c>
      <c r="C782" t="s">
        <v>27</v>
      </c>
      <c r="D782" t="s">
        <v>1138</v>
      </c>
    </row>
    <row r="783" spans="1:5" x14ac:dyDescent="0.2">
      <c r="A783" s="269">
        <v>45875.460115740738</v>
      </c>
      <c r="B783" t="s">
        <v>594</v>
      </c>
      <c r="C783" t="s">
        <v>27</v>
      </c>
      <c r="D783" t="s">
        <v>1139</v>
      </c>
      <c r="E783" t="s">
        <v>37</v>
      </c>
    </row>
    <row r="784" spans="1:5" x14ac:dyDescent="0.2">
      <c r="A784" s="269">
        <v>45875.460127314815</v>
      </c>
      <c r="B784" t="s">
        <v>594</v>
      </c>
      <c r="C784" t="s">
        <v>27</v>
      </c>
      <c r="D784" t="s">
        <v>1140</v>
      </c>
      <c r="E784" t="s">
        <v>315</v>
      </c>
    </row>
    <row r="785" spans="1:5" x14ac:dyDescent="0.2">
      <c r="A785" s="269">
        <v>45875.460138888891</v>
      </c>
      <c r="B785" t="s">
        <v>594</v>
      </c>
      <c r="C785" t="s">
        <v>27</v>
      </c>
      <c r="D785" t="s">
        <v>1141</v>
      </c>
      <c r="E785" t="s">
        <v>281</v>
      </c>
    </row>
    <row r="786" spans="1:5" x14ac:dyDescent="0.2">
      <c r="A786" s="269">
        <v>45875.460428240738</v>
      </c>
      <c r="B786" t="s">
        <v>594</v>
      </c>
      <c r="C786" t="s">
        <v>27</v>
      </c>
      <c r="D786" t="s">
        <v>1142</v>
      </c>
      <c r="E786">
        <v>0</v>
      </c>
    </row>
    <row r="787" spans="1:5" x14ac:dyDescent="0.2">
      <c r="A787" s="269">
        <v>45875.460474537038</v>
      </c>
      <c r="B787" t="s">
        <v>594</v>
      </c>
      <c r="C787" t="s">
        <v>27</v>
      </c>
      <c r="D787" t="s">
        <v>1143</v>
      </c>
      <c r="E787">
        <v>0</v>
      </c>
    </row>
    <row r="788" spans="1:5" x14ac:dyDescent="0.2">
      <c r="A788" s="269">
        <v>45875.460543981484</v>
      </c>
      <c r="B788" t="s">
        <v>594</v>
      </c>
      <c r="C788" t="s">
        <v>27</v>
      </c>
      <c r="D788" t="s">
        <v>1144</v>
      </c>
      <c r="E788">
        <v>0</v>
      </c>
    </row>
    <row r="789" spans="1:5" x14ac:dyDescent="0.2">
      <c r="A789" s="269">
        <v>45875.460578703707</v>
      </c>
      <c r="B789" t="s">
        <v>594</v>
      </c>
      <c r="C789" t="s">
        <v>27</v>
      </c>
      <c r="D789" t="s">
        <v>1145</v>
      </c>
      <c r="E789">
        <v>0</v>
      </c>
    </row>
    <row r="790" spans="1:5" x14ac:dyDescent="0.2">
      <c r="A790" s="269">
        <v>45875.460601851853</v>
      </c>
      <c r="B790" t="s">
        <v>594</v>
      </c>
      <c r="C790" t="s">
        <v>27</v>
      </c>
      <c r="D790" t="s">
        <v>1146</v>
      </c>
      <c r="E790">
        <v>0</v>
      </c>
    </row>
    <row r="791" spans="1:5" x14ac:dyDescent="0.2">
      <c r="A791" s="269">
        <v>45875.460752314815</v>
      </c>
      <c r="B791" t="s">
        <v>594</v>
      </c>
      <c r="C791" t="s">
        <v>27</v>
      </c>
      <c r="D791" t="s">
        <v>1147</v>
      </c>
      <c r="E791">
        <v>0</v>
      </c>
    </row>
    <row r="792" spans="1:5" x14ac:dyDescent="0.2">
      <c r="A792" s="269">
        <v>45875.460810185185</v>
      </c>
      <c r="B792" t="s">
        <v>594</v>
      </c>
      <c r="C792" t="s">
        <v>27</v>
      </c>
      <c r="D792" t="s">
        <v>1142</v>
      </c>
      <c r="E792">
        <v>0</v>
      </c>
    </row>
    <row r="793" spans="1:5" x14ac:dyDescent="0.2">
      <c r="A793" s="269">
        <v>45875.460844907408</v>
      </c>
      <c r="B793" t="s">
        <v>594</v>
      </c>
      <c r="C793" t="s">
        <v>27</v>
      </c>
      <c r="D793" t="s">
        <v>1145</v>
      </c>
      <c r="E793">
        <v>0</v>
      </c>
    </row>
    <row r="794" spans="1:5" x14ac:dyDescent="0.2">
      <c r="A794" s="269">
        <v>45875.461006944446</v>
      </c>
      <c r="B794" t="s">
        <v>594</v>
      </c>
      <c r="C794" t="s">
        <v>27</v>
      </c>
      <c r="D794" t="s">
        <v>1144</v>
      </c>
      <c r="E794">
        <v>0</v>
      </c>
    </row>
    <row r="795" spans="1:5" x14ac:dyDescent="0.2">
      <c r="A795" s="269">
        <v>45875.461030092592</v>
      </c>
      <c r="B795" t="s">
        <v>594</v>
      </c>
      <c r="C795" t="s">
        <v>27</v>
      </c>
      <c r="D795" t="s">
        <v>1148</v>
      </c>
      <c r="E795">
        <v>0</v>
      </c>
    </row>
    <row r="796" spans="1:5" x14ac:dyDescent="0.2">
      <c r="A796" s="269">
        <v>45875.461076388892</v>
      </c>
      <c r="B796" t="s">
        <v>594</v>
      </c>
      <c r="C796" t="s">
        <v>27</v>
      </c>
      <c r="D796" t="s">
        <v>1149</v>
      </c>
      <c r="E796">
        <v>0</v>
      </c>
    </row>
    <row r="797" spans="1:5" x14ac:dyDescent="0.2">
      <c r="A797" s="269">
        <v>45875.461122685185</v>
      </c>
      <c r="B797" t="s">
        <v>594</v>
      </c>
      <c r="C797" t="s">
        <v>27</v>
      </c>
      <c r="D797" t="s">
        <v>1144</v>
      </c>
      <c r="E797">
        <v>0</v>
      </c>
    </row>
    <row r="798" spans="1:5" x14ac:dyDescent="0.2">
      <c r="A798" s="269">
        <v>45875.461157407408</v>
      </c>
      <c r="B798" t="s">
        <v>594</v>
      </c>
      <c r="C798" t="s">
        <v>27</v>
      </c>
      <c r="D798" t="s">
        <v>1150</v>
      </c>
      <c r="E798">
        <v>0</v>
      </c>
    </row>
    <row r="799" spans="1:5" x14ac:dyDescent="0.2">
      <c r="A799" s="269">
        <v>45875.461180555554</v>
      </c>
      <c r="B799" t="s">
        <v>594</v>
      </c>
      <c r="C799" t="s">
        <v>27</v>
      </c>
      <c r="D799" t="s">
        <v>1151</v>
      </c>
      <c r="E799">
        <v>0</v>
      </c>
    </row>
    <row r="800" spans="1:5" x14ac:dyDescent="0.2">
      <c r="A800" s="269">
        <v>45875.4612037037</v>
      </c>
      <c r="B800" t="s">
        <v>594</v>
      </c>
      <c r="C800" t="s">
        <v>27</v>
      </c>
      <c r="D800" t="s">
        <v>1152</v>
      </c>
      <c r="E800">
        <v>0</v>
      </c>
    </row>
    <row r="801" spans="1:5" x14ac:dyDescent="0.2">
      <c r="A801" s="269">
        <v>45875.461273148147</v>
      </c>
      <c r="B801" t="s">
        <v>594</v>
      </c>
      <c r="C801" t="s">
        <v>27</v>
      </c>
      <c r="D801" t="s">
        <v>1153</v>
      </c>
      <c r="E801">
        <v>0</v>
      </c>
    </row>
    <row r="802" spans="1:5" x14ac:dyDescent="0.2">
      <c r="A802" s="269">
        <v>45875.461342592593</v>
      </c>
      <c r="B802" t="s">
        <v>594</v>
      </c>
      <c r="C802" t="s">
        <v>27</v>
      </c>
      <c r="D802" t="s">
        <v>1154</v>
      </c>
      <c r="E802">
        <v>500</v>
      </c>
    </row>
    <row r="803" spans="1:5" x14ac:dyDescent="0.2">
      <c r="A803" s="269">
        <v>45875.461377314816</v>
      </c>
      <c r="B803" t="s">
        <v>594</v>
      </c>
      <c r="C803" t="s">
        <v>27</v>
      </c>
      <c r="D803" t="s">
        <v>1155</v>
      </c>
      <c r="E803">
        <v>0</v>
      </c>
    </row>
    <row r="804" spans="1:5" x14ac:dyDescent="0.2">
      <c r="A804" s="269">
        <v>45875.461400462962</v>
      </c>
      <c r="B804" t="s">
        <v>594</v>
      </c>
      <c r="C804" t="s">
        <v>27</v>
      </c>
      <c r="D804" t="s">
        <v>1156</v>
      </c>
      <c r="E804">
        <v>500</v>
      </c>
    </row>
    <row r="805" spans="1:5" x14ac:dyDescent="0.2">
      <c r="A805" s="269">
        <v>45875.461446759262</v>
      </c>
      <c r="B805" t="s">
        <v>594</v>
      </c>
      <c r="C805" t="s">
        <v>27</v>
      </c>
      <c r="D805" t="s">
        <v>1157</v>
      </c>
      <c r="E805">
        <v>0</v>
      </c>
    </row>
    <row r="806" spans="1:5" x14ac:dyDescent="0.2">
      <c r="A806" s="269">
        <v>45875.461469907408</v>
      </c>
      <c r="B806" t="s">
        <v>594</v>
      </c>
      <c r="C806" t="s">
        <v>27</v>
      </c>
      <c r="D806" t="s">
        <v>1158</v>
      </c>
      <c r="E806">
        <v>0</v>
      </c>
    </row>
    <row r="807" spans="1:5" x14ac:dyDescent="0.2">
      <c r="A807" s="269">
        <v>45875.461493055554</v>
      </c>
      <c r="B807" t="s">
        <v>594</v>
      </c>
      <c r="C807" t="s">
        <v>27</v>
      </c>
      <c r="D807" t="s">
        <v>1159</v>
      </c>
      <c r="E807">
        <v>0</v>
      </c>
    </row>
    <row r="808" spans="1:5" x14ac:dyDescent="0.2">
      <c r="A808" s="269">
        <v>45875.461539351854</v>
      </c>
      <c r="B808" t="s">
        <v>594</v>
      </c>
      <c r="C808" t="s">
        <v>27</v>
      </c>
      <c r="D808" t="s">
        <v>1160</v>
      </c>
      <c r="E808">
        <v>0</v>
      </c>
    </row>
    <row r="809" spans="1:5" x14ac:dyDescent="0.2">
      <c r="A809" s="269">
        <v>45875.461574074077</v>
      </c>
      <c r="B809" t="s">
        <v>594</v>
      </c>
      <c r="C809" t="s">
        <v>27</v>
      </c>
      <c r="D809" t="s">
        <v>1161</v>
      </c>
      <c r="E809">
        <v>0</v>
      </c>
    </row>
    <row r="810" spans="1:5" x14ac:dyDescent="0.2">
      <c r="A810" s="269">
        <v>45875.461585648147</v>
      </c>
      <c r="B810" t="s">
        <v>594</v>
      </c>
      <c r="C810" t="s">
        <v>27</v>
      </c>
      <c r="D810" t="s">
        <v>1162</v>
      </c>
      <c r="E810">
        <v>0</v>
      </c>
    </row>
    <row r="811" spans="1:5" x14ac:dyDescent="0.2">
      <c r="A811" s="269">
        <v>45875.46162037037</v>
      </c>
      <c r="B811" t="s">
        <v>594</v>
      </c>
      <c r="C811" t="s">
        <v>27</v>
      </c>
      <c r="D811" t="s">
        <v>942</v>
      </c>
      <c r="E811">
        <v>0</v>
      </c>
    </row>
    <row r="812" spans="1:5" x14ac:dyDescent="0.2">
      <c r="A812" s="269">
        <v>45875.461655092593</v>
      </c>
      <c r="B812" t="s">
        <v>594</v>
      </c>
      <c r="C812" t="s">
        <v>27</v>
      </c>
      <c r="D812" t="s">
        <v>1163</v>
      </c>
      <c r="E812">
        <v>0</v>
      </c>
    </row>
    <row r="813" spans="1:5" x14ac:dyDescent="0.2">
      <c r="A813" s="269">
        <v>45875.461724537039</v>
      </c>
      <c r="B813" t="s">
        <v>594</v>
      </c>
      <c r="C813" t="s">
        <v>27</v>
      </c>
      <c r="D813" t="s">
        <v>1164</v>
      </c>
    </row>
    <row r="814" spans="1:5" x14ac:dyDescent="0.2">
      <c r="A814" s="269">
        <v>45875.461770833332</v>
      </c>
      <c r="B814" t="s">
        <v>594</v>
      </c>
      <c r="C814" t="s">
        <v>27</v>
      </c>
      <c r="D814" t="s">
        <v>1165</v>
      </c>
    </row>
    <row r="815" spans="1:5" x14ac:dyDescent="0.2">
      <c r="A815" s="269">
        <v>45876.40185185185</v>
      </c>
      <c r="B815" t="s">
        <v>594</v>
      </c>
      <c r="C815" t="s">
        <v>595</v>
      </c>
      <c r="D815" t="s">
        <v>947</v>
      </c>
      <c r="E815" t="s">
        <v>38</v>
      </c>
    </row>
    <row r="816" spans="1:5" x14ac:dyDescent="0.2">
      <c r="A816" s="269">
        <v>45876.414918981478</v>
      </c>
      <c r="B816" t="s">
        <v>594</v>
      </c>
      <c r="C816" t="s">
        <v>143</v>
      </c>
      <c r="D816" t="s">
        <v>1166</v>
      </c>
    </row>
    <row r="817" spans="1:5" x14ac:dyDescent="0.2">
      <c r="A817" s="269">
        <v>45876.414976851855</v>
      </c>
      <c r="B817" t="s">
        <v>594</v>
      </c>
      <c r="C817" t="s">
        <v>143</v>
      </c>
      <c r="D817" t="s">
        <v>1167</v>
      </c>
    </row>
    <row r="818" spans="1:5" x14ac:dyDescent="0.2">
      <c r="A818" s="269">
        <v>45882.470520833333</v>
      </c>
      <c r="B818" t="s">
        <v>755</v>
      </c>
      <c r="C818" t="s">
        <v>632</v>
      </c>
      <c r="D818" t="s">
        <v>863</v>
      </c>
      <c r="E818" t="s">
        <v>385</v>
      </c>
    </row>
    <row r="819" spans="1:5" x14ac:dyDescent="0.2">
      <c r="A819" s="269">
        <v>45882.470659722225</v>
      </c>
      <c r="B819" t="s">
        <v>755</v>
      </c>
      <c r="C819" t="s">
        <v>632</v>
      </c>
      <c r="D819" t="s">
        <v>1168</v>
      </c>
      <c r="E819" t="s">
        <v>1169</v>
      </c>
    </row>
    <row r="820" spans="1:5" x14ac:dyDescent="0.2">
      <c r="A820" s="269">
        <v>45882.470694444448</v>
      </c>
      <c r="B820" t="s">
        <v>755</v>
      </c>
      <c r="C820" t="s">
        <v>632</v>
      </c>
      <c r="D820" t="s">
        <v>1170</v>
      </c>
      <c r="E820" t="s">
        <v>1171</v>
      </c>
    </row>
    <row r="821" spans="1:5" x14ac:dyDescent="0.2">
      <c r="A821" s="269">
        <v>45882.47074074074</v>
      </c>
      <c r="B821" t="s">
        <v>755</v>
      </c>
      <c r="C821" t="s">
        <v>632</v>
      </c>
      <c r="D821" t="s">
        <v>858</v>
      </c>
      <c r="E821" t="s">
        <v>372</v>
      </c>
    </row>
    <row r="822" spans="1:5" x14ac:dyDescent="0.2">
      <c r="A822" s="269">
        <v>45882.470775462964</v>
      </c>
      <c r="B822" t="s">
        <v>755</v>
      </c>
      <c r="C822" t="s">
        <v>632</v>
      </c>
      <c r="D822" t="s">
        <v>854</v>
      </c>
      <c r="E822" t="s">
        <v>352</v>
      </c>
    </row>
    <row r="823" spans="1:5" x14ac:dyDescent="0.2">
      <c r="A823" s="269">
        <v>45882.652337962965</v>
      </c>
      <c r="B823" t="s">
        <v>755</v>
      </c>
      <c r="C823" t="s">
        <v>609</v>
      </c>
      <c r="D823" t="s">
        <v>761</v>
      </c>
    </row>
    <row r="824" spans="1:5" x14ac:dyDescent="0.2">
      <c r="A824" s="269">
        <v>45882.652337962965</v>
      </c>
      <c r="B824" t="s">
        <v>755</v>
      </c>
      <c r="C824" t="s">
        <v>609</v>
      </c>
      <c r="D824" t="s">
        <v>834</v>
      </c>
      <c r="E824" t="s">
        <v>37</v>
      </c>
    </row>
    <row r="825" spans="1:5" x14ac:dyDescent="0.2">
      <c r="A825" s="269">
        <v>45882.654074074075</v>
      </c>
      <c r="B825" t="s">
        <v>755</v>
      </c>
      <c r="C825" t="s">
        <v>609</v>
      </c>
      <c r="D825" t="s">
        <v>834</v>
      </c>
      <c r="E825" t="s">
        <v>41</v>
      </c>
    </row>
    <row r="826" spans="1:5" x14ac:dyDescent="0.2">
      <c r="A826" s="269">
        <v>45882.654074074075</v>
      </c>
      <c r="B826" t="s">
        <v>755</v>
      </c>
      <c r="C826" t="s">
        <v>609</v>
      </c>
      <c r="D826" t="s">
        <v>1172</v>
      </c>
      <c r="E826" t="s">
        <v>37</v>
      </c>
    </row>
    <row r="827" spans="1:5" x14ac:dyDescent="0.2">
      <c r="A827" s="269">
        <v>45882.654108796298</v>
      </c>
      <c r="B827" t="s">
        <v>755</v>
      </c>
      <c r="C827" t="s">
        <v>609</v>
      </c>
      <c r="D827" t="s">
        <v>1172</v>
      </c>
      <c r="E827" t="s">
        <v>45</v>
      </c>
    </row>
    <row r="828" spans="1:5" x14ac:dyDescent="0.2">
      <c r="A828" s="269">
        <v>45882.654108796298</v>
      </c>
      <c r="B828" t="s">
        <v>755</v>
      </c>
      <c r="C828" t="s">
        <v>609</v>
      </c>
      <c r="D828" t="s">
        <v>761</v>
      </c>
      <c r="E828" t="s">
        <v>37</v>
      </c>
    </row>
    <row r="829" spans="1:5" x14ac:dyDescent="0.2">
      <c r="A829" s="269">
        <v>45882.654293981483</v>
      </c>
      <c r="B829" t="s">
        <v>755</v>
      </c>
      <c r="C829" t="s">
        <v>609</v>
      </c>
      <c r="D829" t="s">
        <v>1173</v>
      </c>
    </row>
    <row r="830" spans="1:5" x14ac:dyDescent="0.2">
      <c r="A830" s="269">
        <v>45882.654293981483</v>
      </c>
      <c r="B830" t="s">
        <v>755</v>
      </c>
      <c r="C830" t="s">
        <v>609</v>
      </c>
      <c r="D830" t="s">
        <v>1174</v>
      </c>
      <c r="E830" t="s">
        <v>25</v>
      </c>
    </row>
    <row r="831" spans="1:5" x14ac:dyDescent="0.2">
      <c r="A831" s="269">
        <v>45882.654351851852</v>
      </c>
      <c r="B831" t="s">
        <v>755</v>
      </c>
      <c r="C831" t="s">
        <v>609</v>
      </c>
      <c r="D831" t="s">
        <v>1175</v>
      </c>
    </row>
    <row r="832" spans="1:5" x14ac:dyDescent="0.2">
      <c r="A832" s="269">
        <v>45882.654351851852</v>
      </c>
      <c r="B832" t="s">
        <v>755</v>
      </c>
      <c r="C832" t="s">
        <v>609</v>
      </c>
      <c r="D832" t="s">
        <v>834</v>
      </c>
      <c r="E832" t="s">
        <v>37</v>
      </c>
    </row>
    <row r="833" spans="1:5" x14ac:dyDescent="0.2">
      <c r="A833" s="269">
        <v>45882.654467592591</v>
      </c>
      <c r="B833" t="s">
        <v>755</v>
      </c>
      <c r="C833" t="s">
        <v>609</v>
      </c>
      <c r="D833" t="s">
        <v>1176</v>
      </c>
      <c r="E833" t="s">
        <v>24</v>
      </c>
    </row>
    <row r="834" spans="1:5" x14ac:dyDescent="0.2">
      <c r="A834" s="269">
        <v>45882.654502314814</v>
      </c>
      <c r="B834" t="s">
        <v>755</v>
      </c>
      <c r="C834" t="s">
        <v>609</v>
      </c>
      <c r="D834" t="s">
        <v>1176</v>
      </c>
      <c r="E834" t="s">
        <v>24</v>
      </c>
    </row>
    <row r="835" spans="1:5" x14ac:dyDescent="0.2">
      <c r="A835" s="269">
        <v>45882.658842592595</v>
      </c>
      <c r="B835" t="s">
        <v>755</v>
      </c>
      <c r="C835" t="s">
        <v>609</v>
      </c>
      <c r="D835" t="s">
        <v>1177</v>
      </c>
      <c r="E835" t="s">
        <v>1178</v>
      </c>
    </row>
    <row r="836" spans="1:5" x14ac:dyDescent="0.2">
      <c r="A836" s="269">
        <v>45882.660798611112</v>
      </c>
      <c r="B836" t="s">
        <v>755</v>
      </c>
      <c r="C836" t="s">
        <v>632</v>
      </c>
      <c r="D836" t="s">
        <v>1168</v>
      </c>
      <c r="E836" t="s">
        <v>1179</v>
      </c>
    </row>
    <row r="837" spans="1:5" x14ac:dyDescent="0.2">
      <c r="A837" s="269">
        <v>45882.660844907405</v>
      </c>
      <c r="B837" t="s">
        <v>755</v>
      </c>
      <c r="C837" t="s">
        <v>632</v>
      </c>
      <c r="D837" t="s">
        <v>1170</v>
      </c>
      <c r="E837" t="s">
        <v>1180</v>
      </c>
    </row>
    <row r="838" spans="1:5" ht="160" x14ac:dyDescent="0.2">
      <c r="A838" s="269">
        <v>45882.662280092591</v>
      </c>
      <c r="B838" t="s">
        <v>755</v>
      </c>
      <c r="C838" t="s">
        <v>609</v>
      </c>
      <c r="D838" t="s">
        <v>1181</v>
      </c>
      <c r="E838" s="6" t="s">
        <v>1182</v>
      </c>
    </row>
    <row r="839" spans="1:5" ht="160" x14ac:dyDescent="0.2">
      <c r="A839" s="269">
        <v>45882.663437499999</v>
      </c>
      <c r="B839" t="s">
        <v>755</v>
      </c>
      <c r="C839" t="s">
        <v>609</v>
      </c>
      <c r="D839" t="s">
        <v>1181</v>
      </c>
      <c r="E839" s="6" t="s">
        <v>1183</v>
      </c>
    </row>
    <row r="840" spans="1:5" ht="176" x14ac:dyDescent="0.2">
      <c r="A840" s="269">
        <v>45882.663634259261</v>
      </c>
      <c r="B840" t="s">
        <v>755</v>
      </c>
      <c r="C840" t="s">
        <v>609</v>
      </c>
      <c r="D840" t="s">
        <v>1181</v>
      </c>
      <c r="E840" s="6" t="s">
        <v>1184</v>
      </c>
    </row>
    <row r="841" spans="1:5" ht="176" x14ac:dyDescent="0.2">
      <c r="A841" s="269">
        <v>45882.663738425923</v>
      </c>
      <c r="B841" t="s">
        <v>755</v>
      </c>
      <c r="C841" t="s">
        <v>609</v>
      </c>
      <c r="D841" t="s">
        <v>1181</v>
      </c>
      <c r="E841" s="6" t="s">
        <v>1185</v>
      </c>
    </row>
    <row r="842" spans="1:5" x14ac:dyDescent="0.2">
      <c r="A842" s="269">
        <v>45882.665416666663</v>
      </c>
      <c r="B842" t="s">
        <v>755</v>
      </c>
      <c r="C842" t="s">
        <v>609</v>
      </c>
      <c r="D842" t="s">
        <v>1177</v>
      </c>
      <c r="E842" t="s">
        <v>1186</v>
      </c>
    </row>
    <row r="843" spans="1:5" x14ac:dyDescent="0.2">
      <c r="A843" s="269">
        <v>45882.665509259263</v>
      </c>
      <c r="B843" t="s">
        <v>755</v>
      </c>
      <c r="C843" t="s">
        <v>609</v>
      </c>
      <c r="D843" t="s">
        <v>1177</v>
      </c>
      <c r="E843" t="s">
        <v>47</v>
      </c>
    </row>
    <row r="844" spans="1:5" x14ac:dyDescent="0.2">
      <c r="A844" s="269">
        <v>45883.497835648152</v>
      </c>
      <c r="B844" t="s">
        <v>755</v>
      </c>
      <c r="C844" t="s">
        <v>609</v>
      </c>
      <c r="D844" t="s">
        <v>1098</v>
      </c>
      <c r="E844" t="s">
        <v>140</v>
      </c>
    </row>
    <row r="845" spans="1:5" ht="176" x14ac:dyDescent="0.2">
      <c r="A845" s="269">
        <v>45883.558935185189</v>
      </c>
      <c r="B845" t="s">
        <v>755</v>
      </c>
      <c r="C845" t="s">
        <v>609</v>
      </c>
      <c r="D845" t="s">
        <v>1181</v>
      </c>
      <c r="E845" s="6" t="s">
        <v>1187</v>
      </c>
    </row>
    <row r="846" spans="1:5" x14ac:dyDescent="0.2">
      <c r="A846" s="269">
        <v>45883.595173611109</v>
      </c>
      <c r="B846" t="s">
        <v>755</v>
      </c>
      <c r="C846" t="s">
        <v>595</v>
      </c>
      <c r="D846" t="s">
        <v>1188</v>
      </c>
      <c r="E846" t="s">
        <v>38</v>
      </c>
    </row>
    <row r="847" spans="1:5" x14ac:dyDescent="0.2">
      <c r="A847" s="269">
        <v>45883.604722222219</v>
      </c>
      <c r="B847" t="s">
        <v>755</v>
      </c>
      <c r="C847" t="s">
        <v>25</v>
      </c>
      <c r="D847" t="s">
        <v>1189</v>
      </c>
      <c r="E847" t="s">
        <v>87</v>
      </c>
    </row>
    <row r="848" spans="1:5" x14ac:dyDescent="0.2">
      <c r="A848" s="269">
        <v>45883.604756944442</v>
      </c>
      <c r="B848" t="s">
        <v>755</v>
      </c>
      <c r="C848" t="s">
        <v>25</v>
      </c>
      <c r="D848" t="s">
        <v>1189</v>
      </c>
      <c r="E848" t="s">
        <v>336</v>
      </c>
    </row>
    <row r="849" spans="1:5" x14ac:dyDescent="0.2">
      <c r="A849" s="269">
        <v>45883.604861111111</v>
      </c>
      <c r="B849" t="s">
        <v>755</v>
      </c>
      <c r="C849" t="s">
        <v>25</v>
      </c>
      <c r="D849" t="s">
        <v>971</v>
      </c>
      <c r="E849">
        <v>1</v>
      </c>
    </row>
    <row r="850" spans="1:5" x14ac:dyDescent="0.2">
      <c r="A850" s="269">
        <v>45883.604895833334</v>
      </c>
      <c r="B850" t="s">
        <v>755</v>
      </c>
      <c r="C850" t="s">
        <v>25</v>
      </c>
      <c r="D850" t="s">
        <v>1189</v>
      </c>
    </row>
    <row r="851" spans="1:5" x14ac:dyDescent="0.2">
      <c r="A851" s="269">
        <v>45883.605902777781</v>
      </c>
      <c r="B851" t="s">
        <v>755</v>
      </c>
      <c r="C851" t="s">
        <v>609</v>
      </c>
      <c r="D851" t="s">
        <v>1190</v>
      </c>
      <c r="E851" t="s">
        <v>105</v>
      </c>
    </row>
    <row r="852" spans="1:5" x14ac:dyDescent="0.2">
      <c r="A852" s="269">
        <v>45883.606249999997</v>
      </c>
      <c r="B852" t="s">
        <v>755</v>
      </c>
      <c r="C852" t="s">
        <v>609</v>
      </c>
      <c r="D852" t="s">
        <v>1190</v>
      </c>
      <c r="E852" t="s">
        <v>105</v>
      </c>
    </row>
    <row r="853" spans="1:5" x14ac:dyDescent="0.2">
      <c r="A853" s="269">
        <v>45883.606296296297</v>
      </c>
      <c r="B853" t="s">
        <v>755</v>
      </c>
      <c r="C853" t="s">
        <v>609</v>
      </c>
      <c r="D853" t="s">
        <v>1191</v>
      </c>
      <c r="E853" t="s">
        <v>124</v>
      </c>
    </row>
    <row r="854" spans="1:5" x14ac:dyDescent="0.2">
      <c r="A854" s="269">
        <v>45883.60633101852</v>
      </c>
      <c r="B854" t="s">
        <v>755</v>
      </c>
      <c r="C854" t="s">
        <v>609</v>
      </c>
      <c r="D854" t="s">
        <v>929</v>
      </c>
      <c r="E854" t="s">
        <v>128</v>
      </c>
    </row>
    <row r="855" spans="1:5" x14ac:dyDescent="0.2">
      <c r="A855" s="269">
        <v>45883.61273148148</v>
      </c>
      <c r="B855" t="s">
        <v>755</v>
      </c>
      <c r="C855" t="s">
        <v>632</v>
      </c>
      <c r="D855" t="s">
        <v>1192</v>
      </c>
      <c r="E855" t="s">
        <v>381</v>
      </c>
    </row>
    <row r="856" spans="1:5" ht="224" x14ac:dyDescent="0.2">
      <c r="A856" s="269">
        <v>45883.612870370373</v>
      </c>
      <c r="B856" t="s">
        <v>755</v>
      </c>
      <c r="C856" t="s">
        <v>609</v>
      </c>
      <c r="D856" t="s">
        <v>1193</v>
      </c>
      <c r="E856" s="6" t="s">
        <v>1194</v>
      </c>
    </row>
    <row r="857" spans="1:5" ht="224" x14ac:dyDescent="0.2">
      <c r="A857" s="269">
        <v>45883.612939814811</v>
      </c>
      <c r="B857" t="s">
        <v>755</v>
      </c>
      <c r="C857" t="s">
        <v>609</v>
      </c>
      <c r="D857" t="s">
        <v>1193</v>
      </c>
      <c r="E857" s="6" t="s">
        <v>1194</v>
      </c>
    </row>
    <row r="858" spans="1:5" x14ac:dyDescent="0.2">
      <c r="A858" s="269">
        <v>45883.62159722222</v>
      </c>
      <c r="B858" t="s">
        <v>755</v>
      </c>
      <c r="C858" t="s">
        <v>2</v>
      </c>
      <c r="D858" t="s">
        <v>1195</v>
      </c>
    </row>
    <row r="859" spans="1:5" x14ac:dyDescent="0.2">
      <c r="A859" s="269">
        <v>45883.62159722222</v>
      </c>
      <c r="B859" t="s">
        <v>755</v>
      </c>
      <c r="C859" t="s">
        <v>2</v>
      </c>
      <c r="D859" t="s">
        <v>1195</v>
      </c>
    </row>
    <row r="860" spans="1:5" x14ac:dyDescent="0.2">
      <c r="A860" s="269">
        <v>45883.621631944443</v>
      </c>
      <c r="B860" t="s">
        <v>755</v>
      </c>
      <c r="C860" t="s">
        <v>2</v>
      </c>
      <c r="D860" t="s">
        <v>616</v>
      </c>
    </row>
    <row r="861" spans="1:5" x14ac:dyDescent="0.2">
      <c r="A861" s="269">
        <v>45883.621655092589</v>
      </c>
      <c r="B861" t="s">
        <v>755</v>
      </c>
      <c r="C861" t="s">
        <v>2</v>
      </c>
      <c r="D861" t="s">
        <v>616</v>
      </c>
    </row>
    <row r="862" spans="1:5" x14ac:dyDescent="0.2">
      <c r="A862" s="269">
        <v>45883.621655092589</v>
      </c>
      <c r="B862" t="s">
        <v>755</v>
      </c>
      <c r="C862" t="s">
        <v>2</v>
      </c>
      <c r="D862" t="s">
        <v>1195</v>
      </c>
    </row>
    <row r="863" spans="1:5" x14ac:dyDescent="0.2">
      <c r="A863" s="269">
        <v>45883.621689814812</v>
      </c>
      <c r="B863" t="s">
        <v>755</v>
      </c>
      <c r="C863" t="s">
        <v>2</v>
      </c>
      <c r="D863" t="s">
        <v>1196</v>
      </c>
    </row>
    <row r="864" spans="1:5" x14ac:dyDescent="0.2">
      <c r="A864" s="269">
        <v>45883.621736111112</v>
      </c>
      <c r="B864" t="s">
        <v>755</v>
      </c>
      <c r="C864" t="s">
        <v>2</v>
      </c>
      <c r="D864" t="s">
        <v>1196</v>
      </c>
    </row>
    <row r="865" spans="1:5" x14ac:dyDescent="0.2">
      <c r="A865" s="269">
        <v>45883.621805555558</v>
      </c>
      <c r="B865" t="s">
        <v>755</v>
      </c>
      <c r="C865" t="s">
        <v>2</v>
      </c>
      <c r="D865" t="s">
        <v>1197</v>
      </c>
    </row>
    <row r="866" spans="1:5" x14ac:dyDescent="0.2">
      <c r="A866" s="269">
        <v>45883.621805555558</v>
      </c>
      <c r="B866" t="s">
        <v>755</v>
      </c>
      <c r="C866" t="s">
        <v>2</v>
      </c>
      <c r="D866" t="s">
        <v>1197</v>
      </c>
    </row>
    <row r="867" spans="1:5" x14ac:dyDescent="0.2">
      <c r="A867" s="269">
        <v>45883.621851851851</v>
      </c>
      <c r="B867" t="s">
        <v>755</v>
      </c>
      <c r="C867" t="s">
        <v>2</v>
      </c>
      <c r="D867" t="s">
        <v>783</v>
      </c>
    </row>
    <row r="868" spans="1:5" x14ac:dyDescent="0.2">
      <c r="A868" s="269">
        <v>45883.622025462966</v>
      </c>
      <c r="B868" t="s">
        <v>755</v>
      </c>
      <c r="C868" t="s">
        <v>2</v>
      </c>
      <c r="D868" t="s">
        <v>1198</v>
      </c>
      <c r="E868" t="s">
        <v>161</v>
      </c>
    </row>
    <row r="869" spans="1:5" x14ac:dyDescent="0.2">
      <c r="A869" s="269">
        <v>45883.622824074075</v>
      </c>
      <c r="B869" t="s">
        <v>755</v>
      </c>
      <c r="C869" t="s">
        <v>2</v>
      </c>
      <c r="D869" t="s">
        <v>1199</v>
      </c>
      <c r="E869" t="s">
        <v>113</v>
      </c>
    </row>
    <row r="870" spans="1:5" x14ac:dyDescent="0.2">
      <c r="A870" s="269">
        <v>45883.623171296298</v>
      </c>
      <c r="B870" t="s">
        <v>755</v>
      </c>
      <c r="C870" t="s">
        <v>2</v>
      </c>
      <c r="D870" t="s">
        <v>1200</v>
      </c>
      <c r="E870" t="s">
        <v>206</v>
      </c>
    </row>
    <row r="871" spans="1:5" x14ac:dyDescent="0.2">
      <c r="A871" s="269">
        <v>45883.623263888891</v>
      </c>
      <c r="B871" t="s">
        <v>755</v>
      </c>
      <c r="C871" t="s">
        <v>2</v>
      </c>
      <c r="D871" t="s">
        <v>1201</v>
      </c>
      <c r="E871" t="s">
        <v>205</v>
      </c>
    </row>
    <row r="872" spans="1:5" x14ac:dyDescent="0.2">
      <c r="A872" s="269">
        <v>45883.623437499999</v>
      </c>
      <c r="B872" t="s">
        <v>755</v>
      </c>
      <c r="C872" t="s">
        <v>24</v>
      </c>
      <c r="D872" t="s">
        <v>1192</v>
      </c>
      <c r="E872" t="s">
        <v>211</v>
      </c>
    </row>
    <row r="873" spans="1:5" x14ac:dyDescent="0.2">
      <c r="A873" s="269">
        <v>45883.623645833337</v>
      </c>
      <c r="B873" t="s">
        <v>755</v>
      </c>
      <c r="C873" t="s">
        <v>24</v>
      </c>
      <c r="D873" t="s">
        <v>1176</v>
      </c>
      <c r="E873" t="s">
        <v>212</v>
      </c>
    </row>
    <row r="874" spans="1:5" x14ac:dyDescent="0.2">
      <c r="A874" s="269">
        <v>45883.624016203707</v>
      </c>
      <c r="B874" t="s">
        <v>755</v>
      </c>
      <c r="C874" t="s">
        <v>2</v>
      </c>
      <c r="D874" t="s">
        <v>1202</v>
      </c>
      <c r="E874" t="s">
        <v>49</v>
      </c>
    </row>
    <row r="875" spans="1:5" x14ac:dyDescent="0.2">
      <c r="A875" s="269">
        <v>45883.624305555553</v>
      </c>
      <c r="B875" t="s">
        <v>755</v>
      </c>
      <c r="C875" t="s">
        <v>2</v>
      </c>
      <c r="D875" t="s">
        <v>1203</v>
      </c>
      <c r="E875">
        <v>1000</v>
      </c>
    </row>
    <row r="876" spans="1:5" x14ac:dyDescent="0.2">
      <c r="A876" s="269">
        <v>45883.624652777777</v>
      </c>
      <c r="B876" t="s">
        <v>755</v>
      </c>
      <c r="C876" t="s">
        <v>2</v>
      </c>
      <c r="D876" t="s">
        <v>1199</v>
      </c>
      <c r="E876" t="s">
        <v>211</v>
      </c>
    </row>
    <row r="877" spans="1:5" x14ac:dyDescent="0.2">
      <c r="A877" s="269">
        <v>45883.624918981484</v>
      </c>
      <c r="B877" t="s">
        <v>755</v>
      </c>
      <c r="C877" t="s">
        <v>2</v>
      </c>
      <c r="D877" t="s">
        <v>1204</v>
      </c>
    </row>
    <row r="878" spans="1:5" x14ac:dyDescent="0.2">
      <c r="A878" s="269">
        <v>45883.625081018516</v>
      </c>
      <c r="B878" t="s">
        <v>755</v>
      </c>
      <c r="C878" t="s">
        <v>2</v>
      </c>
      <c r="D878" t="s">
        <v>1205</v>
      </c>
      <c r="E878" t="s">
        <v>154</v>
      </c>
    </row>
    <row r="879" spans="1:5" x14ac:dyDescent="0.2">
      <c r="A879" s="269">
        <v>45883.625787037039</v>
      </c>
      <c r="B879" t="s">
        <v>755</v>
      </c>
      <c r="C879" t="s">
        <v>2</v>
      </c>
      <c r="D879" t="s">
        <v>1206</v>
      </c>
      <c r="E879" t="s">
        <v>1134</v>
      </c>
    </row>
    <row r="880" spans="1:5" x14ac:dyDescent="0.2">
      <c r="A880" s="269">
        <v>45883.625856481478</v>
      </c>
      <c r="B880" t="s">
        <v>755</v>
      </c>
      <c r="C880" t="s">
        <v>2</v>
      </c>
      <c r="D880" t="s">
        <v>1207</v>
      </c>
      <c r="E880" t="s">
        <v>1134</v>
      </c>
    </row>
    <row r="881" spans="1:5" x14ac:dyDescent="0.2">
      <c r="A881" s="269">
        <v>45883.626145833332</v>
      </c>
      <c r="B881" t="s">
        <v>755</v>
      </c>
      <c r="C881" t="s">
        <v>2</v>
      </c>
      <c r="D881" t="s">
        <v>1208</v>
      </c>
      <c r="E881" t="s">
        <v>315</v>
      </c>
    </row>
    <row r="882" spans="1:5" x14ac:dyDescent="0.2">
      <c r="A882" s="269">
        <v>45883.626168981478</v>
      </c>
      <c r="B882" t="s">
        <v>755</v>
      </c>
      <c r="C882" t="s">
        <v>2</v>
      </c>
      <c r="D882" t="s">
        <v>1209</v>
      </c>
      <c r="E882" t="s">
        <v>381</v>
      </c>
    </row>
    <row r="883" spans="1:5" x14ac:dyDescent="0.2">
      <c r="A883" s="269">
        <v>45883.626608796294</v>
      </c>
      <c r="B883" t="s">
        <v>755</v>
      </c>
      <c r="C883" t="s">
        <v>609</v>
      </c>
      <c r="D883" t="s">
        <v>1210</v>
      </c>
      <c r="E883" t="s">
        <v>1211</v>
      </c>
    </row>
    <row r="884" spans="1:5" x14ac:dyDescent="0.2">
      <c r="A884" s="269">
        <v>45883.626655092594</v>
      </c>
      <c r="B884" t="s">
        <v>755</v>
      </c>
      <c r="C884" t="s">
        <v>609</v>
      </c>
      <c r="D884" t="s">
        <v>1210</v>
      </c>
      <c r="E884" t="s">
        <v>112</v>
      </c>
    </row>
    <row r="885" spans="1:5" x14ac:dyDescent="0.2">
      <c r="A885" s="269">
        <v>45883.674768518518</v>
      </c>
      <c r="B885" t="s">
        <v>594</v>
      </c>
      <c r="C885" t="s">
        <v>101</v>
      </c>
      <c r="D885" t="s">
        <v>1212</v>
      </c>
    </row>
    <row r="886" spans="1:5" x14ac:dyDescent="0.2">
      <c r="A886" s="269">
        <v>45883.674803240741</v>
      </c>
      <c r="B886" t="s">
        <v>594</v>
      </c>
      <c r="C886" t="s">
        <v>101</v>
      </c>
      <c r="D886" t="s">
        <v>1212</v>
      </c>
    </row>
    <row r="887" spans="1:5" x14ac:dyDescent="0.2">
      <c r="A887" s="269">
        <v>45883.674803240741</v>
      </c>
      <c r="B887" t="s">
        <v>594</v>
      </c>
      <c r="C887" t="s">
        <v>101</v>
      </c>
      <c r="D887" t="s">
        <v>1213</v>
      </c>
    </row>
    <row r="888" spans="1:5" x14ac:dyDescent="0.2">
      <c r="A888" s="269">
        <v>45883.675081018519</v>
      </c>
      <c r="B888" t="s">
        <v>594</v>
      </c>
      <c r="C888" t="s">
        <v>101</v>
      </c>
      <c r="D888" t="s">
        <v>1214</v>
      </c>
    </row>
    <row r="889" spans="1:5" x14ac:dyDescent="0.2">
      <c r="A889" s="269">
        <v>45883.675185185188</v>
      </c>
      <c r="B889" t="s">
        <v>594</v>
      </c>
      <c r="C889" t="s">
        <v>101</v>
      </c>
      <c r="D889" t="s">
        <v>1215</v>
      </c>
    </row>
    <row r="890" spans="1:5" x14ac:dyDescent="0.2">
      <c r="A890" s="269">
        <v>45883.675254629627</v>
      </c>
      <c r="B890" t="s">
        <v>594</v>
      </c>
      <c r="C890" t="s">
        <v>101</v>
      </c>
      <c r="D890" t="s">
        <v>1212</v>
      </c>
    </row>
    <row r="891" spans="1:5" x14ac:dyDescent="0.2">
      <c r="A891" s="269">
        <v>45883.676053240742</v>
      </c>
      <c r="B891" t="s">
        <v>594</v>
      </c>
      <c r="C891" t="s">
        <v>56</v>
      </c>
      <c r="D891" t="s">
        <v>934</v>
      </c>
    </row>
    <row r="892" spans="1:5" x14ac:dyDescent="0.2">
      <c r="A892" s="269">
        <v>45883.679444444446</v>
      </c>
      <c r="B892" t="s">
        <v>594</v>
      </c>
      <c r="C892" t="s">
        <v>24</v>
      </c>
      <c r="D892" t="s">
        <v>1216</v>
      </c>
    </row>
    <row r="893" spans="1:5" x14ac:dyDescent="0.2">
      <c r="A893" s="269">
        <v>45883.679537037038</v>
      </c>
      <c r="B893" t="s">
        <v>594</v>
      </c>
      <c r="C893" t="s">
        <v>24</v>
      </c>
      <c r="D893" t="s">
        <v>1217</v>
      </c>
    </row>
    <row r="894" spans="1:5" x14ac:dyDescent="0.2">
      <c r="A894" s="269">
        <v>45883.682129629633</v>
      </c>
      <c r="B894" t="s">
        <v>594</v>
      </c>
      <c r="C894" t="s">
        <v>27</v>
      </c>
      <c r="D894" t="s">
        <v>934</v>
      </c>
    </row>
    <row r="895" spans="1:5" x14ac:dyDescent="0.2">
      <c r="A895" s="269">
        <v>45883.682500000003</v>
      </c>
      <c r="B895" t="s">
        <v>594</v>
      </c>
      <c r="C895" t="s">
        <v>27</v>
      </c>
      <c r="D895" t="s">
        <v>934</v>
      </c>
    </row>
    <row r="896" spans="1:5" x14ac:dyDescent="0.2">
      <c r="A896" s="269">
        <v>45883.682557870372</v>
      </c>
      <c r="B896" t="s">
        <v>594</v>
      </c>
      <c r="C896" t="s">
        <v>27</v>
      </c>
      <c r="D896" t="s">
        <v>1218</v>
      </c>
    </row>
    <row r="897" spans="1:5" x14ac:dyDescent="0.2">
      <c r="A897" s="269">
        <v>45883.682638888888</v>
      </c>
      <c r="B897" t="s">
        <v>594</v>
      </c>
      <c r="C897" t="s">
        <v>27</v>
      </c>
      <c r="D897" t="s">
        <v>1219</v>
      </c>
    </row>
    <row r="898" spans="1:5" x14ac:dyDescent="0.2">
      <c r="A898" s="269">
        <v>45887.74</v>
      </c>
      <c r="B898" t="s">
        <v>590</v>
      </c>
      <c r="C898" t="s">
        <v>27</v>
      </c>
      <c r="D898" t="s">
        <v>775</v>
      </c>
      <c r="E898" t="s">
        <v>138</v>
      </c>
    </row>
    <row r="899" spans="1:5" x14ac:dyDescent="0.2">
      <c r="A899" s="269">
        <v>45887.740023148152</v>
      </c>
      <c r="B899" t="s">
        <v>590</v>
      </c>
      <c r="C899" t="s">
        <v>27</v>
      </c>
      <c r="D899" t="s">
        <v>775</v>
      </c>
      <c r="E899" t="s">
        <v>138</v>
      </c>
    </row>
    <row r="900" spans="1:5" x14ac:dyDescent="0.2">
      <c r="A900" s="269">
        <v>45887.740034722221</v>
      </c>
      <c r="B900" t="s">
        <v>590</v>
      </c>
      <c r="C900" t="s">
        <v>27</v>
      </c>
      <c r="D900" t="s">
        <v>775</v>
      </c>
      <c r="E900" t="s">
        <v>138</v>
      </c>
    </row>
    <row r="901" spans="1:5" x14ac:dyDescent="0.2">
      <c r="A901" s="269">
        <v>45887.740046296298</v>
      </c>
      <c r="B901" t="s">
        <v>590</v>
      </c>
      <c r="C901" t="s">
        <v>27</v>
      </c>
      <c r="D901" t="s">
        <v>775</v>
      </c>
      <c r="E901" t="s">
        <v>138</v>
      </c>
    </row>
    <row r="902" spans="1:5" x14ac:dyDescent="0.2">
      <c r="A902" s="269">
        <v>45887.740069444444</v>
      </c>
      <c r="B902" t="s">
        <v>590</v>
      </c>
      <c r="C902" t="s">
        <v>27</v>
      </c>
      <c r="D902" t="s">
        <v>775</v>
      </c>
      <c r="E902" t="s">
        <v>138</v>
      </c>
    </row>
    <row r="903" spans="1:5" x14ac:dyDescent="0.2">
      <c r="A903" s="269">
        <v>45887.740185185183</v>
      </c>
      <c r="B903" t="s">
        <v>590</v>
      </c>
      <c r="C903" t="s">
        <v>27</v>
      </c>
      <c r="D903" t="s">
        <v>1192</v>
      </c>
      <c r="E903" t="s">
        <v>132</v>
      </c>
    </row>
    <row r="904" spans="1:5" x14ac:dyDescent="0.2">
      <c r="A904" s="269">
        <v>45887.740763888891</v>
      </c>
      <c r="B904" t="s">
        <v>590</v>
      </c>
      <c r="C904" t="s">
        <v>27</v>
      </c>
      <c r="D904" t="s">
        <v>798</v>
      </c>
      <c r="E904" t="s">
        <v>174</v>
      </c>
    </row>
    <row r="905" spans="1:5" x14ac:dyDescent="0.2">
      <c r="A905" s="269">
        <v>45887.740763888891</v>
      </c>
      <c r="B905" t="s">
        <v>590</v>
      </c>
      <c r="C905" t="s">
        <v>27</v>
      </c>
      <c r="D905" t="s">
        <v>760</v>
      </c>
      <c r="E905" t="s">
        <v>37</v>
      </c>
    </row>
    <row r="906" spans="1:5" x14ac:dyDescent="0.2">
      <c r="A906" s="269">
        <v>45887.740856481483</v>
      </c>
      <c r="B906" t="s">
        <v>590</v>
      </c>
      <c r="C906" t="s">
        <v>27</v>
      </c>
      <c r="D906" t="s">
        <v>1220</v>
      </c>
      <c r="E906" t="s">
        <v>170</v>
      </c>
    </row>
    <row r="907" spans="1:5" x14ac:dyDescent="0.2">
      <c r="A907" s="269">
        <v>45887.74114583333</v>
      </c>
      <c r="B907" t="s">
        <v>590</v>
      </c>
      <c r="C907" t="s">
        <v>2</v>
      </c>
      <c r="D907" t="s">
        <v>1221</v>
      </c>
    </row>
    <row r="908" spans="1:5" x14ac:dyDescent="0.2">
      <c r="A908" s="269">
        <v>45887.742974537039</v>
      </c>
      <c r="B908" t="s">
        <v>590</v>
      </c>
      <c r="C908" t="s">
        <v>2</v>
      </c>
      <c r="D908" t="s">
        <v>1135</v>
      </c>
    </row>
    <row r="909" spans="1:5" x14ac:dyDescent="0.2">
      <c r="A909" s="269">
        <v>45887.743032407408</v>
      </c>
      <c r="B909" t="s">
        <v>590</v>
      </c>
      <c r="C909" t="s">
        <v>2</v>
      </c>
      <c r="D909" t="s">
        <v>1136</v>
      </c>
    </row>
    <row r="910" spans="1:5" ht="144" x14ac:dyDescent="0.2">
      <c r="A910" s="269">
        <v>45887.743611111109</v>
      </c>
      <c r="B910" t="s">
        <v>590</v>
      </c>
      <c r="C910" t="s">
        <v>609</v>
      </c>
      <c r="D910" t="s">
        <v>1222</v>
      </c>
      <c r="E910" s="6" t="s">
        <v>1223</v>
      </c>
    </row>
    <row r="911" spans="1:5" x14ac:dyDescent="0.2">
      <c r="A911" s="269">
        <v>45887.753923611112</v>
      </c>
      <c r="B911" t="s">
        <v>590</v>
      </c>
      <c r="C911" t="s">
        <v>25</v>
      </c>
      <c r="D911" t="s">
        <v>1224</v>
      </c>
      <c r="E911" t="s">
        <v>214</v>
      </c>
    </row>
    <row r="912" spans="1:5" x14ac:dyDescent="0.2">
      <c r="A912" s="269">
        <v>45887.754027777781</v>
      </c>
      <c r="B912" t="s">
        <v>590</v>
      </c>
      <c r="C912" t="s">
        <v>25</v>
      </c>
      <c r="D912" t="s">
        <v>1225</v>
      </c>
      <c r="E912" t="s">
        <v>215</v>
      </c>
    </row>
    <row r="913" spans="1:5" x14ac:dyDescent="0.2">
      <c r="A913" s="269">
        <v>45887.754548611112</v>
      </c>
      <c r="B913" t="s">
        <v>590</v>
      </c>
      <c r="C913" t="s">
        <v>24</v>
      </c>
      <c r="D913" t="s">
        <v>1224</v>
      </c>
      <c r="E913" t="s">
        <v>1226</v>
      </c>
    </row>
    <row r="914" spans="1:5" x14ac:dyDescent="0.2">
      <c r="A914" s="269">
        <v>45887.754571759258</v>
      </c>
      <c r="B914" t="s">
        <v>590</v>
      </c>
      <c r="C914" t="s">
        <v>24</v>
      </c>
      <c r="D914" t="s">
        <v>1224</v>
      </c>
      <c r="E914" t="s">
        <v>208</v>
      </c>
    </row>
    <row r="915" spans="1:5" ht="32" x14ac:dyDescent="0.2">
      <c r="A915" s="269">
        <v>45887.755104166667</v>
      </c>
      <c r="B915" t="s">
        <v>590</v>
      </c>
      <c r="C915" t="s">
        <v>2</v>
      </c>
      <c r="D915" t="s">
        <v>1227</v>
      </c>
      <c r="E915" s="6" t="s">
        <v>164</v>
      </c>
    </row>
    <row r="916" spans="1:5" x14ac:dyDescent="0.2">
      <c r="A916" s="269">
        <v>45901.39402777778</v>
      </c>
      <c r="B916" t="s">
        <v>590</v>
      </c>
      <c r="C916" t="s">
        <v>595</v>
      </c>
      <c r="D916" t="s">
        <v>1228</v>
      </c>
      <c r="E916" t="s">
        <v>38</v>
      </c>
    </row>
    <row r="917" spans="1:5" x14ac:dyDescent="0.2">
      <c r="A917" s="269">
        <v>45901.394560185188</v>
      </c>
      <c r="B917" t="s">
        <v>590</v>
      </c>
      <c r="C917" t="s">
        <v>595</v>
      </c>
      <c r="D917" t="s">
        <v>1228</v>
      </c>
      <c r="E917" t="s">
        <v>38</v>
      </c>
    </row>
    <row r="918" spans="1:5" x14ac:dyDescent="0.2">
      <c r="A918" s="269">
        <v>45901.396724537037</v>
      </c>
      <c r="B918" t="s">
        <v>590</v>
      </c>
      <c r="C918" t="s">
        <v>595</v>
      </c>
      <c r="D918" t="s">
        <v>1228</v>
      </c>
      <c r="E918" t="s">
        <v>38</v>
      </c>
    </row>
    <row r="919" spans="1:5" x14ac:dyDescent="0.2">
      <c r="A919" s="269">
        <v>45901.596331018518</v>
      </c>
      <c r="B919" t="s">
        <v>594</v>
      </c>
      <c r="C919" t="s">
        <v>595</v>
      </c>
      <c r="D919" t="s">
        <v>1228</v>
      </c>
      <c r="E919" t="s">
        <v>38</v>
      </c>
    </row>
    <row r="920" spans="1:5" x14ac:dyDescent="0.2">
      <c r="A920" s="269">
        <v>45901.666747685187</v>
      </c>
      <c r="B920" t="s">
        <v>594</v>
      </c>
      <c r="C920" t="s">
        <v>595</v>
      </c>
      <c r="D920" t="s">
        <v>1228</v>
      </c>
      <c r="E920" t="s">
        <v>38</v>
      </c>
    </row>
    <row r="921" spans="1:5" x14ac:dyDescent="0.2">
      <c r="A921" s="269">
        <v>45901.666967592595</v>
      </c>
      <c r="B921" t="s">
        <v>594</v>
      </c>
      <c r="C921" t="s">
        <v>609</v>
      </c>
      <c r="D921" t="s">
        <v>1427</v>
      </c>
      <c r="E921" t="s">
        <v>2</v>
      </c>
    </row>
    <row r="922" spans="1:5" x14ac:dyDescent="0.2">
      <c r="A922" s="269">
        <v>45901.666990740741</v>
      </c>
      <c r="B922" t="s">
        <v>594</v>
      </c>
      <c r="C922" t="s">
        <v>609</v>
      </c>
      <c r="D922" t="s">
        <v>1427</v>
      </c>
      <c r="E922" t="s">
        <v>2</v>
      </c>
    </row>
    <row r="923" spans="1:5" x14ac:dyDescent="0.2">
      <c r="A923" s="269">
        <v>45901.667071759257</v>
      </c>
      <c r="B923" t="s">
        <v>594</v>
      </c>
      <c r="C923" t="s">
        <v>609</v>
      </c>
      <c r="D923" t="s">
        <v>1427</v>
      </c>
      <c r="E923" t="s">
        <v>2</v>
      </c>
    </row>
    <row r="924" spans="1:5" x14ac:dyDescent="0.2">
      <c r="A924" s="269">
        <v>45901.667118055557</v>
      </c>
      <c r="B924" t="s">
        <v>594</v>
      </c>
      <c r="C924" t="s">
        <v>609</v>
      </c>
      <c r="D924" t="s">
        <v>1427</v>
      </c>
      <c r="E924" t="s">
        <v>2</v>
      </c>
    </row>
    <row r="925" spans="1:5" x14ac:dyDescent="0.2">
      <c r="A925" s="269">
        <v>45901.667210648149</v>
      </c>
      <c r="B925" t="s">
        <v>594</v>
      </c>
      <c r="C925" t="s">
        <v>609</v>
      </c>
      <c r="D925" t="s">
        <v>1220</v>
      </c>
      <c r="E925" t="s">
        <v>26</v>
      </c>
    </row>
    <row r="926" spans="1:5" x14ac:dyDescent="0.2">
      <c r="A926" s="269">
        <v>45901.667256944442</v>
      </c>
      <c r="B926" t="s">
        <v>594</v>
      </c>
      <c r="C926" t="s">
        <v>609</v>
      </c>
      <c r="D926" t="s">
        <v>1428</v>
      </c>
      <c r="E926" t="s">
        <v>56</v>
      </c>
    </row>
    <row r="927" spans="1:5" x14ac:dyDescent="0.2">
      <c r="A927" s="269">
        <v>45909.326979166668</v>
      </c>
      <c r="B927" t="s">
        <v>1429</v>
      </c>
      <c r="C927" t="s">
        <v>609</v>
      </c>
      <c r="D927" t="s">
        <v>1430</v>
      </c>
      <c r="E927" t="s">
        <v>10</v>
      </c>
    </row>
    <row r="928" spans="1:5" x14ac:dyDescent="0.2">
      <c r="A928" s="269">
        <v>45909.341319444444</v>
      </c>
      <c r="B928" t="s">
        <v>1429</v>
      </c>
      <c r="C928" t="s">
        <v>609</v>
      </c>
      <c r="D928" t="s">
        <v>1430</v>
      </c>
      <c r="E928" t="s">
        <v>417</v>
      </c>
    </row>
    <row r="929" spans="1:5" x14ac:dyDescent="0.2">
      <c r="A929" s="269">
        <v>45909.341354166667</v>
      </c>
      <c r="B929" t="s">
        <v>1429</v>
      </c>
      <c r="C929" t="s">
        <v>609</v>
      </c>
      <c r="D929" t="s">
        <v>1431</v>
      </c>
      <c r="E929">
        <v>2024</v>
      </c>
    </row>
    <row r="930" spans="1:5" ht="112" x14ac:dyDescent="0.2">
      <c r="A930" s="269">
        <v>45909.342129629629</v>
      </c>
      <c r="B930" t="s">
        <v>1429</v>
      </c>
      <c r="C930" t="s">
        <v>609</v>
      </c>
      <c r="D930" t="s">
        <v>1001</v>
      </c>
      <c r="E930" s="6" t="s">
        <v>1432</v>
      </c>
    </row>
    <row r="931" spans="1:5" x14ac:dyDescent="0.2">
      <c r="A931" s="269">
        <v>45909.342141203706</v>
      </c>
      <c r="B931" t="s">
        <v>1429</v>
      </c>
      <c r="C931" t="s">
        <v>609</v>
      </c>
      <c r="D931" t="s">
        <v>1007</v>
      </c>
      <c r="E931" t="s">
        <v>36</v>
      </c>
    </row>
    <row r="932" spans="1:5" x14ac:dyDescent="0.2">
      <c r="A932" s="269">
        <v>45909.343611111108</v>
      </c>
      <c r="B932" t="s">
        <v>1429</v>
      </c>
      <c r="C932" t="s">
        <v>2</v>
      </c>
      <c r="D932" t="s">
        <v>1433</v>
      </c>
      <c r="E932" t="s">
        <v>417</v>
      </c>
    </row>
    <row r="933" spans="1:5" x14ac:dyDescent="0.2">
      <c r="A933" s="269">
        <v>45909.343645833331</v>
      </c>
      <c r="B933" t="s">
        <v>1429</v>
      </c>
      <c r="C933" t="s">
        <v>2</v>
      </c>
      <c r="D933" t="s">
        <v>1434</v>
      </c>
      <c r="E933">
        <v>2024</v>
      </c>
    </row>
    <row r="934" spans="1:5" x14ac:dyDescent="0.2">
      <c r="A934" s="269">
        <v>45909.34784722222</v>
      </c>
      <c r="B934" t="s">
        <v>1429</v>
      </c>
      <c r="C934" t="s">
        <v>609</v>
      </c>
      <c r="D934" t="s">
        <v>1072</v>
      </c>
      <c r="E934" t="s">
        <v>336</v>
      </c>
    </row>
    <row r="935" spans="1:5" x14ac:dyDescent="0.2">
      <c r="A935" s="269">
        <v>45909.348217592589</v>
      </c>
      <c r="B935" t="s">
        <v>1429</v>
      </c>
      <c r="C935" t="s">
        <v>609</v>
      </c>
      <c r="D935" t="s">
        <v>1435</v>
      </c>
      <c r="E935">
        <v>8.4</v>
      </c>
    </row>
    <row r="936" spans="1:5" x14ac:dyDescent="0.2">
      <c r="A936" s="269">
        <v>45909.351898148147</v>
      </c>
      <c r="B936" t="s">
        <v>1429</v>
      </c>
      <c r="C936" t="s">
        <v>609</v>
      </c>
      <c r="D936" t="s">
        <v>1437</v>
      </c>
      <c r="E936" t="s">
        <v>1436</v>
      </c>
    </row>
    <row r="937" spans="1:5" x14ac:dyDescent="0.2">
      <c r="A937" s="269">
        <v>45909.352592592593</v>
      </c>
      <c r="B937" t="s">
        <v>1429</v>
      </c>
      <c r="C937" t="s">
        <v>609</v>
      </c>
      <c r="D937" t="s">
        <v>1437</v>
      </c>
      <c r="E937" t="s">
        <v>1438</v>
      </c>
    </row>
    <row r="938" spans="1:5" ht="80" x14ac:dyDescent="0.2">
      <c r="A938" s="269">
        <v>45909.356053240743</v>
      </c>
      <c r="B938" t="s">
        <v>1429</v>
      </c>
      <c r="C938" t="s">
        <v>609</v>
      </c>
      <c r="D938" t="s">
        <v>1437</v>
      </c>
      <c r="E938" s="6" t="s">
        <v>1439</v>
      </c>
    </row>
    <row r="939" spans="1:5" ht="96" x14ac:dyDescent="0.2">
      <c r="A939" s="269">
        <v>45909.356365740743</v>
      </c>
      <c r="B939" t="s">
        <v>1429</v>
      </c>
      <c r="C939" t="s">
        <v>609</v>
      </c>
      <c r="D939" t="s">
        <v>1437</v>
      </c>
      <c r="E939" s="6" t="s">
        <v>1440</v>
      </c>
    </row>
    <row r="940" spans="1:5" ht="32" x14ac:dyDescent="0.2">
      <c r="A940" s="269">
        <v>45909.358738425923</v>
      </c>
      <c r="B940" t="s">
        <v>1429</v>
      </c>
      <c r="C940" t="s">
        <v>609</v>
      </c>
      <c r="D940" t="s">
        <v>1163</v>
      </c>
      <c r="E940" s="6" t="s">
        <v>1441</v>
      </c>
    </row>
    <row r="941" spans="1:5" ht="32" x14ac:dyDescent="0.2">
      <c r="A941" s="269">
        <v>45909.35900462963</v>
      </c>
      <c r="B941" t="s">
        <v>1429</v>
      </c>
      <c r="C941" t="s">
        <v>609</v>
      </c>
      <c r="D941" t="s">
        <v>1163</v>
      </c>
      <c r="E941" s="6" t="s">
        <v>1442</v>
      </c>
    </row>
    <row r="942" spans="1:5" ht="96" x14ac:dyDescent="0.2">
      <c r="A942" s="269">
        <v>45909.359120370369</v>
      </c>
      <c r="B942" t="s">
        <v>1429</v>
      </c>
      <c r="C942" t="s">
        <v>609</v>
      </c>
      <c r="D942" t="s">
        <v>1437</v>
      </c>
      <c r="E942" s="6" t="s">
        <v>1443</v>
      </c>
    </row>
    <row r="943" spans="1:5" x14ac:dyDescent="0.2">
      <c r="A943" s="269">
        <v>45909.359456018516</v>
      </c>
      <c r="B943" t="s">
        <v>1429</v>
      </c>
      <c r="C943" t="s">
        <v>609</v>
      </c>
      <c r="D943" t="s">
        <v>1444</v>
      </c>
      <c r="E943" t="s">
        <v>61</v>
      </c>
    </row>
    <row r="944" spans="1:5" x14ac:dyDescent="0.2">
      <c r="A944" s="269">
        <v>45909.37296296296</v>
      </c>
      <c r="B944" t="s">
        <v>1429</v>
      </c>
      <c r="C944" t="s">
        <v>609</v>
      </c>
      <c r="D944" t="s">
        <v>1431</v>
      </c>
      <c r="E944">
        <v>2025</v>
      </c>
    </row>
    <row r="945" spans="1:5" x14ac:dyDescent="0.2">
      <c r="A945" s="269">
        <v>45909.372986111113</v>
      </c>
      <c r="B945" t="s">
        <v>1429</v>
      </c>
      <c r="C945" t="s">
        <v>609</v>
      </c>
      <c r="D945" t="s">
        <v>1431</v>
      </c>
      <c r="E945">
        <v>2024</v>
      </c>
    </row>
    <row r="946" spans="1:5" x14ac:dyDescent="0.2">
      <c r="A946" s="269">
        <v>45909.402222222219</v>
      </c>
      <c r="B946" t="s">
        <v>1429</v>
      </c>
      <c r="C946" t="s">
        <v>609</v>
      </c>
      <c r="D946" t="s">
        <v>1431</v>
      </c>
    </row>
    <row r="947" spans="1:5" x14ac:dyDescent="0.2">
      <c r="A947" s="269">
        <v>45909.402442129627</v>
      </c>
      <c r="B947" t="s">
        <v>1429</v>
      </c>
      <c r="C947" t="s">
        <v>609</v>
      </c>
      <c r="D947" t="s">
        <v>1431</v>
      </c>
      <c r="E947">
        <v>2024</v>
      </c>
    </row>
    <row r="948" spans="1:5" x14ac:dyDescent="0.2">
      <c r="A948" s="269">
        <v>45909.403101851851</v>
      </c>
      <c r="B948" t="s">
        <v>1429</v>
      </c>
      <c r="C948" t="s">
        <v>609</v>
      </c>
      <c r="D948" t="s">
        <v>1445</v>
      </c>
      <c r="E948" t="s">
        <v>336</v>
      </c>
    </row>
    <row r="949" spans="1:5" x14ac:dyDescent="0.2">
      <c r="A949" s="269">
        <v>45909.403321759259</v>
      </c>
      <c r="B949" t="s">
        <v>1429</v>
      </c>
      <c r="C949" t="s">
        <v>609</v>
      </c>
      <c r="D949" t="s">
        <v>1446</v>
      </c>
      <c r="E949">
        <v>60.25</v>
      </c>
    </row>
    <row r="950" spans="1:5" ht="176" x14ac:dyDescent="0.2">
      <c r="A950" s="269">
        <v>45909.446782407409</v>
      </c>
      <c r="B950" t="s">
        <v>1429</v>
      </c>
      <c r="C950" t="s">
        <v>609</v>
      </c>
      <c r="D950" t="s">
        <v>1447</v>
      </c>
      <c r="E950" s="6" t="s">
        <v>1448</v>
      </c>
    </row>
    <row r="951" spans="1:5" x14ac:dyDescent="0.2">
      <c r="A951" s="269">
        <v>45909.446817129632</v>
      </c>
      <c r="B951" t="s">
        <v>1429</v>
      </c>
      <c r="C951" t="s">
        <v>609</v>
      </c>
      <c r="D951" t="s">
        <v>1450</v>
      </c>
      <c r="E951" t="s">
        <v>1449</v>
      </c>
    </row>
    <row r="952" spans="1:5" x14ac:dyDescent="0.2">
      <c r="A952" s="269">
        <v>45909.446886574071</v>
      </c>
      <c r="B952" t="s">
        <v>1429</v>
      </c>
      <c r="C952" t="s">
        <v>609</v>
      </c>
      <c r="D952" t="s">
        <v>1450</v>
      </c>
      <c r="E952" t="s">
        <v>1451</v>
      </c>
    </row>
    <row r="953" spans="1:5" x14ac:dyDescent="0.2">
      <c r="A953" s="269">
        <v>45909.447141203702</v>
      </c>
      <c r="B953" t="s">
        <v>1429</v>
      </c>
      <c r="C953" t="s">
        <v>609</v>
      </c>
      <c r="D953" t="s">
        <v>1450</v>
      </c>
      <c r="E953" t="s">
        <v>75</v>
      </c>
    </row>
    <row r="954" spans="1:5" x14ac:dyDescent="0.2">
      <c r="A954" s="269">
        <v>45909.449872685182</v>
      </c>
      <c r="B954" t="s">
        <v>1429</v>
      </c>
      <c r="C954" t="s">
        <v>609</v>
      </c>
      <c r="D954" t="s">
        <v>1452</v>
      </c>
      <c r="E954">
        <v>33</v>
      </c>
    </row>
    <row r="955" spans="1:5" ht="32" x14ac:dyDescent="0.2">
      <c r="A955" s="269">
        <v>45909.450196759259</v>
      </c>
      <c r="B955" t="s">
        <v>1429</v>
      </c>
      <c r="C955" t="s">
        <v>609</v>
      </c>
      <c r="D955" t="s">
        <v>1454</v>
      </c>
      <c r="E955" s="6" t="s">
        <v>1453</v>
      </c>
    </row>
    <row r="956" spans="1:5" x14ac:dyDescent="0.2">
      <c r="A956" s="269">
        <v>45909.460370370369</v>
      </c>
      <c r="B956" t="s">
        <v>1429</v>
      </c>
      <c r="C956" t="s">
        <v>609</v>
      </c>
      <c r="D956" t="s">
        <v>1455</v>
      </c>
      <c r="E956" t="s">
        <v>350</v>
      </c>
    </row>
    <row r="957" spans="1:5" x14ac:dyDescent="0.2">
      <c r="A957" s="269">
        <v>45909.460555555554</v>
      </c>
      <c r="B957" t="s">
        <v>1429</v>
      </c>
      <c r="C957" t="s">
        <v>609</v>
      </c>
      <c r="D957" t="s">
        <v>1456</v>
      </c>
    </row>
    <row r="958" spans="1:5" x14ac:dyDescent="0.2">
      <c r="A958" s="269">
        <v>45909.460636574076</v>
      </c>
      <c r="B958" t="s">
        <v>1429</v>
      </c>
      <c r="C958" t="s">
        <v>609</v>
      </c>
      <c r="D958" t="s">
        <v>1456</v>
      </c>
      <c r="E958" t="s">
        <v>10</v>
      </c>
    </row>
    <row r="959" spans="1:5" x14ac:dyDescent="0.2">
      <c r="A959" s="269">
        <v>45909.460775462961</v>
      </c>
      <c r="B959" t="s">
        <v>1429</v>
      </c>
      <c r="C959" t="s">
        <v>609</v>
      </c>
      <c r="D959" t="s">
        <v>1456</v>
      </c>
      <c r="E959" t="s">
        <v>336</v>
      </c>
    </row>
    <row r="960" spans="1:5" x14ac:dyDescent="0.2">
      <c r="A960" s="269">
        <v>45909.461111111108</v>
      </c>
      <c r="B960" t="s">
        <v>1429</v>
      </c>
      <c r="C960" t="s">
        <v>609</v>
      </c>
      <c r="D960" t="s">
        <v>1457</v>
      </c>
      <c r="E960" t="s">
        <v>336</v>
      </c>
    </row>
    <row r="961" spans="1:5" x14ac:dyDescent="0.2">
      <c r="A961" s="269">
        <v>45909.462060185186</v>
      </c>
      <c r="B961" t="s">
        <v>1429</v>
      </c>
      <c r="C961" t="s">
        <v>609</v>
      </c>
      <c r="D961" t="s">
        <v>1459</v>
      </c>
      <c r="E961" t="s">
        <v>1458</v>
      </c>
    </row>
    <row r="962" spans="1:5" x14ac:dyDescent="0.2">
      <c r="A962" s="269">
        <v>45909.462199074071</v>
      </c>
      <c r="B962" t="s">
        <v>1429</v>
      </c>
      <c r="C962" t="s">
        <v>609</v>
      </c>
      <c r="D962" t="s">
        <v>1459</v>
      </c>
      <c r="E962" t="s">
        <v>1460</v>
      </c>
    </row>
    <row r="963" spans="1:5" x14ac:dyDescent="0.2">
      <c r="A963" s="269">
        <v>45909.462500000001</v>
      </c>
      <c r="B963" t="s">
        <v>1429</v>
      </c>
      <c r="C963" t="s">
        <v>609</v>
      </c>
      <c r="D963" t="s">
        <v>1461</v>
      </c>
      <c r="E963" t="s">
        <v>336</v>
      </c>
    </row>
    <row r="964" spans="1:5" x14ac:dyDescent="0.2">
      <c r="A964" s="269">
        <v>45909.465115740742</v>
      </c>
      <c r="B964" t="s">
        <v>1429</v>
      </c>
      <c r="C964" t="s">
        <v>609</v>
      </c>
      <c r="D964" t="s">
        <v>1463</v>
      </c>
      <c r="E964" t="s">
        <v>1462</v>
      </c>
    </row>
    <row r="965" spans="1:5" x14ac:dyDescent="0.2">
      <c r="A965" s="269">
        <v>45909.465509259258</v>
      </c>
      <c r="B965" t="s">
        <v>1429</v>
      </c>
      <c r="C965" t="s">
        <v>609</v>
      </c>
      <c r="D965" t="s">
        <v>1464</v>
      </c>
      <c r="E965" t="s">
        <v>336</v>
      </c>
    </row>
    <row r="966" spans="1:5" x14ac:dyDescent="0.2">
      <c r="A966" s="269">
        <v>45909.465520833335</v>
      </c>
      <c r="B966" t="s">
        <v>1429</v>
      </c>
      <c r="C966" t="s">
        <v>609</v>
      </c>
      <c r="D966" t="s">
        <v>1464</v>
      </c>
      <c r="E966" t="s">
        <v>10</v>
      </c>
    </row>
    <row r="967" spans="1:5" x14ac:dyDescent="0.2">
      <c r="A967" s="269">
        <v>45909.465671296297</v>
      </c>
      <c r="B967" t="s">
        <v>1429</v>
      </c>
      <c r="C967" t="s">
        <v>609</v>
      </c>
      <c r="D967" t="s">
        <v>1465</v>
      </c>
      <c r="E967" t="s">
        <v>336</v>
      </c>
    </row>
    <row r="968" spans="1:5" x14ac:dyDescent="0.2">
      <c r="A968" s="269">
        <v>45909.467986111114</v>
      </c>
      <c r="B968" t="s">
        <v>1429</v>
      </c>
      <c r="C968" t="s">
        <v>609</v>
      </c>
      <c r="D968" t="s">
        <v>1466</v>
      </c>
      <c r="E968" t="s">
        <v>122</v>
      </c>
    </row>
    <row r="969" spans="1:5" x14ac:dyDescent="0.2">
      <c r="A969" s="269">
        <v>45909.469560185185</v>
      </c>
      <c r="B969" t="s">
        <v>1429</v>
      </c>
      <c r="C969" t="s">
        <v>101</v>
      </c>
      <c r="D969" t="s">
        <v>1467</v>
      </c>
      <c r="E969" t="s">
        <v>336</v>
      </c>
    </row>
    <row r="970" spans="1:5" x14ac:dyDescent="0.2">
      <c r="A970" s="269">
        <v>45909.469594907408</v>
      </c>
      <c r="B970" t="s">
        <v>1429</v>
      </c>
      <c r="C970" t="s">
        <v>101</v>
      </c>
      <c r="D970" t="s">
        <v>1189</v>
      </c>
      <c r="E970" t="s">
        <v>87</v>
      </c>
    </row>
    <row r="971" spans="1:5" x14ac:dyDescent="0.2">
      <c r="A971" s="269">
        <v>45909.469629629632</v>
      </c>
      <c r="B971" t="s">
        <v>1429</v>
      </c>
      <c r="C971" t="s">
        <v>101</v>
      </c>
      <c r="D971" t="s">
        <v>793</v>
      </c>
      <c r="E971" t="s">
        <v>360</v>
      </c>
    </row>
    <row r="972" spans="1:5" x14ac:dyDescent="0.2">
      <c r="A972" s="269">
        <v>45909.469664351855</v>
      </c>
      <c r="B972" t="s">
        <v>1429</v>
      </c>
      <c r="C972" t="s">
        <v>101</v>
      </c>
      <c r="D972" t="s">
        <v>1011</v>
      </c>
      <c r="E972" t="s">
        <v>369</v>
      </c>
    </row>
    <row r="973" spans="1:5" x14ac:dyDescent="0.2">
      <c r="A973" s="269">
        <v>45909.469687500001</v>
      </c>
      <c r="B973" t="s">
        <v>1429</v>
      </c>
      <c r="C973" t="s">
        <v>101</v>
      </c>
      <c r="D973" t="s">
        <v>745</v>
      </c>
      <c r="E973" t="s">
        <v>377</v>
      </c>
    </row>
    <row r="974" spans="1:5" x14ac:dyDescent="0.2">
      <c r="A974" s="269">
        <v>45909.469722222224</v>
      </c>
      <c r="B974" t="s">
        <v>1429</v>
      </c>
      <c r="C974" t="s">
        <v>101</v>
      </c>
      <c r="D974" t="s">
        <v>1468</v>
      </c>
      <c r="E974" t="s">
        <v>384</v>
      </c>
    </row>
    <row r="975" spans="1:5" x14ac:dyDescent="0.2">
      <c r="A975" s="269">
        <v>45909.469768518517</v>
      </c>
      <c r="B975" t="s">
        <v>1429</v>
      </c>
      <c r="C975" t="s">
        <v>101</v>
      </c>
      <c r="D975" t="s">
        <v>1469</v>
      </c>
      <c r="E975" t="s">
        <v>388</v>
      </c>
    </row>
    <row r="976" spans="1:5" x14ac:dyDescent="0.2">
      <c r="A976" s="269">
        <v>45909.46980324074</v>
      </c>
      <c r="B976" t="s">
        <v>1429</v>
      </c>
      <c r="C976" t="s">
        <v>101</v>
      </c>
      <c r="D976" t="s">
        <v>1470</v>
      </c>
      <c r="E976" t="s">
        <v>40</v>
      </c>
    </row>
    <row r="977" spans="1:5" x14ac:dyDescent="0.2">
      <c r="A977" s="269">
        <v>45909.469872685186</v>
      </c>
      <c r="B977" t="s">
        <v>1429</v>
      </c>
      <c r="C977" t="s">
        <v>101</v>
      </c>
      <c r="D977" t="s">
        <v>670</v>
      </c>
      <c r="E977" t="s">
        <v>395</v>
      </c>
    </row>
    <row r="978" spans="1:5" x14ac:dyDescent="0.2">
      <c r="A978" s="269">
        <v>45909.469930555555</v>
      </c>
      <c r="B978" t="s">
        <v>1429</v>
      </c>
      <c r="C978" t="s">
        <v>101</v>
      </c>
      <c r="D978" t="s">
        <v>672</v>
      </c>
      <c r="E978" t="s">
        <v>398</v>
      </c>
    </row>
    <row r="979" spans="1:5" x14ac:dyDescent="0.2">
      <c r="A979" s="269">
        <v>45909.469988425924</v>
      </c>
      <c r="B979" t="s">
        <v>1429</v>
      </c>
      <c r="C979" t="s">
        <v>101</v>
      </c>
      <c r="D979" t="s">
        <v>673</v>
      </c>
      <c r="E979" t="s">
        <v>402</v>
      </c>
    </row>
    <row r="980" spans="1:5" x14ac:dyDescent="0.2">
      <c r="A980" s="269">
        <v>45909.470034722224</v>
      </c>
      <c r="B980" t="s">
        <v>1429</v>
      </c>
      <c r="C980" t="s">
        <v>101</v>
      </c>
      <c r="D980" t="s">
        <v>674</v>
      </c>
      <c r="E980" t="s">
        <v>405</v>
      </c>
    </row>
    <row r="981" spans="1:5" x14ac:dyDescent="0.2">
      <c r="A981" s="269">
        <v>45909.483784722222</v>
      </c>
      <c r="B981" t="s">
        <v>1429</v>
      </c>
      <c r="C981" t="s">
        <v>101</v>
      </c>
      <c r="D981" t="s">
        <v>981</v>
      </c>
      <c r="E981">
        <v>18690</v>
      </c>
    </row>
    <row r="982" spans="1:5" x14ac:dyDescent="0.2">
      <c r="A982" s="269">
        <v>45909.483831018515</v>
      </c>
      <c r="B982" t="s">
        <v>1429</v>
      </c>
      <c r="C982" t="s">
        <v>101</v>
      </c>
      <c r="D982" t="s">
        <v>1064</v>
      </c>
      <c r="E982">
        <v>20580</v>
      </c>
    </row>
    <row r="983" spans="1:5" x14ac:dyDescent="0.2">
      <c r="A983" s="269">
        <v>45909.483888888892</v>
      </c>
      <c r="B983" t="s">
        <v>1429</v>
      </c>
      <c r="C983" t="s">
        <v>101</v>
      </c>
      <c r="D983" t="s">
        <v>992</v>
      </c>
      <c r="E983">
        <v>17640</v>
      </c>
    </row>
    <row r="984" spans="1:5" x14ac:dyDescent="0.2">
      <c r="A984" s="269">
        <v>45909.483935185184</v>
      </c>
      <c r="B984" t="s">
        <v>1429</v>
      </c>
      <c r="C984" t="s">
        <v>101</v>
      </c>
      <c r="D984" t="s">
        <v>1013</v>
      </c>
      <c r="E984">
        <v>20370</v>
      </c>
    </row>
    <row r="985" spans="1:5" x14ac:dyDescent="0.2">
      <c r="A985" s="269">
        <v>45909.483981481484</v>
      </c>
      <c r="B985" t="s">
        <v>1429</v>
      </c>
      <c r="C985" t="s">
        <v>101</v>
      </c>
      <c r="D985" t="s">
        <v>1016</v>
      </c>
      <c r="E985">
        <v>21000</v>
      </c>
    </row>
    <row r="986" spans="1:5" x14ac:dyDescent="0.2">
      <c r="A986" s="269">
        <v>45909.484039351853</v>
      </c>
      <c r="B986" t="s">
        <v>1429</v>
      </c>
      <c r="C986" t="s">
        <v>101</v>
      </c>
      <c r="D986" t="s">
        <v>1066</v>
      </c>
      <c r="E986">
        <v>20790</v>
      </c>
    </row>
    <row r="987" spans="1:5" x14ac:dyDescent="0.2">
      <c r="A987" s="269">
        <v>45909.484085648146</v>
      </c>
      <c r="B987" t="s">
        <v>1429</v>
      </c>
      <c r="C987" t="s">
        <v>101</v>
      </c>
      <c r="D987" t="s">
        <v>1067</v>
      </c>
      <c r="E987">
        <v>19950</v>
      </c>
    </row>
    <row r="988" spans="1:5" x14ac:dyDescent="0.2">
      <c r="A988" s="269">
        <v>45909.484131944446</v>
      </c>
      <c r="B988" t="s">
        <v>1429</v>
      </c>
      <c r="C988" t="s">
        <v>101</v>
      </c>
      <c r="D988" t="s">
        <v>1471</v>
      </c>
      <c r="E988">
        <v>19950</v>
      </c>
    </row>
    <row r="989" spans="1:5" x14ac:dyDescent="0.2">
      <c r="A989" s="269">
        <v>45909.484166666669</v>
      </c>
      <c r="B989" t="s">
        <v>1429</v>
      </c>
      <c r="C989" t="s">
        <v>101</v>
      </c>
      <c r="D989" t="s">
        <v>1472</v>
      </c>
      <c r="E989">
        <v>21210</v>
      </c>
    </row>
    <row r="990" spans="1:5" x14ac:dyDescent="0.2">
      <c r="A990" s="269">
        <v>45909.484236111108</v>
      </c>
      <c r="B990" t="s">
        <v>1429</v>
      </c>
      <c r="C990" t="s">
        <v>101</v>
      </c>
      <c r="D990" t="s">
        <v>1473</v>
      </c>
      <c r="E990">
        <v>19950</v>
      </c>
    </row>
    <row r="991" spans="1:5" x14ac:dyDescent="0.2">
      <c r="A991" s="269">
        <v>45909.484270833331</v>
      </c>
      <c r="B991" t="s">
        <v>1429</v>
      </c>
      <c r="C991" t="s">
        <v>101</v>
      </c>
      <c r="D991" t="s">
        <v>1474</v>
      </c>
      <c r="E991">
        <v>19950</v>
      </c>
    </row>
    <row r="992" spans="1:5" x14ac:dyDescent="0.2">
      <c r="A992" s="269">
        <v>45909.484317129631</v>
      </c>
      <c r="B992" t="s">
        <v>1429</v>
      </c>
      <c r="C992" t="s">
        <v>101</v>
      </c>
      <c r="D992" t="s">
        <v>1475</v>
      </c>
      <c r="E992">
        <v>20580</v>
      </c>
    </row>
    <row r="993" spans="1:5" x14ac:dyDescent="0.2">
      <c r="A993" s="269">
        <v>45909.484560185185</v>
      </c>
      <c r="B993" t="s">
        <v>1429</v>
      </c>
      <c r="C993" t="s">
        <v>101</v>
      </c>
      <c r="D993" t="s">
        <v>1476</v>
      </c>
      <c r="E993" s="442">
        <v>257176.18</v>
      </c>
    </row>
    <row r="994" spans="1:5" x14ac:dyDescent="0.2">
      <c r="A994" s="269">
        <v>45909.484652777777</v>
      </c>
      <c r="B994" t="s">
        <v>1429</v>
      </c>
      <c r="C994" t="s">
        <v>101</v>
      </c>
      <c r="D994" t="s">
        <v>971</v>
      </c>
      <c r="E994" s="442">
        <v>297727.34999999998</v>
      </c>
    </row>
    <row r="995" spans="1:5" x14ac:dyDescent="0.2">
      <c r="A995" s="269">
        <v>45909.48474537037</v>
      </c>
      <c r="B995" t="s">
        <v>1429</v>
      </c>
      <c r="C995" t="s">
        <v>101</v>
      </c>
      <c r="D995" t="s">
        <v>974</v>
      </c>
      <c r="E995" s="442">
        <v>263978.46999999997</v>
      </c>
    </row>
    <row r="996" spans="1:5" x14ac:dyDescent="0.2">
      <c r="A996" s="269">
        <v>45909.484884259262</v>
      </c>
      <c r="B996" t="s">
        <v>1429</v>
      </c>
      <c r="C996" t="s">
        <v>101</v>
      </c>
      <c r="D996" t="s">
        <v>975</v>
      </c>
      <c r="E996" s="442">
        <v>290721.73</v>
      </c>
    </row>
    <row r="997" spans="1:5" x14ac:dyDescent="0.2">
      <c r="A997" s="269">
        <v>45909.486655092594</v>
      </c>
      <c r="B997" t="s">
        <v>1429</v>
      </c>
      <c r="C997" t="s">
        <v>101</v>
      </c>
      <c r="D997" t="s">
        <v>921</v>
      </c>
      <c r="E997" s="442">
        <v>288452.7</v>
      </c>
    </row>
    <row r="998" spans="1:5" x14ac:dyDescent="0.2">
      <c r="A998" s="269">
        <v>45909.486747685187</v>
      </c>
      <c r="B998" t="s">
        <v>1429</v>
      </c>
      <c r="C998" t="s">
        <v>101</v>
      </c>
      <c r="D998" t="s">
        <v>916</v>
      </c>
      <c r="E998" s="442">
        <v>306437.96000000002</v>
      </c>
    </row>
    <row r="999" spans="1:5" x14ac:dyDescent="0.2">
      <c r="A999" s="269">
        <v>45909.486828703702</v>
      </c>
      <c r="B999" t="s">
        <v>1429</v>
      </c>
      <c r="C999" t="s">
        <v>101</v>
      </c>
      <c r="D999" t="s">
        <v>922</v>
      </c>
      <c r="E999" s="442">
        <v>252104.57</v>
      </c>
    </row>
    <row r="1000" spans="1:5" x14ac:dyDescent="0.2">
      <c r="A1000" s="269">
        <v>45909.486921296295</v>
      </c>
      <c r="B1000" t="s">
        <v>1429</v>
      </c>
      <c r="C1000" t="s">
        <v>101</v>
      </c>
      <c r="D1000" t="s">
        <v>1477</v>
      </c>
      <c r="E1000" s="442">
        <v>264511.46000000002</v>
      </c>
    </row>
    <row r="1001" spans="1:5" x14ac:dyDescent="0.2">
      <c r="A1001" s="269">
        <v>45909.487025462964</v>
      </c>
      <c r="B1001" t="s">
        <v>1429</v>
      </c>
      <c r="C1001" t="s">
        <v>101</v>
      </c>
      <c r="D1001" t="s">
        <v>979</v>
      </c>
      <c r="E1001" s="442">
        <v>260656.78</v>
      </c>
    </row>
    <row r="1002" spans="1:5" x14ac:dyDescent="0.2">
      <c r="A1002" s="269">
        <v>45909.48710648148</v>
      </c>
      <c r="B1002" t="s">
        <v>1429</v>
      </c>
      <c r="C1002" t="s">
        <v>101</v>
      </c>
      <c r="D1002" t="s">
        <v>1478</v>
      </c>
      <c r="E1002" s="442">
        <v>247990.48</v>
      </c>
    </row>
    <row r="1003" spans="1:5" x14ac:dyDescent="0.2">
      <c r="A1003" s="269">
        <v>45909.487187500003</v>
      </c>
      <c r="B1003" t="s">
        <v>1429</v>
      </c>
      <c r="C1003" t="s">
        <v>101</v>
      </c>
      <c r="D1003" t="s">
        <v>1479</v>
      </c>
      <c r="E1003" s="442">
        <v>260224.35</v>
      </c>
    </row>
    <row r="1004" spans="1:5" x14ac:dyDescent="0.2">
      <c r="A1004" s="269">
        <v>45909.487256944441</v>
      </c>
      <c r="B1004" t="s">
        <v>1429</v>
      </c>
      <c r="C1004" t="s">
        <v>101</v>
      </c>
      <c r="D1004" t="s">
        <v>1480</v>
      </c>
      <c r="E1004" s="442">
        <v>267117.96000000002</v>
      </c>
    </row>
    <row r="1005" spans="1:5" x14ac:dyDescent="0.2">
      <c r="A1005" s="269">
        <v>45909.487881944442</v>
      </c>
      <c r="B1005" t="s">
        <v>1429</v>
      </c>
      <c r="C1005" t="s">
        <v>101</v>
      </c>
      <c r="D1005" t="s">
        <v>935</v>
      </c>
      <c r="E1005" t="s">
        <v>500</v>
      </c>
    </row>
    <row r="1006" spans="1:5" x14ac:dyDescent="0.2">
      <c r="A1006" s="269">
        <v>45909.487928240742</v>
      </c>
      <c r="B1006" t="s">
        <v>1429</v>
      </c>
      <c r="C1006" t="s">
        <v>101</v>
      </c>
      <c r="D1006" t="s">
        <v>935</v>
      </c>
      <c r="E1006" t="s">
        <v>501</v>
      </c>
    </row>
    <row r="1007" spans="1:5" x14ac:dyDescent="0.2">
      <c r="A1007" s="269">
        <v>45909.48809027778</v>
      </c>
      <c r="B1007" t="s">
        <v>1429</v>
      </c>
      <c r="C1007" t="s">
        <v>101</v>
      </c>
      <c r="D1007" t="s">
        <v>935</v>
      </c>
      <c r="E1007" t="s">
        <v>501</v>
      </c>
    </row>
    <row r="1008" spans="1:5" x14ac:dyDescent="0.2">
      <c r="A1008" s="269">
        <v>45909.48809027778</v>
      </c>
      <c r="B1008" t="s">
        <v>1429</v>
      </c>
      <c r="C1008" t="s">
        <v>101</v>
      </c>
      <c r="D1008" t="s">
        <v>935</v>
      </c>
      <c r="E1008" t="s">
        <v>501</v>
      </c>
    </row>
    <row r="1009" spans="1:5" x14ac:dyDescent="0.2">
      <c r="A1009" s="269">
        <v>45909.48810185185</v>
      </c>
      <c r="B1009" t="s">
        <v>1429</v>
      </c>
      <c r="C1009" t="s">
        <v>101</v>
      </c>
      <c r="D1009" t="s">
        <v>935</v>
      </c>
      <c r="E1009" t="s">
        <v>501</v>
      </c>
    </row>
    <row r="1010" spans="1:5" x14ac:dyDescent="0.2">
      <c r="A1010" s="269">
        <v>45909.488171296296</v>
      </c>
      <c r="B1010" t="s">
        <v>1429</v>
      </c>
      <c r="C1010" t="s">
        <v>101</v>
      </c>
      <c r="D1010" t="s">
        <v>924</v>
      </c>
      <c r="E1010" t="s">
        <v>501</v>
      </c>
    </row>
    <row r="1011" spans="1:5" x14ac:dyDescent="0.2">
      <c r="A1011" s="269">
        <v>45909.488194444442</v>
      </c>
      <c r="B1011" t="s">
        <v>1429</v>
      </c>
      <c r="C1011" t="s">
        <v>101</v>
      </c>
      <c r="D1011" t="s">
        <v>872</v>
      </c>
      <c r="E1011" t="s">
        <v>501</v>
      </c>
    </row>
    <row r="1012" spans="1:5" x14ac:dyDescent="0.2">
      <c r="A1012" s="269">
        <v>45909.488229166665</v>
      </c>
      <c r="B1012" t="s">
        <v>1429</v>
      </c>
      <c r="C1012" t="s">
        <v>101</v>
      </c>
      <c r="D1012" t="s">
        <v>1481</v>
      </c>
      <c r="E1012" t="s">
        <v>501</v>
      </c>
    </row>
    <row r="1013" spans="1:5" x14ac:dyDescent="0.2">
      <c r="A1013" s="269">
        <v>45909.488287037035</v>
      </c>
      <c r="B1013" t="s">
        <v>1429</v>
      </c>
      <c r="C1013" t="s">
        <v>101</v>
      </c>
      <c r="D1013" t="s">
        <v>1482</v>
      </c>
      <c r="E1013" t="s">
        <v>501</v>
      </c>
    </row>
    <row r="1014" spans="1:5" x14ac:dyDescent="0.2">
      <c r="A1014" s="269">
        <v>45909.488310185188</v>
      </c>
      <c r="B1014" t="s">
        <v>1429</v>
      </c>
      <c r="C1014" t="s">
        <v>101</v>
      </c>
      <c r="D1014" t="s">
        <v>1483</v>
      </c>
      <c r="E1014" t="s">
        <v>501</v>
      </c>
    </row>
    <row r="1015" spans="1:5" x14ac:dyDescent="0.2">
      <c r="A1015" s="269">
        <v>45909.488333333335</v>
      </c>
      <c r="B1015" t="s">
        <v>1429</v>
      </c>
      <c r="C1015" t="s">
        <v>101</v>
      </c>
      <c r="D1015" t="s">
        <v>1484</v>
      </c>
      <c r="E1015" t="s">
        <v>501</v>
      </c>
    </row>
    <row r="1016" spans="1:5" x14ac:dyDescent="0.2">
      <c r="A1016" s="269">
        <v>45909.488356481481</v>
      </c>
      <c r="B1016" t="s">
        <v>1429</v>
      </c>
      <c r="C1016" t="s">
        <v>101</v>
      </c>
      <c r="D1016" t="s">
        <v>1485</v>
      </c>
      <c r="E1016" t="s">
        <v>501</v>
      </c>
    </row>
    <row r="1017" spans="1:5" x14ac:dyDescent="0.2">
      <c r="A1017" s="269">
        <v>45909.488379629627</v>
      </c>
      <c r="B1017" t="s">
        <v>1429</v>
      </c>
      <c r="C1017" t="s">
        <v>101</v>
      </c>
      <c r="D1017" t="s">
        <v>1486</v>
      </c>
      <c r="E1017" t="s">
        <v>501</v>
      </c>
    </row>
    <row r="1018" spans="1:5" x14ac:dyDescent="0.2">
      <c r="A1018" s="269">
        <v>45909.488391203704</v>
      </c>
      <c r="B1018" t="s">
        <v>1429</v>
      </c>
      <c r="C1018" t="s">
        <v>101</v>
      </c>
      <c r="D1018" t="s">
        <v>1487</v>
      </c>
      <c r="E1018" t="s">
        <v>501</v>
      </c>
    </row>
    <row r="1019" spans="1:5" x14ac:dyDescent="0.2">
      <c r="A1019" s="269">
        <v>45909.48841435185</v>
      </c>
      <c r="B1019" t="s">
        <v>1429</v>
      </c>
      <c r="C1019" t="s">
        <v>101</v>
      </c>
      <c r="D1019" t="s">
        <v>1488</v>
      </c>
      <c r="E1019" t="s">
        <v>501</v>
      </c>
    </row>
    <row r="1020" spans="1:5" x14ac:dyDescent="0.2">
      <c r="A1020" s="269">
        <v>45909.488425925927</v>
      </c>
      <c r="B1020" t="s">
        <v>1429</v>
      </c>
      <c r="C1020" t="s">
        <v>101</v>
      </c>
      <c r="D1020" t="s">
        <v>1489</v>
      </c>
      <c r="E1020" t="s">
        <v>501</v>
      </c>
    </row>
    <row r="1021" spans="1:5" x14ac:dyDescent="0.2">
      <c r="A1021" s="269">
        <v>45909.489120370374</v>
      </c>
      <c r="B1021" t="s">
        <v>1429</v>
      </c>
      <c r="C1021" t="s">
        <v>101</v>
      </c>
      <c r="D1021" t="s">
        <v>1491</v>
      </c>
      <c r="E1021" t="s">
        <v>1490</v>
      </c>
    </row>
    <row r="1022" spans="1:5" x14ac:dyDescent="0.2">
      <c r="A1022" s="269">
        <v>45909.489201388889</v>
      </c>
      <c r="B1022" t="s">
        <v>1429</v>
      </c>
      <c r="C1022" t="s">
        <v>101</v>
      </c>
      <c r="D1022" t="s">
        <v>1064</v>
      </c>
    </row>
    <row r="1023" spans="1:5" x14ac:dyDescent="0.2">
      <c r="A1023" s="269">
        <v>45909.489212962966</v>
      </c>
      <c r="B1023" t="s">
        <v>1429</v>
      </c>
      <c r="C1023" t="s">
        <v>101</v>
      </c>
      <c r="D1023" t="s">
        <v>1064</v>
      </c>
      <c r="E1023">
        <v>20580</v>
      </c>
    </row>
    <row r="1024" spans="1:5" x14ac:dyDescent="0.2">
      <c r="A1024" s="269">
        <v>45909.490856481483</v>
      </c>
      <c r="B1024" t="s">
        <v>1429</v>
      </c>
      <c r="C1024" t="s">
        <v>25</v>
      </c>
      <c r="D1024" t="s">
        <v>1467</v>
      </c>
      <c r="E1024" t="s">
        <v>336</v>
      </c>
    </row>
    <row r="1025" spans="1:5" x14ac:dyDescent="0.2">
      <c r="A1025" s="269">
        <v>45909.490879629629</v>
      </c>
      <c r="B1025" t="s">
        <v>1429</v>
      </c>
      <c r="C1025" t="s">
        <v>25</v>
      </c>
      <c r="D1025" t="s">
        <v>1189</v>
      </c>
      <c r="E1025" t="s">
        <v>87</v>
      </c>
    </row>
    <row r="1026" spans="1:5" x14ac:dyDescent="0.2">
      <c r="A1026" s="269">
        <v>45909.490902777776</v>
      </c>
      <c r="B1026" t="s">
        <v>1429</v>
      </c>
      <c r="C1026" t="s">
        <v>25</v>
      </c>
      <c r="D1026" t="s">
        <v>793</v>
      </c>
      <c r="E1026" t="s">
        <v>360</v>
      </c>
    </row>
    <row r="1027" spans="1:5" x14ac:dyDescent="0.2">
      <c r="A1027" s="269">
        <v>45909.490937499999</v>
      </c>
      <c r="B1027" t="s">
        <v>1429</v>
      </c>
      <c r="C1027" t="s">
        <v>25</v>
      </c>
      <c r="D1027" t="s">
        <v>1011</v>
      </c>
      <c r="E1027" t="s">
        <v>369</v>
      </c>
    </row>
    <row r="1028" spans="1:5" x14ac:dyDescent="0.2">
      <c r="A1028" s="269">
        <v>45909.490972222222</v>
      </c>
      <c r="B1028" t="s">
        <v>1429</v>
      </c>
      <c r="C1028" t="s">
        <v>25</v>
      </c>
      <c r="D1028" t="s">
        <v>745</v>
      </c>
      <c r="E1028" t="s">
        <v>377</v>
      </c>
    </row>
    <row r="1029" spans="1:5" x14ac:dyDescent="0.2">
      <c r="A1029" s="269">
        <v>45909.491006944445</v>
      </c>
      <c r="B1029" t="s">
        <v>1429</v>
      </c>
      <c r="C1029" t="s">
        <v>25</v>
      </c>
      <c r="D1029" t="s">
        <v>745</v>
      </c>
      <c r="E1029" t="s">
        <v>377</v>
      </c>
    </row>
    <row r="1030" spans="1:5" x14ac:dyDescent="0.2">
      <c r="A1030" s="269">
        <v>45909.491041666668</v>
      </c>
      <c r="B1030" t="s">
        <v>1429</v>
      </c>
      <c r="C1030" t="s">
        <v>25</v>
      </c>
      <c r="D1030" t="s">
        <v>1468</v>
      </c>
      <c r="E1030" t="s">
        <v>384</v>
      </c>
    </row>
    <row r="1031" spans="1:5" x14ac:dyDescent="0.2">
      <c r="A1031" s="269">
        <v>45909.491064814814</v>
      </c>
      <c r="B1031" t="s">
        <v>1429</v>
      </c>
      <c r="C1031" t="s">
        <v>25</v>
      </c>
      <c r="D1031" t="s">
        <v>1469</v>
      </c>
      <c r="E1031" t="s">
        <v>388</v>
      </c>
    </row>
    <row r="1032" spans="1:5" x14ac:dyDescent="0.2">
      <c r="A1032" s="269">
        <v>45909.491111111114</v>
      </c>
      <c r="B1032" t="s">
        <v>1429</v>
      </c>
      <c r="C1032" t="s">
        <v>25</v>
      </c>
      <c r="D1032" t="s">
        <v>1470</v>
      </c>
      <c r="E1032" t="s">
        <v>40</v>
      </c>
    </row>
    <row r="1033" spans="1:5" x14ac:dyDescent="0.2">
      <c r="A1033" s="269">
        <v>45909.491168981483</v>
      </c>
      <c r="B1033" t="s">
        <v>1429</v>
      </c>
      <c r="C1033" t="s">
        <v>25</v>
      </c>
      <c r="D1033" t="s">
        <v>670</v>
      </c>
      <c r="E1033" t="s">
        <v>395</v>
      </c>
    </row>
    <row r="1034" spans="1:5" x14ac:dyDescent="0.2">
      <c r="A1034" s="269">
        <v>45909.491238425922</v>
      </c>
      <c r="B1034" t="s">
        <v>1429</v>
      </c>
      <c r="C1034" t="s">
        <v>25</v>
      </c>
      <c r="D1034" t="s">
        <v>672</v>
      </c>
      <c r="E1034" t="s">
        <v>398</v>
      </c>
    </row>
    <row r="1035" spans="1:5" x14ac:dyDescent="0.2">
      <c r="A1035" s="269">
        <v>45909.491296296299</v>
      </c>
      <c r="B1035" t="s">
        <v>1429</v>
      </c>
      <c r="C1035" t="s">
        <v>25</v>
      </c>
      <c r="D1035" t="s">
        <v>673</v>
      </c>
      <c r="E1035" t="s">
        <v>402</v>
      </c>
    </row>
    <row r="1036" spans="1:5" x14ac:dyDescent="0.2">
      <c r="A1036" s="269">
        <v>45909.491331018522</v>
      </c>
      <c r="B1036" t="s">
        <v>1429</v>
      </c>
      <c r="C1036" t="s">
        <v>25</v>
      </c>
      <c r="D1036" t="s">
        <v>674</v>
      </c>
      <c r="E1036" t="s">
        <v>405</v>
      </c>
    </row>
    <row r="1037" spans="1:5" x14ac:dyDescent="0.2">
      <c r="A1037" s="269">
        <v>45909.491400462961</v>
      </c>
      <c r="B1037" t="s">
        <v>1429</v>
      </c>
      <c r="C1037" t="s">
        <v>25</v>
      </c>
      <c r="D1037" t="s">
        <v>981</v>
      </c>
      <c r="E1037" t="s">
        <v>122</v>
      </c>
    </row>
    <row r="1038" spans="1:5" x14ac:dyDescent="0.2">
      <c r="A1038" s="269">
        <v>45909.491446759261</v>
      </c>
      <c r="B1038" t="s">
        <v>1429</v>
      </c>
      <c r="C1038" t="s">
        <v>25</v>
      </c>
      <c r="D1038" t="s">
        <v>1064</v>
      </c>
      <c r="E1038" t="s">
        <v>122</v>
      </c>
    </row>
    <row r="1039" spans="1:5" x14ac:dyDescent="0.2">
      <c r="A1039" s="269">
        <v>45909.49145833333</v>
      </c>
      <c r="B1039" t="s">
        <v>1429</v>
      </c>
      <c r="C1039" t="s">
        <v>25</v>
      </c>
      <c r="D1039" t="s">
        <v>992</v>
      </c>
      <c r="E1039" t="s">
        <v>122</v>
      </c>
    </row>
    <row r="1040" spans="1:5" x14ac:dyDescent="0.2">
      <c r="A1040" s="269">
        <v>45909.491469907407</v>
      </c>
      <c r="B1040" t="s">
        <v>1429</v>
      </c>
      <c r="C1040" t="s">
        <v>25</v>
      </c>
      <c r="D1040" t="s">
        <v>1013</v>
      </c>
      <c r="E1040" t="s">
        <v>122</v>
      </c>
    </row>
    <row r="1041" spans="1:5" x14ac:dyDescent="0.2">
      <c r="A1041" s="269">
        <v>45909.49150462963</v>
      </c>
      <c r="B1041" t="s">
        <v>1429</v>
      </c>
      <c r="C1041" t="s">
        <v>25</v>
      </c>
      <c r="D1041" t="s">
        <v>1016</v>
      </c>
      <c r="E1041" t="s">
        <v>122</v>
      </c>
    </row>
    <row r="1042" spans="1:5" x14ac:dyDescent="0.2">
      <c r="A1042" s="269">
        <v>45909.491516203707</v>
      </c>
      <c r="B1042" t="s">
        <v>1429</v>
      </c>
      <c r="C1042" t="s">
        <v>25</v>
      </c>
      <c r="D1042" t="s">
        <v>1066</v>
      </c>
      <c r="E1042" t="s">
        <v>122</v>
      </c>
    </row>
    <row r="1043" spans="1:5" x14ac:dyDescent="0.2">
      <c r="A1043" s="269">
        <v>45909.491539351853</v>
      </c>
      <c r="B1043" t="s">
        <v>1429</v>
      </c>
      <c r="C1043" t="s">
        <v>25</v>
      </c>
      <c r="D1043" t="s">
        <v>1067</v>
      </c>
      <c r="E1043" t="s">
        <v>122</v>
      </c>
    </row>
    <row r="1044" spans="1:5" x14ac:dyDescent="0.2">
      <c r="A1044" s="269">
        <v>45909.491597222222</v>
      </c>
      <c r="B1044" t="s">
        <v>1429</v>
      </c>
      <c r="C1044" t="s">
        <v>25</v>
      </c>
      <c r="D1044" t="s">
        <v>1471</v>
      </c>
      <c r="E1044" t="s">
        <v>122</v>
      </c>
    </row>
    <row r="1045" spans="1:5" x14ac:dyDescent="0.2">
      <c r="A1045" s="269">
        <v>45909.491620370369</v>
      </c>
      <c r="B1045" t="s">
        <v>1429</v>
      </c>
      <c r="C1045" t="s">
        <v>25</v>
      </c>
      <c r="D1045" t="s">
        <v>1472</v>
      </c>
      <c r="E1045" t="s">
        <v>122</v>
      </c>
    </row>
    <row r="1046" spans="1:5" x14ac:dyDescent="0.2">
      <c r="A1046" s="269">
        <v>45909.491631944446</v>
      </c>
      <c r="B1046" t="s">
        <v>1429</v>
      </c>
      <c r="C1046" t="s">
        <v>25</v>
      </c>
      <c r="D1046" t="s">
        <v>1473</v>
      </c>
      <c r="E1046" t="s">
        <v>122</v>
      </c>
    </row>
    <row r="1047" spans="1:5" x14ac:dyDescent="0.2">
      <c r="A1047" s="269">
        <v>45909.491643518515</v>
      </c>
      <c r="B1047" t="s">
        <v>1429</v>
      </c>
      <c r="C1047" t="s">
        <v>25</v>
      </c>
      <c r="D1047" t="s">
        <v>1474</v>
      </c>
      <c r="E1047" t="s">
        <v>122</v>
      </c>
    </row>
    <row r="1048" spans="1:5" x14ac:dyDescent="0.2">
      <c r="A1048" s="269">
        <v>45909.491655092592</v>
      </c>
      <c r="B1048" t="s">
        <v>1429</v>
      </c>
      <c r="C1048" t="s">
        <v>25</v>
      </c>
      <c r="D1048" t="s">
        <v>1475</v>
      </c>
      <c r="E1048" t="s">
        <v>122</v>
      </c>
    </row>
    <row r="1049" spans="1:5" x14ac:dyDescent="0.2">
      <c r="A1049" s="269">
        <v>45909.493090277778</v>
      </c>
      <c r="B1049" t="s">
        <v>1429</v>
      </c>
      <c r="C1049" t="s">
        <v>101</v>
      </c>
      <c r="D1049" t="s">
        <v>656</v>
      </c>
      <c r="E1049" t="s">
        <v>1492</v>
      </c>
    </row>
    <row r="1050" spans="1:5" x14ac:dyDescent="0.2">
      <c r="A1050" s="269">
        <v>45909.493587962963</v>
      </c>
      <c r="B1050" t="s">
        <v>1429</v>
      </c>
      <c r="C1050" t="s">
        <v>101</v>
      </c>
      <c r="D1050" t="s">
        <v>656</v>
      </c>
      <c r="E1050" t="s">
        <v>1493</v>
      </c>
    </row>
    <row r="1051" spans="1:5" x14ac:dyDescent="0.2">
      <c r="A1051" s="269">
        <v>45909.494120370371</v>
      </c>
      <c r="B1051" t="s">
        <v>1429</v>
      </c>
      <c r="C1051" t="s">
        <v>101</v>
      </c>
      <c r="D1051" t="s">
        <v>954</v>
      </c>
      <c r="E1051" t="s">
        <v>955</v>
      </c>
    </row>
    <row r="1052" spans="1:5" x14ac:dyDescent="0.2">
      <c r="A1052" s="269">
        <v>45909.494120370371</v>
      </c>
      <c r="B1052" t="s">
        <v>1429</v>
      </c>
      <c r="C1052" t="s">
        <v>101</v>
      </c>
      <c r="D1052" t="s">
        <v>823</v>
      </c>
    </row>
    <row r="1053" spans="1:5" x14ac:dyDescent="0.2">
      <c r="A1053" s="269">
        <v>45909.494189814817</v>
      </c>
      <c r="B1053" t="s">
        <v>1429</v>
      </c>
      <c r="C1053" t="s">
        <v>101</v>
      </c>
      <c r="D1053" t="s">
        <v>954</v>
      </c>
      <c r="E1053" t="s">
        <v>52</v>
      </c>
    </row>
    <row r="1054" spans="1:5" x14ac:dyDescent="0.2">
      <c r="A1054" s="269">
        <v>45909.494189814817</v>
      </c>
      <c r="B1054" t="s">
        <v>1429</v>
      </c>
      <c r="C1054" t="s">
        <v>101</v>
      </c>
      <c r="D1054" t="s">
        <v>1494</v>
      </c>
    </row>
    <row r="1055" spans="1:5" x14ac:dyDescent="0.2">
      <c r="A1055" s="269">
        <v>45909.49490740741</v>
      </c>
      <c r="B1055" t="s">
        <v>1429</v>
      </c>
      <c r="C1055" t="s">
        <v>101</v>
      </c>
      <c r="D1055" t="s">
        <v>1496</v>
      </c>
      <c r="E1055" t="s">
        <v>1495</v>
      </c>
    </row>
    <row r="1056" spans="1:5" x14ac:dyDescent="0.2">
      <c r="A1056" s="269">
        <v>45909.495671296296</v>
      </c>
      <c r="B1056" t="s">
        <v>1429</v>
      </c>
      <c r="C1056" t="s">
        <v>101</v>
      </c>
      <c r="D1056" t="s">
        <v>994</v>
      </c>
      <c r="E1056" t="s">
        <v>1497</v>
      </c>
    </row>
    <row r="1057" spans="1:5" x14ac:dyDescent="0.2">
      <c r="A1057" s="269">
        <v>45909.496006944442</v>
      </c>
      <c r="B1057" t="s">
        <v>1429</v>
      </c>
      <c r="C1057" t="s">
        <v>101</v>
      </c>
      <c r="D1057" t="s">
        <v>1499</v>
      </c>
      <c r="E1057" t="s">
        <v>1498</v>
      </c>
    </row>
    <row r="1058" spans="1:5" x14ac:dyDescent="0.2">
      <c r="A1058" s="269">
        <v>45909.499479166669</v>
      </c>
      <c r="B1058" t="s">
        <v>1429</v>
      </c>
      <c r="C1058" t="s">
        <v>101</v>
      </c>
      <c r="D1058" t="s">
        <v>1017</v>
      </c>
      <c r="E1058" t="s">
        <v>1500</v>
      </c>
    </row>
    <row r="1059" spans="1:5" x14ac:dyDescent="0.2">
      <c r="A1059" s="269">
        <v>45909.499675925923</v>
      </c>
      <c r="B1059" t="s">
        <v>1429</v>
      </c>
      <c r="C1059" t="s">
        <v>101</v>
      </c>
      <c r="D1059" t="s">
        <v>1502</v>
      </c>
      <c r="E1059" t="s">
        <v>1501</v>
      </c>
    </row>
    <row r="1060" spans="1:5" x14ac:dyDescent="0.2">
      <c r="A1060" s="269">
        <v>45909.499942129631</v>
      </c>
      <c r="B1060" t="s">
        <v>1429</v>
      </c>
      <c r="C1060" t="s">
        <v>101</v>
      </c>
      <c r="D1060" t="s">
        <v>1504</v>
      </c>
      <c r="E1060" t="s">
        <v>1503</v>
      </c>
    </row>
    <row r="1061" spans="1:5" x14ac:dyDescent="0.2">
      <c r="A1061" s="269">
        <v>45909.500381944446</v>
      </c>
      <c r="B1061" t="s">
        <v>1429</v>
      </c>
      <c r="C1061" t="s">
        <v>101</v>
      </c>
      <c r="D1061" t="s">
        <v>1506</v>
      </c>
      <c r="E1061" t="s">
        <v>1505</v>
      </c>
    </row>
    <row r="1062" spans="1:5" x14ac:dyDescent="0.2">
      <c r="A1062" s="269">
        <v>45909.500960648147</v>
      </c>
      <c r="B1062" t="s">
        <v>1429</v>
      </c>
      <c r="C1062" t="s">
        <v>101</v>
      </c>
      <c r="D1062" t="s">
        <v>1508</v>
      </c>
      <c r="E1062" t="s">
        <v>1507</v>
      </c>
    </row>
    <row r="1063" spans="1:5" x14ac:dyDescent="0.2">
      <c r="A1063" s="269">
        <v>45909.50141203704</v>
      </c>
      <c r="B1063" t="s">
        <v>1429</v>
      </c>
      <c r="C1063" t="s">
        <v>101</v>
      </c>
      <c r="D1063" t="s">
        <v>1510</v>
      </c>
      <c r="E1063" t="s">
        <v>1509</v>
      </c>
    </row>
    <row r="1064" spans="1:5" x14ac:dyDescent="0.2">
      <c r="A1064" s="269">
        <v>45909.501701388886</v>
      </c>
      <c r="B1064" t="s">
        <v>1429</v>
      </c>
      <c r="C1064" t="s">
        <v>101</v>
      </c>
      <c r="D1064" t="s">
        <v>1512</v>
      </c>
      <c r="E1064" t="s">
        <v>1511</v>
      </c>
    </row>
    <row r="1065" spans="1:5" x14ac:dyDescent="0.2">
      <c r="A1065" s="269">
        <v>45909.501840277779</v>
      </c>
      <c r="B1065" t="s">
        <v>1429</v>
      </c>
      <c r="C1065" t="s">
        <v>101</v>
      </c>
      <c r="D1065" t="s">
        <v>1514</v>
      </c>
      <c r="E1065" t="s">
        <v>1513</v>
      </c>
    </row>
    <row r="1066" spans="1:5" x14ac:dyDescent="0.2">
      <c r="A1066" s="269">
        <v>45909.501921296294</v>
      </c>
      <c r="B1066" t="s">
        <v>1429</v>
      </c>
      <c r="C1066" t="s">
        <v>101</v>
      </c>
      <c r="D1066" t="s">
        <v>1496</v>
      </c>
      <c r="E1066" t="s">
        <v>1515</v>
      </c>
    </row>
    <row r="1067" spans="1:5" x14ac:dyDescent="0.2">
      <c r="A1067" s="269">
        <v>45909.501979166664</v>
      </c>
      <c r="B1067" t="s">
        <v>1429</v>
      </c>
      <c r="C1067" t="s">
        <v>101</v>
      </c>
      <c r="D1067" t="s">
        <v>994</v>
      </c>
      <c r="E1067" t="s">
        <v>1516</v>
      </c>
    </row>
    <row r="1068" spans="1:5" x14ac:dyDescent="0.2">
      <c r="A1068" s="269">
        <v>45909.507430555554</v>
      </c>
      <c r="B1068" t="s">
        <v>1429</v>
      </c>
      <c r="C1068" t="s">
        <v>25</v>
      </c>
      <c r="D1068" t="s">
        <v>1476</v>
      </c>
      <c r="E1068">
        <v>220</v>
      </c>
    </row>
    <row r="1069" spans="1:5" x14ac:dyDescent="0.2">
      <c r="A1069" s="269">
        <v>45909.507743055554</v>
      </c>
      <c r="B1069" t="s">
        <v>1429</v>
      </c>
      <c r="C1069" t="s">
        <v>25</v>
      </c>
      <c r="D1069" t="s">
        <v>935</v>
      </c>
      <c r="E1069" t="s">
        <v>1517</v>
      </c>
    </row>
    <row r="1070" spans="1:5" x14ac:dyDescent="0.2">
      <c r="A1070" s="269">
        <v>45909.507905092592</v>
      </c>
      <c r="B1070" t="s">
        <v>1429</v>
      </c>
      <c r="C1070" t="s">
        <v>25</v>
      </c>
      <c r="D1070" t="s">
        <v>971</v>
      </c>
      <c r="E1070">
        <v>190</v>
      </c>
    </row>
    <row r="1071" spans="1:5" x14ac:dyDescent="0.2">
      <c r="A1071" s="269">
        <v>45909.508368055554</v>
      </c>
      <c r="B1071" t="s">
        <v>1429</v>
      </c>
      <c r="C1071" t="s">
        <v>25</v>
      </c>
      <c r="D1071" t="s">
        <v>924</v>
      </c>
      <c r="E1071" t="s">
        <v>1518</v>
      </c>
    </row>
    <row r="1072" spans="1:5" x14ac:dyDescent="0.2">
      <c r="A1072" s="269">
        <v>45909.508726851855</v>
      </c>
      <c r="B1072" t="s">
        <v>1429</v>
      </c>
      <c r="C1072" t="s">
        <v>25</v>
      </c>
      <c r="D1072" t="s">
        <v>974</v>
      </c>
      <c r="E1072">
        <v>229</v>
      </c>
    </row>
    <row r="1073" spans="1:5" x14ac:dyDescent="0.2">
      <c r="A1073" s="269">
        <v>45909.508912037039</v>
      </c>
      <c r="B1073" t="s">
        <v>1429</v>
      </c>
      <c r="C1073" t="s">
        <v>25</v>
      </c>
      <c r="D1073" t="s">
        <v>872</v>
      </c>
      <c r="E1073" t="s">
        <v>1519</v>
      </c>
    </row>
    <row r="1074" spans="1:5" x14ac:dyDescent="0.2">
      <c r="A1074" s="269">
        <v>45909.509027777778</v>
      </c>
      <c r="B1074" t="s">
        <v>1429</v>
      </c>
      <c r="C1074" t="s">
        <v>25</v>
      </c>
      <c r="D1074" t="s">
        <v>1481</v>
      </c>
    </row>
    <row r="1075" spans="1:5" x14ac:dyDescent="0.2">
      <c r="A1075" s="269">
        <v>45909.509062500001</v>
      </c>
      <c r="B1075" t="s">
        <v>1429</v>
      </c>
      <c r="C1075" t="s">
        <v>25</v>
      </c>
      <c r="D1075" t="s">
        <v>975</v>
      </c>
      <c r="E1075">
        <v>240</v>
      </c>
    </row>
    <row r="1076" spans="1:5" x14ac:dyDescent="0.2">
      <c r="A1076" s="269">
        <v>45909.509282407409</v>
      </c>
      <c r="B1076" t="s">
        <v>1429</v>
      </c>
      <c r="C1076" t="s">
        <v>25</v>
      </c>
      <c r="D1076" t="s">
        <v>1481</v>
      </c>
      <c r="E1076" t="s">
        <v>1520</v>
      </c>
    </row>
    <row r="1077" spans="1:5" x14ac:dyDescent="0.2">
      <c r="A1077" s="269">
        <v>45909.509467592594</v>
      </c>
      <c r="B1077" t="s">
        <v>1429</v>
      </c>
      <c r="C1077" t="s">
        <v>25</v>
      </c>
      <c r="D1077" t="s">
        <v>921</v>
      </c>
      <c r="E1077">
        <v>227</v>
      </c>
    </row>
    <row r="1078" spans="1:5" x14ac:dyDescent="0.2">
      <c r="A1078" s="269">
        <v>45909.509699074071</v>
      </c>
      <c r="B1078" t="s">
        <v>1429</v>
      </c>
      <c r="C1078" t="s">
        <v>25</v>
      </c>
      <c r="D1078" t="s">
        <v>1482</v>
      </c>
      <c r="E1078" t="s">
        <v>1521</v>
      </c>
    </row>
    <row r="1079" spans="1:5" x14ac:dyDescent="0.2">
      <c r="A1079" s="269">
        <v>45909.509942129633</v>
      </c>
      <c r="B1079" t="s">
        <v>1429</v>
      </c>
      <c r="C1079" t="s">
        <v>25</v>
      </c>
      <c r="D1079" t="s">
        <v>916</v>
      </c>
      <c r="E1079">
        <v>220</v>
      </c>
    </row>
    <row r="1080" spans="1:5" x14ac:dyDescent="0.2">
      <c r="A1080" s="269">
        <v>45909.510092592594</v>
      </c>
      <c r="B1080" t="s">
        <v>1429</v>
      </c>
      <c r="C1080" t="s">
        <v>25</v>
      </c>
      <c r="D1080" t="s">
        <v>1483</v>
      </c>
      <c r="E1080" t="s">
        <v>1522</v>
      </c>
    </row>
    <row r="1081" spans="1:5" x14ac:dyDescent="0.2">
      <c r="A1081" s="269">
        <v>45909.510324074072</v>
      </c>
      <c r="B1081" t="s">
        <v>1429</v>
      </c>
      <c r="C1081" t="s">
        <v>25</v>
      </c>
      <c r="D1081" t="s">
        <v>922</v>
      </c>
      <c r="E1081">
        <v>297</v>
      </c>
    </row>
    <row r="1082" spans="1:5" x14ac:dyDescent="0.2">
      <c r="A1082" s="269">
        <v>45909.510428240741</v>
      </c>
      <c r="B1082" t="s">
        <v>1429</v>
      </c>
      <c r="C1082" t="s">
        <v>25</v>
      </c>
      <c r="D1082" t="s">
        <v>1484</v>
      </c>
      <c r="E1082" t="s">
        <v>1523</v>
      </c>
    </row>
    <row r="1083" spans="1:5" x14ac:dyDescent="0.2">
      <c r="A1083" s="269">
        <v>45909.510648148149</v>
      </c>
      <c r="B1083" t="s">
        <v>1429</v>
      </c>
      <c r="C1083" t="s">
        <v>25</v>
      </c>
      <c r="D1083" t="s">
        <v>1477</v>
      </c>
      <c r="E1083">
        <v>256</v>
      </c>
    </row>
    <row r="1084" spans="1:5" x14ac:dyDescent="0.2">
      <c r="A1084" s="269">
        <v>45909.510775462964</v>
      </c>
      <c r="B1084" t="s">
        <v>1429</v>
      </c>
      <c r="C1084" t="s">
        <v>25</v>
      </c>
      <c r="D1084" t="s">
        <v>1485</v>
      </c>
      <c r="E1084" t="s">
        <v>1524</v>
      </c>
    </row>
    <row r="1085" spans="1:5" x14ac:dyDescent="0.2">
      <c r="A1085" s="269">
        <v>45909.510925925926</v>
      </c>
      <c r="B1085" t="s">
        <v>1429</v>
      </c>
      <c r="C1085" t="s">
        <v>25</v>
      </c>
      <c r="D1085" t="s">
        <v>979</v>
      </c>
      <c r="E1085">
        <v>252</v>
      </c>
    </row>
    <row r="1086" spans="1:5" x14ac:dyDescent="0.2">
      <c r="A1086" s="269">
        <v>45909.511030092595</v>
      </c>
      <c r="B1086" t="s">
        <v>1429</v>
      </c>
      <c r="C1086" t="s">
        <v>25</v>
      </c>
      <c r="D1086" t="s">
        <v>1486</v>
      </c>
      <c r="E1086" t="s">
        <v>1525</v>
      </c>
    </row>
    <row r="1087" spans="1:5" x14ac:dyDescent="0.2">
      <c r="A1087" s="269">
        <v>45909.511203703703</v>
      </c>
      <c r="B1087" t="s">
        <v>1429</v>
      </c>
      <c r="C1087" t="s">
        <v>25</v>
      </c>
      <c r="D1087" t="s">
        <v>1478</v>
      </c>
      <c r="E1087">
        <v>237</v>
      </c>
    </row>
    <row r="1088" spans="1:5" x14ac:dyDescent="0.2">
      <c r="A1088" s="269">
        <v>45909.511365740742</v>
      </c>
      <c r="B1088" t="s">
        <v>1429</v>
      </c>
      <c r="C1088" t="s">
        <v>25</v>
      </c>
      <c r="D1088" t="s">
        <v>1487</v>
      </c>
      <c r="E1088" t="s">
        <v>1526</v>
      </c>
    </row>
    <row r="1089" spans="1:5" x14ac:dyDescent="0.2">
      <c r="A1089" s="269">
        <v>45909.511597222219</v>
      </c>
      <c r="B1089" t="s">
        <v>1429</v>
      </c>
      <c r="C1089" t="s">
        <v>25</v>
      </c>
      <c r="D1089" t="s">
        <v>1479</v>
      </c>
      <c r="E1089">
        <v>280</v>
      </c>
    </row>
    <row r="1090" spans="1:5" x14ac:dyDescent="0.2">
      <c r="A1090" s="269">
        <v>45909.511793981481</v>
      </c>
      <c r="B1090" t="s">
        <v>1429</v>
      </c>
      <c r="C1090" t="s">
        <v>25</v>
      </c>
      <c r="D1090" t="s">
        <v>1488</v>
      </c>
      <c r="E1090" t="s">
        <v>1527</v>
      </c>
    </row>
    <row r="1091" spans="1:5" x14ac:dyDescent="0.2">
      <c r="A1091" s="269">
        <v>45909.511886574073</v>
      </c>
      <c r="B1091" t="s">
        <v>1429</v>
      </c>
      <c r="C1091" t="s">
        <v>25</v>
      </c>
      <c r="D1091" t="s">
        <v>1480</v>
      </c>
      <c r="E1091">
        <v>259</v>
      </c>
    </row>
    <row r="1092" spans="1:5" x14ac:dyDescent="0.2">
      <c r="A1092" s="269">
        <v>45909.512141203704</v>
      </c>
      <c r="B1092" t="s">
        <v>1429</v>
      </c>
      <c r="C1092" t="s">
        <v>25</v>
      </c>
      <c r="D1092" t="s">
        <v>1489</v>
      </c>
      <c r="E1092" t="s">
        <v>1528</v>
      </c>
    </row>
    <row r="1093" spans="1:5" x14ac:dyDescent="0.2">
      <c r="A1093" s="269">
        <v>45909.512557870374</v>
      </c>
      <c r="B1093" t="s">
        <v>1429</v>
      </c>
      <c r="C1093" t="s">
        <v>25</v>
      </c>
      <c r="D1093" t="s">
        <v>1131</v>
      </c>
      <c r="E1093" t="s">
        <v>336</v>
      </c>
    </row>
    <row r="1094" spans="1:5" x14ac:dyDescent="0.2">
      <c r="A1094" s="269">
        <v>45909.512592592589</v>
      </c>
      <c r="B1094" t="s">
        <v>1429</v>
      </c>
      <c r="C1094" t="s">
        <v>25</v>
      </c>
      <c r="D1094" t="s">
        <v>1529</v>
      </c>
      <c r="E1094" t="s">
        <v>87</v>
      </c>
    </row>
    <row r="1095" spans="1:5" x14ac:dyDescent="0.2">
      <c r="A1095" s="269">
        <v>45909.512615740743</v>
      </c>
      <c r="B1095" t="s">
        <v>1429</v>
      </c>
      <c r="C1095" t="s">
        <v>25</v>
      </c>
      <c r="D1095" t="s">
        <v>1530</v>
      </c>
      <c r="E1095" t="s">
        <v>360</v>
      </c>
    </row>
    <row r="1096" spans="1:5" x14ac:dyDescent="0.2">
      <c r="A1096" s="269">
        <v>45909.512650462966</v>
      </c>
      <c r="B1096" t="s">
        <v>1429</v>
      </c>
      <c r="C1096" t="s">
        <v>25</v>
      </c>
      <c r="D1096" t="s">
        <v>1531</v>
      </c>
      <c r="E1096" t="s">
        <v>369</v>
      </c>
    </row>
    <row r="1097" spans="1:5" x14ac:dyDescent="0.2">
      <c r="A1097" s="269">
        <v>45909.512673611112</v>
      </c>
      <c r="B1097" t="s">
        <v>1429</v>
      </c>
      <c r="C1097" t="s">
        <v>25</v>
      </c>
      <c r="D1097" t="s">
        <v>1532</v>
      </c>
      <c r="E1097" t="s">
        <v>377</v>
      </c>
    </row>
    <row r="1098" spans="1:5" x14ac:dyDescent="0.2">
      <c r="A1098" s="269">
        <v>45909.512708333335</v>
      </c>
      <c r="B1098" t="s">
        <v>1429</v>
      </c>
      <c r="C1098" t="s">
        <v>25</v>
      </c>
      <c r="D1098" t="s">
        <v>1533</v>
      </c>
      <c r="E1098" t="s">
        <v>384</v>
      </c>
    </row>
    <row r="1099" spans="1:5" x14ac:dyDescent="0.2">
      <c r="A1099" s="269">
        <v>45909.512743055559</v>
      </c>
      <c r="B1099" t="s">
        <v>1429</v>
      </c>
      <c r="C1099" t="s">
        <v>25</v>
      </c>
      <c r="D1099" t="s">
        <v>1534</v>
      </c>
      <c r="E1099" t="s">
        <v>388</v>
      </c>
    </row>
    <row r="1100" spans="1:5" x14ac:dyDescent="0.2">
      <c r="A1100" s="269">
        <v>45909.512777777774</v>
      </c>
      <c r="B1100" t="s">
        <v>1429</v>
      </c>
      <c r="C1100" t="s">
        <v>25</v>
      </c>
      <c r="D1100" t="s">
        <v>1535</v>
      </c>
      <c r="E1100" t="s">
        <v>40</v>
      </c>
    </row>
    <row r="1101" spans="1:5" x14ac:dyDescent="0.2">
      <c r="A1101" s="269">
        <v>45909.51284722222</v>
      </c>
      <c r="B1101" t="s">
        <v>1429</v>
      </c>
      <c r="C1101" t="s">
        <v>25</v>
      </c>
      <c r="D1101" t="s">
        <v>1536</v>
      </c>
      <c r="E1101" t="s">
        <v>395</v>
      </c>
    </row>
    <row r="1102" spans="1:5" x14ac:dyDescent="0.2">
      <c r="A1102" s="269">
        <v>45909.51295138889</v>
      </c>
      <c r="B1102" t="s">
        <v>1429</v>
      </c>
      <c r="C1102" t="s">
        <v>25</v>
      </c>
      <c r="D1102" t="s">
        <v>1537</v>
      </c>
      <c r="E1102" t="s">
        <v>398</v>
      </c>
    </row>
    <row r="1103" spans="1:5" x14ac:dyDescent="0.2">
      <c r="A1103" s="269">
        <v>45909.513009259259</v>
      </c>
      <c r="B1103" t="s">
        <v>1429</v>
      </c>
      <c r="C1103" t="s">
        <v>25</v>
      </c>
      <c r="D1103" t="s">
        <v>1538</v>
      </c>
      <c r="E1103" t="s">
        <v>405</v>
      </c>
    </row>
    <row r="1104" spans="1:5" x14ac:dyDescent="0.2">
      <c r="A1104" s="269">
        <v>45909.513124999998</v>
      </c>
      <c r="B1104" t="s">
        <v>1429</v>
      </c>
      <c r="C1104" t="s">
        <v>25</v>
      </c>
      <c r="D1104" t="s">
        <v>1538</v>
      </c>
      <c r="E1104" t="s">
        <v>402</v>
      </c>
    </row>
    <row r="1105" spans="1:5" x14ac:dyDescent="0.2">
      <c r="A1105" s="269">
        <v>45909.513159722221</v>
      </c>
      <c r="B1105" t="s">
        <v>1429</v>
      </c>
      <c r="C1105" t="s">
        <v>25</v>
      </c>
      <c r="D1105" t="s">
        <v>1539</v>
      </c>
      <c r="E1105" t="s">
        <v>405</v>
      </c>
    </row>
    <row r="1106" spans="1:5" x14ac:dyDescent="0.2">
      <c r="A1106" s="269">
        <v>45909.513541666667</v>
      </c>
      <c r="B1106" t="s">
        <v>1429</v>
      </c>
      <c r="C1106" t="s">
        <v>25</v>
      </c>
      <c r="D1106" t="s">
        <v>1132</v>
      </c>
      <c r="E1106" t="s">
        <v>131</v>
      </c>
    </row>
    <row r="1107" spans="1:5" x14ac:dyDescent="0.2">
      <c r="A1107" s="269">
        <v>45909.513599537036</v>
      </c>
      <c r="B1107" t="s">
        <v>1429</v>
      </c>
      <c r="C1107" t="s">
        <v>25</v>
      </c>
      <c r="D1107" t="s">
        <v>1540</v>
      </c>
      <c r="E1107" t="s">
        <v>131</v>
      </c>
    </row>
    <row r="1108" spans="1:5" x14ac:dyDescent="0.2">
      <c r="A1108" s="269">
        <v>45909.513622685183</v>
      </c>
      <c r="B1108" t="s">
        <v>1429</v>
      </c>
      <c r="C1108" t="s">
        <v>25</v>
      </c>
      <c r="D1108" t="s">
        <v>1541</v>
      </c>
      <c r="E1108" t="s">
        <v>131</v>
      </c>
    </row>
    <row r="1109" spans="1:5" x14ac:dyDescent="0.2">
      <c r="A1109" s="269">
        <v>45909.513645833336</v>
      </c>
      <c r="B1109" t="s">
        <v>1429</v>
      </c>
      <c r="C1109" t="s">
        <v>25</v>
      </c>
      <c r="D1109" t="s">
        <v>1542</v>
      </c>
      <c r="E1109" t="s">
        <v>131</v>
      </c>
    </row>
    <row r="1110" spans="1:5" x14ac:dyDescent="0.2">
      <c r="A1110" s="269">
        <v>45909.513692129629</v>
      </c>
      <c r="B1110" t="s">
        <v>1429</v>
      </c>
      <c r="C1110" t="s">
        <v>25</v>
      </c>
      <c r="D1110" t="s">
        <v>1543</v>
      </c>
      <c r="E1110" t="s">
        <v>131</v>
      </c>
    </row>
    <row r="1111" spans="1:5" x14ac:dyDescent="0.2">
      <c r="A1111" s="269">
        <v>45909.513715277775</v>
      </c>
      <c r="B1111" t="s">
        <v>1429</v>
      </c>
      <c r="C1111" t="s">
        <v>25</v>
      </c>
      <c r="D1111" t="s">
        <v>1544</v>
      </c>
      <c r="E1111" t="s">
        <v>131</v>
      </c>
    </row>
    <row r="1112" spans="1:5" x14ac:dyDescent="0.2">
      <c r="A1112" s="269">
        <v>45909.513726851852</v>
      </c>
      <c r="B1112" t="s">
        <v>1429</v>
      </c>
      <c r="C1112" t="s">
        <v>25</v>
      </c>
      <c r="D1112" t="s">
        <v>1544</v>
      </c>
      <c r="E1112" t="s">
        <v>339</v>
      </c>
    </row>
    <row r="1113" spans="1:5" x14ac:dyDescent="0.2">
      <c r="A1113" s="269">
        <v>45909.513749999998</v>
      </c>
      <c r="B1113" t="s">
        <v>1429</v>
      </c>
      <c r="C1113" t="s">
        <v>25</v>
      </c>
      <c r="D1113" t="s">
        <v>1545</v>
      </c>
      <c r="E1113" t="s">
        <v>131</v>
      </c>
    </row>
    <row r="1114" spans="1:5" x14ac:dyDescent="0.2">
      <c r="A1114" s="269">
        <v>45909.513773148145</v>
      </c>
      <c r="B1114" t="s">
        <v>1429</v>
      </c>
      <c r="C1114" t="s">
        <v>25</v>
      </c>
      <c r="D1114" t="s">
        <v>1546</v>
      </c>
      <c r="E1114" t="s">
        <v>131</v>
      </c>
    </row>
    <row r="1115" spans="1:5" x14ac:dyDescent="0.2">
      <c r="A1115" s="269">
        <v>45909.513796296298</v>
      </c>
      <c r="B1115" t="s">
        <v>1429</v>
      </c>
      <c r="C1115" t="s">
        <v>25</v>
      </c>
      <c r="D1115" t="s">
        <v>1077</v>
      </c>
      <c r="E1115" t="s">
        <v>131</v>
      </c>
    </row>
    <row r="1116" spans="1:5" x14ac:dyDescent="0.2">
      <c r="A1116" s="269">
        <v>45909.513819444444</v>
      </c>
      <c r="B1116" t="s">
        <v>1429</v>
      </c>
      <c r="C1116" t="s">
        <v>25</v>
      </c>
      <c r="D1116" t="s">
        <v>1547</v>
      </c>
      <c r="E1116" t="s">
        <v>131</v>
      </c>
    </row>
    <row r="1117" spans="1:5" x14ac:dyDescent="0.2">
      <c r="A1117" s="269">
        <v>45909.513842592591</v>
      </c>
      <c r="B1117" t="s">
        <v>1429</v>
      </c>
      <c r="C1117" t="s">
        <v>25</v>
      </c>
      <c r="D1117" t="s">
        <v>1548</v>
      </c>
      <c r="E1117" t="s">
        <v>131</v>
      </c>
    </row>
    <row r="1118" spans="1:5" x14ac:dyDescent="0.2">
      <c r="A1118" s="269">
        <v>45909.513865740744</v>
      </c>
      <c r="B1118" t="s">
        <v>1429</v>
      </c>
      <c r="C1118" t="s">
        <v>25</v>
      </c>
      <c r="D1118" t="s">
        <v>1549</v>
      </c>
      <c r="E1118" t="s">
        <v>131</v>
      </c>
    </row>
    <row r="1119" spans="1:5" x14ac:dyDescent="0.2">
      <c r="A1119" s="269">
        <v>45909.537465277775</v>
      </c>
      <c r="B1119" t="s">
        <v>1429</v>
      </c>
      <c r="C1119" t="s">
        <v>27</v>
      </c>
      <c r="D1119" t="s">
        <v>1467</v>
      </c>
      <c r="E1119" t="s">
        <v>336</v>
      </c>
    </row>
    <row r="1120" spans="1:5" x14ac:dyDescent="0.2">
      <c r="A1120" s="269">
        <v>45909.537499999999</v>
      </c>
      <c r="B1120" t="s">
        <v>1429</v>
      </c>
      <c r="C1120" t="s">
        <v>27</v>
      </c>
      <c r="D1120" t="s">
        <v>1189</v>
      </c>
      <c r="E1120" t="s">
        <v>87</v>
      </c>
    </row>
    <row r="1121" spans="1:5" x14ac:dyDescent="0.2">
      <c r="A1121" s="269">
        <v>45909.537534722222</v>
      </c>
      <c r="B1121" t="s">
        <v>1429</v>
      </c>
      <c r="C1121" t="s">
        <v>27</v>
      </c>
      <c r="D1121" t="s">
        <v>793</v>
      </c>
      <c r="E1121" t="s">
        <v>360</v>
      </c>
    </row>
    <row r="1122" spans="1:5" x14ac:dyDescent="0.2">
      <c r="A1122" s="269">
        <v>45909.537569444445</v>
      </c>
      <c r="B1122" t="s">
        <v>1429</v>
      </c>
      <c r="C1122" t="s">
        <v>27</v>
      </c>
      <c r="D1122" t="s">
        <v>1011</v>
      </c>
      <c r="E1122" t="s">
        <v>369</v>
      </c>
    </row>
    <row r="1123" spans="1:5" x14ac:dyDescent="0.2">
      <c r="A1123" s="269">
        <v>45909.537604166668</v>
      </c>
      <c r="B1123" t="s">
        <v>1429</v>
      </c>
      <c r="C1123" t="s">
        <v>27</v>
      </c>
      <c r="D1123" t="s">
        <v>745</v>
      </c>
      <c r="E1123" t="s">
        <v>377</v>
      </c>
    </row>
    <row r="1124" spans="1:5" x14ac:dyDescent="0.2">
      <c r="A1124" s="269">
        <v>45909.537638888891</v>
      </c>
      <c r="B1124" t="s">
        <v>1429</v>
      </c>
      <c r="C1124" t="s">
        <v>27</v>
      </c>
      <c r="D1124" t="s">
        <v>1468</v>
      </c>
      <c r="E1124" t="s">
        <v>384</v>
      </c>
    </row>
    <row r="1125" spans="1:5" x14ac:dyDescent="0.2">
      <c r="A1125" s="269">
        <v>45909.537685185183</v>
      </c>
      <c r="B1125" t="s">
        <v>1429</v>
      </c>
      <c r="C1125" t="s">
        <v>27</v>
      </c>
      <c r="D1125" t="s">
        <v>1469</v>
      </c>
      <c r="E1125" t="s">
        <v>388</v>
      </c>
    </row>
    <row r="1126" spans="1:5" x14ac:dyDescent="0.2">
      <c r="A1126" s="269">
        <v>45909.537719907406</v>
      </c>
      <c r="B1126" t="s">
        <v>1429</v>
      </c>
      <c r="C1126" t="s">
        <v>27</v>
      </c>
      <c r="D1126" t="s">
        <v>1470</v>
      </c>
      <c r="E1126" t="s">
        <v>40</v>
      </c>
    </row>
    <row r="1127" spans="1:5" x14ac:dyDescent="0.2">
      <c r="A1127" s="269">
        <v>45909.537777777776</v>
      </c>
      <c r="B1127" t="s">
        <v>1429</v>
      </c>
      <c r="C1127" t="s">
        <v>27</v>
      </c>
      <c r="D1127" t="s">
        <v>670</v>
      </c>
      <c r="E1127" t="s">
        <v>395</v>
      </c>
    </row>
    <row r="1128" spans="1:5" x14ac:dyDescent="0.2">
      <c r="A1128" s="269">
        <v>45909.537824074076</v>
      </c>
      <c r="B1128" t="s">
        <v>1429</v>
      </c>
      <c r="C1128" t="s">
        <v>27</v>
      </c>
      <c r="D1128" t="s">
        <v>672</v>
      </c>
      <c r="E1128" t="s">
        <v>398</v>
      </c>
    </row>
    <row r="1129" spans="1:5" x14ac:dyDescent="0.2">
      <c r="A1129" s="269">
        <v>45909.537870370368</v>
      </c>
      <c r="B1129" t="s">
        <v>1429</v>
      </c>
      <c r="C1129" t="s">
        <v>27</v>
      </c>
      <c r="D1129" t="s">
        <v>673</v>
      </c>
      <c r="E1129" t="s">
        <v>402</v>
      </c>
    </row>
    <row r="1130" spans="1:5" x14ac:dyDescent="0.2">
      <c r="A1130" s="269">
        <v>45909.537951388891</v>
      </c>
      <c r="B1130" t="s">
        <v>1429</v>
      </c>
      <c r="C1130" t="s">
        <v>27</v>
      </c>
      <c r="D1130" t="s">
        <v>674</v>
      </c>
      <c r="E1130" t="s">
        <v>405</v>
      </c>
    </row>
    <row r="1131" spans="1:5" x14ac:dyDescent="0.2">
      <c r="A1131" s="269">
        <v>45909.539363425924</v>
      </c>
      <c r="B1131" t="s">
        <v>1429</v>
      </c>
      <c r="C1131" t="s">
        <v>27</v>
      </c>
      <c r="D1131" t="s">
        <v>935</v>
      </c>
      <c r="E1131" t="s">
        <v>311</v>
      </c>
    </row>
    <row r="1132" spans="1:5" x14ac:dyDescent="0.2">
      <c r="A1132" s="269">
        <v>45909.539386574077</v>
      </c>
      <c r="B1132" t="s">
        <v>1429</v>
      </c>
      <c r="C1132" t="s">
        <v>27</v>
      </c>
      <c r="D1132" t="s">
        <v>924</v>
      </c>
      <c r="E1132" t="s">
        <v>311</v>
      </c>
    </row>
    <row r="1133" spans="1:5" x14ac:dyDescent="0.2">
      <c r="A1133" s="269">
        <v>45909.539409722223</v>
      </c>
      <c r="B1133" t="s">
        <v>1429</v>
      </c>
      <c r="C1133" t="s">
        <v>27</v>
      </c>
      <c r="D1133" t="s">
        <v>872</v>
      </c>
      <c r="E1133" t="s">
        <v>311</v>
      </c>
    </row>
    <row r="1134" spans="1:5" x14ac:dyDescent="0.2">
      <c r="A1134" s="269">
        <v>45909.53943287037</v>
      </c>
      <c r="B1134" t="s">
        <v>1429</v>
      </c>
      <c r="C1134" t="s">
        <v>27</v>
      </c>
      <c r="D1134" t="s">
        <v>1481</v>
      </c>
      <c r="E1134" t="s">
        <v>311</v>
      </c>
    </row>
    <row r="1135" spans="1:5" x14ac:dyDescent="0.2">
      <c r="A1135" s="269">
        <v>45909.53943287037</v>
      </c>
      <c r="B1135" t="s">
        <v>1429</v>
      </c>
      <c r="C1135" t="s">
        <v>27</v>
      </c>
      <c r="D1135" t="s">
        <v>1481</v>
      </c>
      <c r="E1135" t="s">
        <v>311</v>
      </c>
    </row>
    <row r="1136" spans="1:5" x14ac:dyDescent="0.2">
      <c r="A1136" s="269">
        <v>45909.539467592593</v>
      </c>
      <c r="B1136" t="s">
        <v>1429</v>
      </c>
      <c r="C1136" t="s">
        <v>27</v>
      </c>
      <c r="D1136" t="s">
        <v>1482</v>
      </c>
      <c r="E1136" t="s">
        <v>311</v>
      </c>
    </row>
    <row r="1137" spans="1:5" x14ac:dyDescent="0.2">
      <c r="A1137" s="269">
        <v>45909.539502314816</v>
      </c>
      <c r="B1137" t="s">
        <v>1429</v>
      </c>
      <c r="C1137" t="s">
        <v>27</v>
      </c>
      <c r="D1137" t="s">
        <v>1483</v>
      </c>
      <c r="E1137" t="s">
        <v>311</v>
      </c>
    </row>
    <row r="1138" spans="1:5" x14ac:dyDescent="0.2">
      <c r="A1138" s="269">
        <v>45909.539537037039</v>
      </c>
      <c r="B1138" t="s">
        <v>1429</v>
      </c>
      <c r="C1138" t="s">
        <v>27</v>
      </c>
      <c r="D1138" t="s">
        <v>1484</v>
      </c>
      <c r="E1138" t="s">
        <v>311</v>
      </c>
    </row>
    <row r="1139" spans="1:5" x14ac:dyDescent="0.2">
      <c r="A1139" s="269">
        <v>45909.539560185185</v>
      </c>
      <c r="B1139" t="s">
        <v>1429</v>
      </c>
      <c r="C1139" t="s">
        <v>27</v>
      </c>
      <c r="D1139" t="s">
        <v>1485</v>
      </c>
      <c r="E1139" t="s">
        <v>311</v>
      </c>
    </row>
    <row r="1140" spans="1:5" x14ac:dyDescent="0.2">
      <c r="A1140" s="269">
        <v>45909.539594907408</v>
      </c>
      <c r="B1140" t="s">
        <v>1429</v>
      </c>
      <c r="C1140" t="s">
        <v>27</v>
      </c>
      <c r="D1140" t="s">
        <v>1486</v>
      </c>
      <c r="E1140" t="s">
        <v>311</v>
      </c>
    </row>
    <row r="1141" spans="1:5" x14ac:dyDescent="0.2">
      <c r="A1141" s="269">
        <v>45909.539618055554</v>
      </c>
      <c r="B1141" t="s">
        <v>1429</v>
      </c>
      <c r="C1141" t="s">
        <v>27</v>
      </c>
      <c r="D1141" t="s">
        <v>1487</v>
      </c>
      <c r="E1141" t="s">
        <v>311</v>
      </c>
    </row>
    <row r="1142" spans="1:5" x14ac:dyDescent="0.2">
      <c r="A1142" s="269">
        <v>45909.539652777778</v>
      </c>
      <c r="B1142" t="s">
        <v>1429</v>
      </c>
      <c r="C1142" t="s">
        <v>27</v>
      </c>
      <c r="D1142" t="s">
        <v>1488</v>
      </c>
      <c r="E1142" t="s">
        <v>311</v>
      </c>
    </row>
    <row r="1143" spans="1:5" x14ac:dyDescent="0.2">
      <c r="A1143" s="269">
        <v>45909.539687500001</v>
      </c>
      <c r="B1143" t="s">
        <v>1429</v>
      </c>
      <c r="C1143" t="s">
        <v>27</v>
      </c>
      <c r="D1143" t="s">
        <v>1489</v>
      </c>
      <c r="E1143" t="s">
        <v>311</v>
      </c>
    </row>
    <row r="1144" spans="1:5" x14ac:dyDescent="0.2">
      <c r="A1144" s="269">
        <v>45909.539861111109</v>
      </c>
      <c r="B1144" t="s">
        <v>1429</v>
      </c>
      <c r="C1144" t="s">
        <v>609</v>
      </c>
      <c r="D1144" t="s">
        <v>1465</v>
      </c>
      <c r="E1144" t="s">
        <v>336</v>
      </c>
    </row>
    <row r="1145" spans="1:5" x14ac:dyDescent="0.2">
      <c r="A1145" s="269">
        <v>45909.540023148147</v>
      </c>
      <c r="B1145" t="s">
        <v>1429</v>
      </c>
      <c r="C1145" t="s">
        <v>609</v>
      </c>
      <c r="D1145" t="s">
        <v>1435</v>
      </c>
    </row>
    <row r="1146" spans="1:5" x14ac:dyDescent="0.2">
      <c r="A1146" s="269">
        <v>45909.54011574074</v>
      </c>
      <c r="B1146" t="s">
        <v>1429</v>
      </c>
      <c r="C1146" t="s">
        <v>609</v>
      </c>
      <c r="D1146" t="s">
        <v>1072</v>
      </c>
      <c r="E1146" t="s">
        <v>87</v>
      </c>
    </row>
    <row r="1147" spans="1:5" x14ac:dyDescent="0.2">
      <c r="A1147" s="269">
        <v>45909.540162037039</v>
      </c>
      <c r="B1147" t="s">
        <v>1429</v>
      </c>
      <c r="C1147" t="s">
        <v>609</v>
      </c>
      <c r="D1147" t="s">
        <v>1072</v>
      </c>
      <c r="E1147" t="s">
        <v>336</v>
      </c>
    </row>
    <row r="1148" spans="1:5" x14ac:dyDescent="0.2">
      <c r="A1148" s="269">
        <v>45909.542430555557</v>
      </c>
      <c r="B1148" t="s">
        <v>1429</v>
      </c>
      <c r="C1148" t="s">
        <v>26</v>
      </c>
      <c r="D1148" t="s">
        <v>944</v>
      </c>
      <c r="E1148" t="s">
        <v>36</v>
      </c>
    </row>
    <row r="1149" spans="1:5" x14ac:dyDescent="0.2">
      <c r="A1149" s="269">
        <v>45909.542581018519</v>
      </c>
      <c r="B1149" t="s">
        <v>1429</v>
      </c>
      <c r="C1149" t="s">
        <v>26</v>
      </c>
      <c r="D1149" t="s">
        <v>1467</v>
      </c>
      <c r="E1149" t="s">
        <v>36</v>
      </c>
    </row>
    <row r="1150" spans="1:5" x14ac:dyDescent="0.2">
      <c r="A1150" s="269">
        <v>45909.542638888888</v>
      </c>
      <c r="B1150" t="s">
        <v>1429</v>
      </c>
      <c r="C1150" t="s">
        <v>26</v>
      </c>
      <c r="D1150" t="s">
        <v>1189</v>
      </c>
      <c r="E1150" t="s">
        <v>36</v>
      </c>
    </row>
    <row r="1151" spans="1:5" x14ac:dyDescent="0.2">
      <c r="A1151" s="269">
        <v>45909.542696759258</v>
      </c>
      <c r="B1151" t="s">
        <v>1429</v>
      </c>
      <c r="C1151" t="s">
        <v>26</v>
      </c>
      <c r="D1151" t="s">
        <v>793</v>
      </c>
      <c r="E1151" t="s">
        <v>36</v>
      </c>
    </row>
    <row r="1152" spans="1:5" x14ac:dyDescent="0.2">
      <c r="A1152" s="269">
        <v>45909.542731481481</v>
      </c>
      <c r="B1152" t="s">
        <v>1429</v>
      </c>
      <c r="C1152" t="s">
        <v>26</v>
      </c>
      <c r="D1152" t="s">
        <v>1011</v>
      </c>
      <c r="E1152" t="s">
        <v>36</v>
      </c>
    </row>
    <row r="1153" spans="1:5" x14ac:dyDescent="0.2">
      <c r="A1153" s="269">
        <v>45909.542754629627</v>
      </c>
      <c r="B1153" t="s">
        <v>1429</v>
      </c>
      <c r="C1153" t="s">
        <v>26</v>
      </c>
      <c r="D1153" t="s">
        <v>745</v>
      </c>
      <c r="E1153" t="s">
        <v>36</v>
      </c>
    </row>
    <row r="1154" spans="1:5" x14ac:dyDescent="0.2">
      <c r="A1154" s="269">
        <v>45909.542766203704</v>
      </c>
      <c r="B1154" t="s">
        <v>1429</v>
      </c>
      <c r="C1154" t="s">
        <v>26</v>
      </c>
      <c r="D1154" t="s">
        <v>1468</v>
      </c>
      <c r="E1154" t="s">
        <v>36</v>
      </c>
    </row>
    <row r="1155" spans="1:5" x14ac:dyDescent="0.2">
      <c r="A1155" s="269">
        <v>45909.54278935185</v>
      </c>
      <c r="B1155" t="s">
        <v>1429</v>
      </c>
      <c r="C1155" t="s">
        <v>26</v>
      </c>
      <c r="D1155" t="s">
        <v>1469</v>
      </c>
      <c r="E1155" t="s">
        <v>36</v>
      </c>
    </row>
    <row r="1156" spans="1:5" x14ac:dyDescent="0.2">
      <c r="A1156" s="269">
        <v>45909.542812500003</v>
      </c>
      <c r="B1156" t="s">
        <v>1429</v>
      </c>
      <c r="C1156" t="s">
        <v>26</v>
      </c>
      <c r="D1156" t="s">
        <v>1470</v>
      </c>
      <c r="E1156" t="s">
        <v>36</v>
      </c>
    </row>
    <row r="1157" spans="1:5" x14ac:dyDescent="0.2">
      <c r="A1157" s="269">
        <v>45909.542858796296</v>
      </c>
      <c r="B1157" t="s">
        <v>1429</v>
      </c>
      <c r="C1157" t="s">
        <v>26</v>
      </c>
      <c r="D1157" t="s">
        <v>948</v>
      </c>
      <c r="E1157" t="s">
        <v>336</v>
      </c>
    </row>
    <row r="1158" spans="1:5" x14ac:dyDescent="0.2">
      <c r="A1158" s="269">
        <v>45909.542881944442</v>
      </c>
      <c r="B1158" t="s">
        <v>1429</v>
      </c>
      <c r="C1158" t="s">
        <v>26</v>
      </c>
      <c r="D1158" t="s">
        <v>948</v>
      </c>
      <c r="E1158" t="s">
        <v>87</v>
      </c>
    </row>
    <row r="1159" spans="1:5" x14ac:dyDescent="0.2">
      <c r="A1159" s="269">
        <v>45909.542939814812</v>
      </c>
      <c r="B1159" t="s">
        <v>1429</v>
      </c>
      <c r="C1159" t="s">
        <v>26</v>
      </c>
      <c r="D1159" t="s">
        <v>948</v>
      </c>
      <c r="E1159" t="s">
        <v>336</v>
      </c>
    </row>
    <row r="1160" spans="1:5" x14ac:dyDescent="0.2">
      <c r="A1160" s="269">
        <v>45909.542962962965</v>
      </c>
      <c r="B1160" t="s">
        <v>1429</v>
      </c>
      <c r="C1160" t="s">
        <v>26</v>
      </c>
      <c r="D1160" t="s">
        <v>1550</v>
      </c>
      <c r="E1160" t="s">
        <v>87</v>
      </c>
    </row>
    <row r="1161" spans="1:5" x14ac:dyDescent="0.2">
      <c r="A1161" s="269">
        <v>45909.542986111112</v>
      </c>
      <c r="B1161" t="s">
        <v>1429</v>
      </c>
      <c r="C1161" t="s">
        <v>26</v>
      </c>
      <c r="D1161" t="s">
        <v>1008</v>
      </c>
      <c r="E1161" t="s">
        <v>360</v>
      </c>
    </row>
    <row r="1162" spans="1:5" x14ac:dyDescent="0.2">
      <c r="A1162" s="269">
        <v>45909.543009259258</v>
      </c>
      <c r="B1162" t="s">
        <v>1429</v>
      </c>
      <c r="C1162" t="s">
        <v>26</v>
      </c>
      <c r="D1162" t="s">
        <v>993</v>
      </c>
      <c r="E1162" t="s">
        <v>369</v>
      </c>
    </row>
    <row r="1163" spans="1:5" x14ac:dyDescent="0.2">
      <c r="A1163" s="269">
        <v>45909.543043981481</v>
      </c>
      <c r="B1163" t="s">
        <v>1429</v>
      </c>
      <c r="C1163" t="s">
        <v>26</v>
      </c>
      <c r="D1163" t="s">
        <v>1012</v>
      </c>
      <c r="E1163" t="s">
        <v>377</v>
      </c>
    </row>
    <row r="1164" spans="1:5" x14ac:dyDescent="0.2">
      <c r="A1164" s="269">
        <v>45909.543113425927</v>
      </c>
      <c r="B1164" t="s">
        <v>1429</v>
      </c>
      <c r="C1164" t="s">
        <v>26</v>
      </c>
      <c r="D1164" t="s">
        <v>1015</v>
      </c>
    </row>
    <row r="1165" spans="1:5" x14ac:dyDescent="0.2">
      <c r="A1165" s="269">
        <v>45909.543113425927</v>
      </c>
      <c r="B1165" t="s">
        <v>1429</v>
      </c>
      <c r="C1165" t="s">
        <v>26</v>
      </c>
      <c r="D1165" t="s">
        <v>1015</v>
      </c>
    </row>
    <row r="1166" spans="1:5" x14ac:dyDescent="0.2">
      <c r="A1166" s="269">
        <v>45909.543136574073</v>
      </c>
      <c r="B1166" t="s">
        <v>1429</v>
      </c>
      <c r="C1166" t="s">
        <v>26</v>
      </c>
      <c r="D1166" t="s">
        <v>1015</v>
      </c>
      <c r="E1166" t="s">
        <v>384</v>
      </c>
    </row>
    <row r="1167" spans="1:5" x14ac:dyDescent="0.2">
      <c r="A1167" s="269">
        <v>45909.543171296296</v>
      </c>
      <c r="B1167" t="s">
        <v>1429</v>
      </c>
      <c r="C1167" t="s">
        <v>26</v>
      </c>
      <c r="D1167" t="s">
        <v>1551</v>
      </c>
      <c r="E1167" t="s">
        <v>388</v>
      </c>
    </row>
    <row r="1168" spans="1:5" x14ac:dyDescent="0.2">
      <c r="A1168" s="269">
        <v>45909.543194444443</v>
      </c>
      <c r="B1168" t="s">
        <v>1429</v>
      </c>
      <c r="C1168" t="s">
        <v>26</v>
      </c>
      <c r="D1168" t="s">
        <v>1552</v>
      </c>
      <c r="E1168" t="s">
        <v>40</v>
      </c>
    </row>
    <row r="1169" spans="1:5" x14ac:dyDescent="0.2">
      <c r="A1169" s="269">
        <v>45909.543229166666</v>
      </c>
      <c r="B1169" t="s">
        <v>1429</v>
      </c>
      <c r="C1169" t="s">
        <v>26</v>
      </c>
      <c r="D1169" t="s">
        <v>1553</v>
      </c>
      <c r="E1169" t="s">
        <v>395</v>
      </c>
    </row>
    <row r="1170" spans="1:5" x14ac:dyDescent="0.2">
      <c r="A1170" s="269">
        <v>45909.543287037035</v>
      </c>
      <c r="B1170" t="s">
        <v>1429</v>
      </c>
      <c r="C1170" t="s">
        <v>26</v>
      </c>
      <c r="D1170" t="s">
        <v>1554</v>
      </c>
      <c r="E1170" t="s">
        <v>398</v>
      </c>
    </row>
    <row r="1171" spans="1:5" x14ac:dyDescent="0.2">
      <c r="A1171" s="269">
        <v>45909.543333333335</v>
      </c>
      <c r="B1171" t="s">
        <v>1429</v>
      </c>
      <c r="C1171" t="s">
        <v>26</v>
      </c>
      <c r="D1171" t="s">
        <v>1555</v>
      </c>
      <c r="E1171" t="s">
        <v>402</v>
      </c>
    </row>
    <row r="1172" spans="1:5" x14ac:dyDescent="0.2">
      <c r="A1172" s="269">
        <v>45909.543391203704</v>
      </c>
      <c r="B1172" t="s">
        <v>1429</v>
      </c>
      <c r="C1172" t="s">
        <v>26</v>
      </c>
      <c r="D1172" t="s">
        <v>1556</v>
      </c>
      <c r="E1172" t="s">
        <v>405</v>
      </c>
    </row>
    <row r="1173" spans="1:5" x14ac:dyDescent="0.2">
      <c r="A1173" s="269">
        <v>45909.543425925927</v>
      </c>
      <c r="B1173" t="s">
        <v>1429</v>
      </c>
      <c r="C1173" t="s">
        <v>26</v>
      </c>
      <c r="D1173" t="s">
        <v>670</v>
      </c>
      <c r="E1173" t="s">
        <v>296</v>
      </c>
    </row>
    <row r="1174" spans="1:5" x14ac:dyDescent="0.2">
      <c r="A1174" s="269">
        <v>45909.543437499997</v>
      </c>
      <c r="B1174" t="s">
        <v>1429</v>
      </c>
      <c r="C1174" t="s">
        <v>26</v>
      </c>
      <c r="D1174" t="s">
        <v>670</v>
      </c>
      <c r="E1174" t="s">
        <v>36</v>
      </c>
    </row>
    <row r="1175" spans="1:5" x14ac:dyDescent="0.2">
      <c r="A1175" s="269">
        <v>45909.543449074074</v>
      </c>
      <c r="B1175" t="s">
        <v>1429</v>
      </c>
      <c r="C1175" t="s">
        <v>26</v>
      </c>
      <c r="D1175" t="s">
        <v>670</v>
      </c>
      <c r="E1175" t="s">
        <v>36</v>
      </c>
    </row>
    <row r="1176" spans="1:5" x14ac:dyDescent="0.2">
      <c r="A1176" s="269">
        <v>45909.54347222222</v>
      </c>
      <c r="B1176" t="s">
        <v>1429</v>
      </c>
      <c r="C1176" t="s">
        <v>26</v>
      </c>
      <c r="D1176" t="s">
        <v>672</v>
      </c>
      <c r="E1176" t="s">
        <v>36</v>
      </c>
    </row>
    <row r="1177" spans="1:5" x14ac:dyDescent="0.2">
      <c r="A1177" s="269">
        <v>45909.543483796297</v>
      </c>
      <c r="B1177" t="s">
        <v>1429</v>
      </c>
      <c r="C1177" t="s">
        <v>26</v>
      </c>
      <c r="D1177" t="s">
        <v>673</v>
      </c>
      <c r="E1177" t="s">
        <v>36</v>
      </c>
    </row>
    <row r="1178" spans="1:5" x14ac:dyDescent="0.2">
      <c r="A1178" s="269">
        <v>45909.545532407406</v>
      </c>
      <c r="B1178" t="s">
        <v>1429</v>
      </c>
      <c r="C1178" t="s">
        <v>26</v>
      </c>
      <c r="D1178" t="s">
        <v>775</v>
      </c>
      <c r="E1178">
        <v>8.4</v>
      </c>
    </row>
    <row r="1179" spans="1:5" x14ac:dyDescent="0.2">
      <c r="A1179" s="269">
        <v>45909.545590277776</v>
      </c>
      <c r="B1179" t="s">
        <v>1429</v>
      </c>
      <c r="C1179" t="s">
        <v>26</v>
      </c>
      <c r="D1179" t="s">
        <v>1476</v>
      </c>
      <c r="E1179">
        <v>104.77</v>
      </c>
    </row>
    <row r="1180" spans="1:5" x14ac:dyDescent="0.2">
      <c r="A1180" s="269">
        <v>45909.545636574076</v>
      </c>
      <c r="B1180" t="s">
        <v>1429</v>
      </c>
      <c r="C1180" t="s">
        <v>26</v>
      </c>
      <c r="D1180" t="s">
        <v>971</v>
      </c>
      <c r="E1180">
        <v>22.58</v>
      </c>
    </row>
    <row r="1181" spans="1:5" x14ac:dyDescent="0.2">
      <c r="A1181" s="269">
        <v>45909.545682870368</v>
      </c>
      <c r="B1181" t="s">
        <v>1429</v>
      </c>
      <c r="C1181" t="s">
        <v>26</v>
      </c>
      <c r="D1181" t="s">
        <v>974</v>
      </c>
      <c r="E1181">
        <v>22.81</v>
      </c>
    </row>
    <row r="1182" spans="1:5" x14ac:dyDescent="0.2">
      <c r="A1182" s="269">
        <v>45909.545740740738</v>
      </c>
      <c r="B1182" t="s">
        <v>1429</v>
      </c>
      <c r="C1182" t="s">
        <v>26</v>
      </c>
      <c r="D1182" t="s">
        <v>975</v>
      </c>
      <c r="E1182">
        <v>47.31</v>
      </c>
    </row>
    <row r="1183" spans="1:5" x14ac:dyDescent="0.2">
      <c r="A1183" s="269">
        <v>45909.545787037037</v>
      </c>
      <c r="B1183" t="s">
        <v>1429</v>
      </c>
      <c r="C1183" t="s">
        <v>26</v>
      </c>
      <c r="D1183" t="s">
        <v>921</v>
      </c>
      <c r="E1183">
        <v>115.15</v>
      </c>
    </row>
    <row r="1184" spans="1:5" x14ac:dyDescent="0.2">
      <c r="A1184" s="269">
        <v>45909.54583333333</v>
      </c>
      <c r="B1184" t="s">
        <v>1429</v>
      </c>
      <c r="C1184" t="s">
        <v>26</v>
      </c>
      <c r="D1184" t="s">
        <v>916</v>
      </c>
      <c r="E1184">
        <v>228.67</v>
      </c>
    </row>
    <row r="1185" spans="1:5" x14ac:dyDescent="0.2">
      <c r="A1185" s="269">
        <v>45909.545891203707</v>
      </c>
      <c r="B1185" t="s">
        <v>1429</v>
      </c>
      <c r="C1185" t="s">
        <v>26</v>
      </c>
      <c r="D1185" t="s">
        <v>922</v>
      </c>
      <c r="E1185">
        <v>41.48</v>
      </c>
    </row>
    <row r="1186" spans="1:5" x14ac:dyDescent="0.2">
      <c r="A1186" s="269">
        <v>45909.545937499999</v>
      </c>
      <c r="B1186" t="s">
        <v>1429</v>
      </c>
      <c r="C1186" t="s">
        <v>26</v>
      </c>
      <c r="D1186" t="s">
        <v>1477</v>
      </c>
      <c r="E1186">
        <v>133.69999999999999</v>
      </c>
    </row>
    <row r="1187" spans="1:5" x14ac:dyDescent="0.2">
      <c r="A1187" s="269">
        <v>45909.545983796299</v>
      </c>
      <c r="B1187" t="s">
        <v>1429</v>
      </c>
      <c r="C1187" t="s">
        <v>26</v>
      </c>
      <c r="D1187" t="s">
        <v>979</v>
      </c>
      <c r="E1187">
        <v>54.78</v>
      </c>
    </row>
    <row r="1188" spans="1:5" x14ac:dyDescent="0.2">
      <c r="A1188" s="269">
        <v>45909.546018518522</v>
      </c>
      <c r="B1188" t="s">
        <v>1429</v>
      </c>
      <c r="C1188" t="s">
        <v>26</v>
      </c>
      <c r="D1188" t="s">
        <v>1478</v>
      </c>
      <c r="E1188">
        <v>84.88</v>
      </c>
    </row>
    <row r="1189" spans="1:5" x14ac:dyDescent="0.2">
      <c r="A1189" s="269">
        <v>45909.546064814815</v>
      </c>
      <c r="B1189" t="s">
        <v>1429</v>
      </c>
      <c r="C1189" t="s">
        <v>26</v>
      </c>
      <c r="D1189" t="s">
        <v>1479</v>
      </c>
      <c r="E1189">
        <v>46.2</v>
      </c>
    </row>
    <row r="1190" spans="1:5" x14ac:dyDescent="0.2">
      <c r="A1190" s="269">
        <v>45909.546423611115</v>
      </c>
      <c r="B1190" t="s">
        <v>1429</v>
      </c>
      <c r="C1190" t="s">
        <v>26</v>
      </c>
      <c r="D1190" t="s">
        <v>954</v>
      </c>
      <c r="E1190" t="s">
        <v>1557</v>
      </c>
    </row>
    <row r="1191" spans="1:5" x14ac:dyDescent="0.2">
      <c r="A1191" s="269">
        <v>45909.546655092592</v>
      </c>
      <c r="B1191" t="s">
        <v>1429</v>
      </c>
      <c r="C1191" t="s">
        <v>26</v>
      </c>
      <c r="D1191" t="s">
        <v>954</v>
      </c>
      <c r="E1191" t="s">
        <v>1558</v>
      </c>
    </row>
    <row r="1192" spans="1:5" x14ac:dyDescent="0.2">
      <c r="A1192" s="269">
        <v>45909.546689814815</v>
      </c>
      <c r="B1192" t="s">
        <v>1429</v>
      </c>
      <c r="C1192" t="s">
        <v>26</v>
      </c>
      <c r="D1192" t="s">
        <v>1559</v>
      </c>
      <c r="E1192" t="s">
        <v>1558</v>
      </c>
    </row>
    <row r="1193" spans="1:5" x14ac:dyDescent="0.2">
      <c r="A1193" s="269">
        <v>45909.547303240739</v>
      </c>
      <c r="B1193" t="s">
        <v>1429</v>
      </c>
      <c r="C1193" t="s">
        <v>56</v>
      </c>
      <c r="D1193" t="s">
        <v>944</v>
      </c>
      <c r="E1193" t="s">
        <v>363</v>
      </c>
    </row>
    <row r="1194" spans="1:5" x14ac:dyDescent="0.2">
      <c r="A1194" s="269">
        <v>45909.547384259262</v>
      </c>
      <c r="B1194" t="s">
        <v>1429</v>
      </c>
      <c r="C1194" t="s">
        <v>56</v>
      </c>
      <c r="D1194" t="s">
        <v>948</v>
      </c>
      <c r="E1194" t="s">
        <v>61</v>
      </c>
    </row>
    <row r="1195" spans="1:5" x14ac:dyDescent="0.2">
      <c r="A1195" s="269">
        <v>45909.547442129631</v>
      </c>
      <c r="B1195" t="s">
        <v>1429</v>
      </c>
      <c r="C1195" t="s">
        <v>56</v>
      </c>
      <c r="D1195" t="s">
        <v>949</v>
      </c>
      <c r="E1195" t="s">
        <v>336</v>
      </c>
    </row>
    <row r="1196" spans="1:5" x14ac:dyDescent="0.2">
      <c r="A1196" s="269">
        <v>45909.548483796294</v>
      </c>
      <c r="B1196" t="s">
        <v>1429</v>
      </c>
      <c r="C1196" t="s">
        <v>56</v>
      </c>
      <c r="D1196" t="s">
        <v>1560</v>
      </c>
      <c r="E1196">
        <v>60.25</v>
      </c>
    </row>
    <row r="1197" spans="1:5" x14ac:dyDescent="0.2">
      <c r="A1197" s="269">
        <v>45909.548506944448</v>
      </c>
      <c r="B1197" t="s">
        <v>1429</v>
      </c>
      <c r="C1197" t="s">
        <v>56</v>
      </c>
      <c r="D1197" t="s">
        <v>935</v>
      </c>
      <c r="E1197">
        <v>184</v>
      </c>
    </row>
    <row r="1198" spans="1:5" x14ac:dyDescent="0.2">
      <c r="A1198" s="269">
        <v>45909.548541666663</v>
      </c>
      <c r="B1198" t="s">
        <v>1429</v>
      </c>
      <c r="C1198" t="s">
        <v>56</v>
      </c>
      <c r="D1198" t="s">
        <v>924</v>
      </c>
      <c r="E1198">
        <v>56</v>
      </c>
    </row>
    <row r="1199" spans="1:5" x14ac:dyDescent="0.2">
      <c r="A1199" s="269">
        <v>45909.54859953704</v>
      </c>
      <c r="B1199" t="s">
        <v>1429</v>
      </c>
      <c r="C1199" t="s">
        <v>56</v>
      </c>
      <c r="D1199" t="s">
        <v>935</v>
      </c>
      <c r="E1199">
        <v>184.56</v>
      </c>
    </row>
    <row r="1200" spans="1:5" x14ac:dyDescent="0.2">
      <c r="A1200" s="269">
        <v>45909.548668981479</v>
      </c>
      <c r="B1200" t="s">
        <v>1429</v>
      </c>
      <c r="C1200" t="s">
        <v>56</v>
      </c>
      <c r="D1200" t="s">
        <v>924</v>
      </c>
      <c r="E1200">
        <v>210.32</v>
      </c>
    </row>
    <row r="1201" spans="1:5" x14ac:dyDescent="0.2">
      <c r="A1201" s="269">
        <v>45909.548715277779</v>
      </c>
      <c r="B1201" t="s">
        <v>1429</v>
      </c>
      <c r="C1201" t="s">
        <v>56</v>
      </c>
      <c r="D1201" t="s">
        <v>872</v>
      </c>
      <c r="E1201">
        <v>20.57</v>
      </c>
    </row>
    <row r="1202" spans="1:5" x14ac:dyDescent="0.2">
      <c r="A1202" s="269">
        <v>45909.548761574071</v>
      </c>
      <c r="B1202" t="s">
        <v>1429</v>
      </c>
      <c r="C1202" t="s">
        <v>56</v>
      </c>
      <c r="D1202" t="s">
        <v>1481</v>
      </c>
      <c r="E1202">
        <v>144.01</v>
      </c>
    </row>
    <row r="1203" spans="1:5" x14ac:dyDescent="0.2">
      <c r="A1203" s="269">
        <v>45909.548796296294</v>
      </c>
      <c r="B1203" t="s">
        <v>1429</v>
      </c>
      <c r="C1203" t="s">
        <v>56</v>
      </c>
      <c r="D1203" t="s">
        <v>1482</v>
      </c>
      <c r="E1203">
        <v>150.33000000000001</v>
      </c>
    </row>
    <row r="1204" spans="1:5" x14ac:dyDescent="0.2">
      <c r="A1204" s="269">
        <v>45909.548854166664</v>
      </c>
      <c r="B1204" t="s">
        <v>1429</v>
      </c>
      <c r="C1204" t="s">
        <v>56</v>
      </c>
      <c r="D1204" t="s">
        <v>1483</v>
      </c>
      <c r="E1204">
        <v>170.24</v>
      </c>
    </row>
    <row r="1205" spans="1:5" x14ac:dyDescent="0.2">
      <c r="A1205" s="269">
        <v>45909.548900462964</v>
      </c>
      <c r="B1205" t="s">
        <v>1429</v>
      </c>
      <c r="C1205" t="s">
        <v>56</v>
      </c>
      <c r="D1205" t="s">
        <v>1484</v>
      </c>
      <c r="E1205">
        <v>112.56</v>
      </c>
    </row>
    <row r="1206" spans="1:5" x14ac:dyDescent="0.2">
      <c r="A1206" s="269">
        <v>45909.548946759256</v>
      </c>
      <c r="B1206" t="s">
        <v>1429</v>
      </c>
      <c r="C1206" t="s">
        <v>56</v>
      </c>
      <c r="D1206" t="s">
        <v>1485</v>
      </c>
      <c r="E1206">
        <v>188.48</v>
      </c>
    </row>
    <row r="1207" spans="1:5" x14ac:dyDescent="0.2">
      <c r="A1207" s="269">
        <v>45909.548993055556</v>
      </c>
      <c r="B1207" t="s">
        <v>1429</v>
      </c>
      <c r="C1207" t="s">
        <v>56</v>
      </c>
      <c r="D1207" t="s">
        <v>1486</v>
      </c>
      <c r="E1207">
        <v>171.93</v>
      </c>
    </row>
    <row r="1208" spans="1:5" x14ac:dyDescent="0.2">
      <c r="A1208" s="269">
        <v>45909.549027777779</v>
      </c>
      <c r="B1208" t="s">
        <v>1429</v>
      </c>
      <c r="C1208" t="s">
        <v>56</v>
      </c>
      <c r="D1208" t="s">
        <v>1487</v>
      </c>
      <c r="E1208">
        <v>54.28</v>
      </c>
    </row>
    <row r="1209" spans="1:5" x14ac:dyDescent="0.2">
      <c r="A1209" s="269">
        <v>45909.549074074072</v>
      </c>
      <c r="B1209" t="s">
        <v>1429</v>
      </c>
      <c r="C1209" t="s">
        <v>56</v>
      </c>
      <c r="D1209" t="s">
        <v>1488</v>
      </c>
      <c r="E1209">
        <v>183.99</v>
      </c>
    </row>
    <row r="1210" spans="1:5" x14ac:dyDescent="0.2">
      <c r="A1210" s="269">
        <v>45909.54923611111</v>
      </c>
      <c r="B1210" t="s">
        <v>1429</v>
      </c>
      <c r="C1210" t="s">
        <v>56</v>
      </c>
      <c r="D1210" t="s">
        <v>981</v>
      </c>
      <c r="E1210" t="s">
        <v>336</v>
      </c>
    </row>
    <row r="1211" spans="1:5" x14ac:dyDescent="0.2">
      <c r="A1211" s="269">
        <v>45909.559328703705</v>
      </c>
      <c r="B1211" t="s">
        <v>1429</v>
      </c>
      <c r="C1211" t="s">
        <v>56</v>
      </c>
      <c r="D1211" t="s">
        <v>956</v>
      </c>
    </row>
    <row r="1212" spans="1:5" ht="32" x14ac:dyDescent="0.2">
      <c r="A1212" s="269">
        <v>45909.560173611113</v>
      </c>
      <c r="B1212" t="s">
        <v>1429</v>
      </c>
      <c r="C1212" t="s">
        <v>609</v>
      </c>
      <c r="D1212" t="s">
        <v>1163</v>
      </c>
      <c r="E1212" s="6" t="s">
        <v>1561</v>
      </c>
    </row>
    <row r="1213" spans="1:5" x14ac:dyDescent="0.2">
      <c r="A1213" s="269">
        <v>45909.563333333332</v>
      </c>
      <c r="B1213" t="s">
        <v>1429</v>
      </c>
      <c r="C1213" t="s">
        <v>56</v>
      </c>
      <c r="D1213" t="s">
        <v>956</v>
      </c>
      <c r="E1213">
        <v>1588</v>
      </c>
    </row>
    <row r="1214" spans="1:5" x14ac:dyDescent="0.2">
      <c r="A1214" s="269">
        <v>45909.600312499999</v>
      </c>
      <c r="B1214" t="s">
        <v>1429</v>
      </c>
      <c r="C1214" t="s">
        <v>56</v>
      </c>
      <c r="D1214" t="s">
        <v>944</v>
      </c>
      <c r="E1214" t="s">
        <v>379</v>
      </c>
    </row>
    <row r="1215" spans="1:5" x14ac:dyDescent="0.2">
      <c r="A1215" s="269">
        <v>45909.600381944445</v>
      </c>
      <c r="B1215" t="s">
        <v>1429</v>
      </c>
      <c r="C1215" t="s">
        <v>56</v>
      </c>
      <c r="D1215" t="s">
        <v>1467</v>
      </c>
      <c r="E1215" t="s">
        <v>341</v>
      </c>
    </row>
    <row r="1216" spans="1:5" x14ac:dyDescent="0.2">
      <c r="A1216" s="269">
        <v>45909.600428240738</v>
      </c>
      <c r="B1216" t="s">
        <v>1429</v>
      </c>
      <c r="C1216" t="s">
        <v>56</v>
      </c>
      <c r="D1216" t="s">
        <v>1550</v>
      </c>
      <c r="E1216" t="s">
        <v>61</v>
      </c>
    </row>
    <row r="1217" spans="1:5" x14ac:dyDescent="0.2">
      <c r="A1217" s="269">
        <v>45909.624074074076</v>
      </c>
      <c r="B1217" t="s">
        <v>1429</v>
      </c>
      <c r="C1217" t="s">
        <v>56</v>
      </c>
      <c r="D1217" t="s">
        <v>958</v>
      </c>
      <c r="E1217" t="s">
        <v>1562</v>
      </c>
    </row>
    <row r="1218" spans="1:5" x14ac:dyDescent="0.2">
      <c r="A1218" s="269">
        <v>45909.625196759262</v>
      </c>
      <c r="B1218" t="s">
        <v>1429</v>
      </c>
      <c r="C1218" t="s">
        <v>56</v>
      </c>
      <c r="D1218" t="s">
        <v>935</v>
      </c>
      <c r="E1218">
        <v>72.857799999999997</v>
      </c>
    </row>
    <row r="1219" spans="1:5" x14ac:dyDescent="0.2">
      <c r="A1219" s="269">
        <v>45909.625625000001</v>
      </c>
      <c r="B1219" t="s">
        <v>1429</v>
      </c>
      <c r="C1219" t="s">
        <v>56</v>
      </c>
      <c r="D1219" t="s">
        <v>1563</v>
      </c>
      <c r="E1219">
        <v>28.65</v>
      </c>
    </row>
    <row r="1220" spans="1:5" x14ac:dyDescent="0.2">
      <c r="A1220" s="269">
        <v>45909.625752314816</v>
      </c>
      <c r="B1220" t="s">
        <v>1429</v>
      </c>
      <c r="C1220" t="s">
        <v>56</v>
      </c>
      <c r="D1220" t="s">
        <v>958</v>
      </c>
      <c r="E1220" t="s">
        <v>1562</v>
      </c>
    </row>
    <row r="1221" spans="1:5" x14ac:dyDescent="0.2">
      <c r="A1221" s="269">
        <v>45909.625763888886</v>
      </c>
      <c r="B1221" t="s">
        <v>1429</v>
      </c>
      <c r="C1221" t="s">
        <v>56</v>
      </c>
      <c r="D1221" t="s">
        <v>1022</v>
      </c>
      <c r="E1221" t="s">
        <v>1562</v>
      </c>
    </row>
    <row r="1222" spans="1:5" x14ac:dyDescent="0.2">
      <c r="A1222" s="269">
        <v>45909.625844907408</v>
      </c>
      <c r="B1222" t="s">
        <v>1429</v>
      </c>
      <c r="C1222" t="s">
        <v>56</v>
      </c>
      <c r="D1222" t="s">
        <v>1022</v>
      </c>
      <c r="E1222" t="s">
        <v>1564</v>
      </c>
    </row>
    <row r="1223" spans="1:5" x14ac:dyDescent="0.2">
      <c r="A1223" s="269">
        <v>45909.625960648147</v>
      </c>
      <c r="B1223" t="s">
        <v>1429</v>
      </c>
      <c r="C1223" t="s">
        <v>56</v>
      </c>
      <c r="D1223" t="s">
        <v>1189</v>
      </c>
      <c r="E1223" t="s">
        <v>379</v>
      </c>
    </row>
    <row r="1224" spans="1:5" x14ac:dyDescent="0.2">
      <c r="A1224" s="269">
        <v>45909.626006944447</v>
      </c>
      <c r="B1224" t="s">
        <v>1429</v>
      </c>
      <c r="C1224" t="s">
        <v>56</v>
      </c>
      <c r="D1224" t="s">
        <v>1008</v>
      </c>
      <c r="E1224" t="s">
        <v>61</v>
      </c>
    </row>
    <row r="1225" spans="1:5" x14ac:dyDescent="0.2">
      <c r="A1225" s="269">
        <v>45909.62604166667</v>
      </c>
      <c r="B1225" t="s">
        <v>1429</v>
      </c>
      <c r="C1225" t="s">
        <v>56</v>
      </c>
      <c r="D1225" t="s">
        <v>993</v>
      </c>
      <c r="E1225" t="s">
        <v>61</v>
      </c>
    </row>
    <row r="1226" spans="1:5" x14ac:dyDescent="0.2">
      <c r="A1226" s="269">
        <v>45909.626064814816</v>
      </c>
      <c r="B1226" t="s">
        <v>1429</v>
      </c>
      <c r="C1226" t="s">
        <v>56</v>
      </c>
      <c r="D1226" t="s">
        <v>1012</v>
      </c>
      <c r="E1226" t="s">
        <v>61</v>
      </c>
    </row>
    <row r="1227" spans="1:5" x14ac:dyDescent="0.2">
      <c r="A1227" s="269">
        <v>45909.626076388886</v>
      </c>
      <c r="B1227" t="s">
        <v>1429</v>
      </c>
      <c r="C1227" t="s">
        <v>56</v>
      </c>
      <c r="D1227" t="s">
        <v>1012</v>
      </c>
      <c r="E1227" t="s">
        <v>61</v>
      </c>
    </row>
    <row r="1228" spans="1:5" x14ac:dyDescent="0.2">
      <c r="A1228" s="269">
        <v>45909.626099537039</v>
      </c>
      <c r="B1228" t="s">
        <v>1429</v>
      </c>
      <c r="C1228" t="s">
        <v>56</v>
      </c>
      <c r="D1228" t="s">
        <v>1015</v>
      </c>
      <c r="E1228" t="s">
        <v>61</v>
      </c>
    </row>
    <row r="1229" spans="1:5" x14ac:dyDescent="0.2">
      <c r="A1229" s="269">
        <v>45909.626111111109</v>
      </c>
      <c r="B1229" t="s">
        <v>1429</v>
      </c>
      <c r="C1229" t="s">
        <v>56</v>
      </c>
      <c r="D1229" t="s">
        <v>1551</v>
      </c>
      <c r="E1229" t="s">
        <v>61</v>
      </c>
    </row>
    <row r="1230" spans="1:5" x14ac:dyDescent="0.2">
      <c r="A1230" s="269">
        <v>45909.626134259262</v>
      </c>
      <c r="B1230" t="s">
        <v>1429</v>
      </c>
      <c r="C1230" t="s">
        <v>56</v>
      </c>
      <c r="D1230" t="s">
        <v>1552</v>
      </c>
      <c r="E1230" t="s">
        <v>61</v>
      </c>
    </row>
    <row r="1231" spans="1:5" x14ac:dyDescent="0.2">
      <c r="A1231" s="269">
        <v>45909.626168981478</v>
      </c>
      <c r="B1231" t="s">
        <v>1429</v>
      </c>
      <c r="C1231" t="s">
        <v>56</v>
      </c>
      <c r="D1231" t="s">
        <v>1064</v>
      </c>
      <c r="E1231" t="s">
        <v>87</v>
      </c>
    </row>
    <row r="1232" spans="1:5" x14ac:dyDescent="0.2">
      <c r="A1232" s="269">
        <v>45909.62636574074</v>
      </c>
      <c r="B1232" t="s">
        <v>1429</v>
      </c>
      <c r="C1232" t="s">
        <v>56</v>
      </c>
      <c r="D1232" t="s">
        <v>981</v>
      </c>
      <c r="E1232" t="s">
        <v>360</v>
      </c>
    </row>
    <row r="1233" spans="1:5" x14ac:dyDescent="0.2">
      <c r="A1233" s="269">
        <v>45909.626435185186</v>
      </c>
      <c r="B1233" t="s">
        <v>1429</v>
      </c>
      <c r="C1233" t="s">
        <v>56</v>
      </c>
      <c r="D1233" t="s">
        <v>981</v>
      </c>
      <c r="E1233" t="s">
        <v>395</v>
      </c>
    </row>
    <row r="1234" spans="1:5" x14ac:dyDescent="0.2">
      <c r="A1234" s="269">
        <v>45909.626747685186</v>
      </c>
      <c r="B1234" t="s">
        <v>1429</v>
      </c>
      <c r="C1234" t="s">
        <v>56</v>
      </c>
      <c r="D1234" t="s">
        <v>1467</v>
      </c>
      <c r="E1234" t="s">
        <v>379</v>
      </c>
    </row>
    <row r="1235" spans="1:5" x14ac:dyDescent="0.2">
      <c r="A1235" s="269">
        <v>45909.626782407409</v>
      </c>
      <c r="B1235" t="s">
        <v>1429</v>
      </c>
      <c r="C1235" t="s">
        <v>56</v>
      </c>
      <c r="D1235" t="s">
        <v>793</v>
      </c>
      <c r="E1235" t="s">
        <v>379</v>
      </c>
    </row>
    <row r="1236" spans="1:5" x14ac:dyDescent="0.2">
      <c r="A1236" s="269">
        <v>45909.626817129632</v>
      </c>
      <c r="B1236" t="s">
        <v>1429</v>
      </c>
      <c r="C1236" t="s">
        <v>56</v>
      </c>
      <c r="D1236" t="s">
        <v>1011</v>
      </c>
      <c r="E1236" t="s">
        <v>379</v>
      </c>
    </row>
    <row r="1237" spans="1:5" x14ac:dyDescent="0.2">
      <c r="A1237" s="269">
        <v>45909.626840277779</v>
      </c>
      <c r="B1237" t="s">
        <v>1429</v>
      </c>
      <c r="C1237" t="s">
        <v>56</v>
      </c>
      <c r="D1237" t="s">
        <v>745</v>
      </c>
      <c r="E1237" t="s">
        <v>379</v>
      </c>
    </row>
    <row r="1238" spans="1:5" x14ac:dyDescent="0.2">
      <c r="A1238" s="269">
        <v>45909.626863425925</v>
      </c>
      <c r="B1238" t="s">
        <v>1429</v>
      </c>
      <c r="C1238" t="s">
        <v>56</v>
      </c>
      <c r="D1238" t="s">
        <v>1468</v>
      </c>
      <c r="E1238" t="s">
        <v>379</v>
      </c>
    </row>
    <row r="1239" spans="1:5" x14ac:dyDescent="0.2">
      <c r="A1239" s="269">
        <v>45909.626886574071</v>
      </c>
      <c r="B1239" t="s">
        <v>1429</v>
      </c>
      <c r="C1239" t="s">
        <v>56</v>
      </c>
      <c r="D1239" t="s">
        <v>1469</v>
      </c>
      <c r="E1239" t="s">
        <v>379</v>
      </c>
    </row>
    <row r="1240" spans="1:5" x14ac:dyDescent="0.2">
      <c r="A1240" s="269">
        <v>45909.626921296294</v>
      </c>
      <c r="B1240" t="s">
        <v>1429</v>
      </c>
      <c r="C1240" t="s">
        <v>56</v>
      </c>
      <c r="D1240" t="s">
        <v>1470</v>
      </c>
      <c r="E1240" t="s">
        <v>379</v>
      </c>
    </row>
    <row r="1241" spans="1:5" x14ac:dyDescent="0.2">
      <c r="A1241" s="269">
        <v>45909.626921296294</v>
      </c>
      <c r="B1241" t="s">
        <v>1429</v>
      </c>
      <c r="C1241" t="s">
        <v>56</v>
      </c>
      <c r="D1241" t="s">
        <v>1470</v>
      </c>
      <c r="E1241" t="s">
        <v>352</v>
      </c>
    </row>
    <row r="1242" spans="1:5" x14ac:dyDescent="0.2">
      <c r="A1242" s="269">
        <v>45909.626967592594</v>
      </c>
      <c r="B1242" t="s">
        <v>1429</v>
      </c>
      <c r="C1242" t="s">
        <v>56</v>
      </c>
      <c r="D1242" t="s">
        <v>1470</v>
      </c>
      <c r="E1242" t="s">
        <v>379</v>
      </c>
    </row>
    <row r="1243" spans="1:5" x14ac:dyDescent="0.2">
      <c r="A1243" s="269">
        <v>45909.627002314817</v>
      </c>
      <c r="B1243" t="s">
        <v>1429</v>
      </c>
      <c r="C1243" t="s">
        <v>56</v>
      </c>
      <c r="D1243" t="s">
        <v>670</v>
      </c>
      <c r="E1243" t="s">
        <v>379</v>
      </c>
    </row>
    <row r="1244" spans="1:5" x14ac:dyDescent="0.2">
      <c r="A1244" s="269">
        <v>45909.62703703704</v>
      </c>
      <c r="B1244" t="s">
        <v>1429</v>
      </c>
      <c r="C1244" t="s">
        <v>56</v>
      </c>
      <c r="D1244" t="s">
        <v>672</v>
      </c>
      <c r="E1244" t="s">
        <v>379</v>
      </c>
    </row>
    <row r="1245" spans="1:5" x14ac:dyDescent="0.2">
      <c r="A1245" s="269">
        <v>45909.627060185187</v>
      </c>
      <c r="B1245" t="s">
        <v>1429</v>
      </c>
      <c r="C1245" t="s">
        <v>56</v>
      </c>
      <c r="D1245" t="s">
        <v>673</v>
      </c>
      <c r="E1245" t="s">
        <v>379</v>
      </c>
    </row>
    <row r="1246" spans="1:5" x14ac:dyDescent="0.2">
      <c r="A1246" s="269">
        <v>45909.627083333333</v>
      </c>
      <c r="B1246" t="s">
        <v>1429</v>
      </c>
      <c r="C1246" t="s">
        <v>56</v>
      </c>
      <c r="D1246" t="s">
        <v>1552</v>
      </c>
      <c r="E1246" t="s">
        <v>61</v>
      </c>
    </row>
    <row r="1247" spans="1:5" x14ac:dyDescent="0.2">
      <c r="A1247" s="269">
        <v>45909.62709490741</v>
      </c>
      <c r="B1247" t="s">
        <v>1429</v>
      </c>
      <c r="C1247" t="s">
        <v>56</v>
      </c>
      <c r="D1247" t="s">
        <v>1552</v>
      </c>
      <c r="E1247" t="s">
        <v>61</v>
      </c>
    </row>
    <row r="1248" spans="1:5" x14ac:dyDescent="0.2">
      <c r="A1248" s="269">
        <v>45909.627118055556</v>
      </c>
      <c r="B1248" t="s">
        <v>1429</v>
      </c>
      <c r="C1248" t="s">
        <v>56</v>
      </c>
      <c r="D1248" t="s">
        <v>1553</v>
      </c>
      <c r="E1248" t="s">
        <v>61</v>
      </c>
    </row>
    <row r="1249" spans="1:5" x14ac:dyDescent="0.2">
      <c r="A1249" s="269">
        <v>45909.627152777779</v>
      </c>
      <c r="B1249" t="s">
        <v>1429</v>
      </c>
      <c r="C1249" t="s">
        <v>56</v>
      </c>
      <c r="D1249" t="s">
        <v>1554</v>
      </c>
      <c r="E1249" t="s">
        <v>61</v>
      </c>
    </row>
    <row r="1250" spans="1:5" x14ac:dyDescent="0.2">
      <c r="A1250" s="269">
        <v>45909.627164351848</v>
      </c>
      <c r="B1250" t="s">
        <v>1429</v>
      </c>
      <c r="C1250" t="s">
        <v>56</v>
      </c>
      <c r="D1250" t="s">
        <v>1555</v>
      </c>
      <c r="E1250" t="s">
        <v>61</v>
      </c>
    </row>
    <row r="1251" spans="1:5" x14ac:dyDescent="0.2">
      <c r="A1251" s="269">
        <v>45909.627199074072</v>
      </c>
      <c r="B1251" t="s">
        <v>1429</v>
      </c>
      <c r="C1251" t="s">
        <v>56</v>
      </c>
      <c r="D1251" t="s">
        <v>1556</v>
      </c>
      <c r="E1251" t="s">
        <v>61</v>
      </c>
    </row>
    <row r="1252" spans="1:5" x14ac:dyDescent="0.2">
      <c r="A1252" s="269">
        <v>45909.627708333333</v>
      </c>
      <c r="B1252" t="s">
        <v>1429</v>
      </c>
      <c r="C1252" t="s">
        <v>56</v>
      </c>
      <c r="D1252" t="s">
        <v>981</v>
      </c>
      <c r="E1252" t="s">
        <v>87</v>
      </c>
    </row>
    <row r="1253" spans="1:5" x14ac:dyDescent="0.2">
      <c r="A1253" s="269">
        <v>45909.627800925926</v>
      </c>
      <c r="B1253" t="s">
        <v>1429</v>
      </c>
      <c r="C1253" t="s">
        <v>56</v>
      </c>
      <c r="D1253" t="s">
        <v>935</v>
      </c>
      <c r="E1253">
        <v>184.56</v>
      </c>
    </row>
    <row r="1254" spans="1:5" x14ac:dyDescent="0.2">
      <c r="A1254" s="269">
        <v>45909.628125000003</v>
      </c>
      <c r="B1254" t="s">
        <v>1429</v>
      </c>
      <c r="C1254" t="s">
        <v>56</v>
      </c>
      <c r="D1254" t="s">
        <v>1563</v>
      </c>
      <c r="E1254">
        <v>2527</v>
      </c>
    </row>
    <row r="1255" spans="1:5" x14ac:dyDescent="0.2">
      <c r="A1255" s="269">
        <v>45909.628182870372</v>
      </c>
      <c r="B1255" t="s">
        <v>1429</v>
      </c>
      <c r="C1255" t="s">
        <v>56</v>
      </c>
      <c r="D1255" t="s">
        <v>973</v>
      </c>
      <c r="E1255">
        <v>1563</v>
      </c>
    </row>
    <row r="1256" spans="1:5" x14ac:dyDescent="0.2">
      <c r="A1256" s="269">
        <v>45909.628217592595</v>
      </c>
      <c r="B1256" t="s">
        <v>1429</v>
      </c>
      <c r="C1256" t="s">
        <v>56</v>
      </c>
      <c r="D1256" t="s">
        <v>972</v>
      </c>
      <c r="E1256">
        <v>1817</v>
      </c>
    </row>
    <row r="1257" spans="1:5" x14ac:dyDescent="0.2">
      <c r="A1257" s="269">
        <v>45909.628275462965</v>
      </c>
      <c r="B1257" t="s">
        <v>1429</v>
      </c>
      <c r="C1257" t="s">
        <v>56</v>
      </c>
      <c r="D1257" t="s">
        <v>1565</v>
      </c>
      <c r="E1257">
        <v>638</v>
      </c>
    </row>
    <row r="1258" spans="1:5" x14ac:dyDescent="0.2">
      <c r="A1258" s="269">
        <v>45909.628310185188</v>
      </c>
      <c r="B1258" t="s">
        <v>1429</v>
      </c>
      <c r="C1258" t="s">
        <v>56</v>
      </c>
      <c r="D1258" t="s">
        <v>1566</v>
      </c>
      <c r="E1258">
        <v>1287</v>
      </c>
    </row>
    <row r="1259" spans="1:5" x14ac:dyDescent="0.2">
      <c r="A1259" s="269">
        <v>45909.628344907411</v>
      </c>
      <c r="B1259" t="s">
        <v>1429</v>
      </c>
      <c r="C1259" t="s">
        <v>56</v>
      </c>
      <c r="D1259" t="s">
        <v>923</v>
      </c>
      <c r="E1259">
        <v>2247</v>
      </c>
    </row>
    <row r="1260" spans="1:5" x14ac:dyDescent="0.2">
      <c r="A1260" s="269">
        <v>45909.628379629627</v>
      </c>
      <c r="B1260" t="s">
        <v>1429</v>
      </c>
      <c r="C1260" t="s">
        <v>56</v>
      </c>
      <c r="D1260" t="s">
        <v>1567</v>
      </c>
      <c r="E1260">
        <v>881</v>
      </c>
    </row>
    <row r="1261" spans="1:5" x14ac:dyDescent="0.2">
      <c r="A1261" s="269">
        <v>45909.62840277778</v>
      </c>
      <c r="B1261" t="s">
        <v>1429</v>
      </c>
      <c r="C1261" t="s">
        <v>56</v>
      </c>
      <c r="D1261" t="s">
        <v>1568</v>
      </c>
      <c r="E1261">
        <v>1286</v>
      </c>
    </row>
    <row r="1262" spans="1:5" x14ac:dyDescent="0.2">
      <c r="A1262" s="269">
        <v>45909.628460648149</v>
      </c>
      <c r="B1262" t="s">
        <v>1429</v>
      </c>
      <c r="C1262" t="s">
        <v>56</v>
      </c>
      <c r="D1262" t="s">
        <v>666</v>
      </c>
      <c r="E1262">
        <v>2540</v>
      </c>
    </row>
    <row r="1263" spans="1:5" x14ac:dyDescent="0.2">
      <c r="A1263" s="269">
        <v>45909.628495370373</v>
      </c>
      <c r="B1263" t="s">
        <v>1429</v>
      </c>
      <c r="C1263" t="s">
        <v>56</v>
      </c>
      <c r="D1263" t="s">
        <v>1569</v>
      </c>
      <c r="E1263">
        <v>693</v>
      </c>
    </row>
    <row r="1264" spans="1:5" x14ac:dyDescent="0.2">
      <c r="A1264" s="269">
        <v>45909.628530092596</v>
      </c>
      <c r="B1264" t="s">
        <v>1429</v>
      </c>
      <c r="C1264" t="s">
        <v>56</v>
      </c>
      <c r="D1264" t="s">
        <v>1570</v>
      </c>
      <c r="E1264">
        <v>942</v>
      </c>
    </row>
    <row r="1265" spans="1:5" x14ac:dyDescent="0.2">
      <c r="A1265" s="269">
        <v>45909.629282407404</v>
      </c>
      <c r="B1265" t="s">
        <v>1429</v>
      </c>
      <c r="C1265" t="s">
        <v>56</v>
      </c>
      <c r="D1265" t="s">
        <v>1571</v>
      </c>
      <c r="E1265" t="s">
        <v>1562</v>
      </c>
    </row>
    <row r="1266" spans="1:5" x14ac:dyDescent="0.2">
      <c r="A1266" s="269">
        <v>45909.629479166666</v>
      </c>
      <c r="B1266" t="s">
        <v>1429</v>
      </c>
      <c r="C1266" t="s">
        <v>56</v>
      </c>
      <c r="D1266" t="s">
        <v>674</v>
      </c>
      <c r="E1266" t="s">
        <v>341</v>
      </c>
    </row>
    <row r="1267" spans="1:5" x14ac:dyDescent="0.2">
      <c r="A1267" s="269">
        <v>45909.629502314812</v>
      </c>
      <c r="B1267" t="s">
        <v>1429</v>
      </c>
      <c r="C1267" t="s">
        <v>56</v>
      </c>
      <c r="D1267" t="s">
        <v>675</v>
      </c>
      <c r="E1267" t="s">
        <v>341</v>
      </c>
    </row>
    <row r="1268" spans="1:5" x14ac:dyDescent="0.2">
      <c r="A1268" s="269">
        <v>45909.629525462966</v>
      </c>
      <c r="B1268" t="s">
        <v>1429</v>
      </c>
      <c r="C1268" t="s">
        <v>56</v>
      </c>
      <c r="D1268" t="s">
        <v>676</v>
      </c>
      <c r="E1268" t="s">
        <v>341</v>
      </c>
    </row>
    <row r="1269" spans="1:5" x14ac:dyDescent="0.2">
      <c r="A1269" s="269">
        <v>45909.629571759258</v>
      </c>
      <c r="B1269" t="s">
        <v>1429</v>
      </c>
      <c r="C1269" t="s">
        <v>56</v>
      </c>
      <c r="D1269" t="s">
        <v>1572</v>
      </c>
      <c r="E1269" t="s">
        <v>341</v>
      </c>
    </row>
    <row r="1270" spans="1:5" x14ac:dyDescent="0.2">
      <c r="A1270" s="269">
        <v>45909.629641203705</v>
      </c>
      <c r="B1270" t="s">
        <v>1429</v>
      </c>
      <c r="C1270" t="s">
        <v>56</v>
      </c>
      <c r="D1270" t="s">
        <v>1573</v>
      </c>
      <c r="E1270" t="s">
        <v>341</v>
      </c>
    </row>
    <row r="1271" spans="1:5" x14ac:dyDescent="0.2">
      <c r="A1271" s="269">
        <v>45909.629641203705</v>
      </c>
      <c r="B1271" t="s">
        <v>1429</v>
      </c>
      <c r="C1271" t="s">
        <v>56</v>
      </c>
      <c r="D1271" t="s">
        <v>1573</v>
      </c>
      <c r="E1271" t="s">
        <v>341</v>
      </c>
    </row>
    <row r="1272" spans="1:5" x14ac:dyDescent="0.2">
      <c r="A1272" s="269">
        <v>45909.629675925928</v>
      </c>
      <c r="B1272" t="s">
        <v>1429</v>
      </c>
      <c r="C1272" t="s">
        <v>56</v>
      </c>
      <c r="D1272" t="s">
        <v>1574</v>
      </c>
      <c r="E1272" t="s">
        <v>341</v>
      </c>
    </row>
    <row r="1273" spans="1:5" x14ac:dyDescent="0.2">
      <c r="A1273" s="269">
        <v>45909.629699074074</v>
      </c>
      <c r="B1273" t="s">
        <v>1429</v>
      </c>
      <c r="C1273" t="s">
        <v>56</v>
      </c>
      <c r="D1273" t="s">
        <v>1575</v>
      </c>
      <c r="E1273" t="s">
        <v>341</v>
      </c>
    </row>
    <row r="1274" spans="1:5" x14ac:dyDescent="0.2">
      <c r="A1274" s="269">
        <v>45909.629699074074</v>
      </c>
      <c r="B1274" t="s">
        <v>1429</v>
      </c>
      <c r="C1274" t="s">
        <v>56</v>
      </c>
      <c r="D1274" t="s">
        <v>1575</v>
      </c>
      <c r="E1274" t="s">
        <v>341</v>
      </c>
    </row>
    <row r="1275" spans="1:5" x14ac:dyDescent="0.2">
      <c r="A1275" s="269">
        <v>45909.629710648151</v>
      </c>
      <c r="B1275" t="s">
        <v>1429</v>
      </c>
      <c r="C1275" t="s">
        <v>56</v>
      </c>
      <c r="D1275" t="s">
        <v>1575</v>
      </c>
      <c r="E1275" t="s">
        <v>341</v>
      </c>
    </row>
    <row r="1276" spans="1:5" x14ac:dyDescent="0.2">
      <c r="A1276" s="269">
        <v>45909.629745370374</v>
      </c>
      <c r="B1276" t="s">
        <v>1429</v>
      </c>
      <c r="C1276" t="s">
        <v>56</v>
      </c>
      <c r="D1276" t="s">
        <v>1576</v>
      </c>
      <c r="E1276" t="s">
        <v>341</v>
      </c>
    </row>
    <row r="1277" spans="1:5" x14ac:dyDescent="0.2">
      <c r="A1277" s="269">
        <v>45909.629780092589</v>
      </c>
      <c r="B1277" t="s">
        <v>1429</v>
      </c>
      <c r="C1277" t="s">
        <v>56</v>
      </c>
      <c r="D1277" t="s">
        <v>1577</v>
      </c>
      <c r="E1277" t="s">
        <v>341</v>
      </c>
    </row>
    <row r="1278" spans="1:5" x14ac:dyDescent="0.2">
      <c r="A1278" s="269">
        <v>45909.629803240743</v>
      </c>
      <c r="B1278" t="s">
        <v>1429</v>
      </c>
      <c r="C1278" t="s">
        <v>56</v>
      </c>
      <c r="D1278" t="s">
        <v>1578</v>
      </c>
      <c r="E1278" t="s">
        <v>341</v>
      </c>
    </row>
    <row r="1279" spans="1:5" x14ac:dyDescent="0.2">
      <c r="A1279" s="269">
        <v>45909.629826388889</v>
      </c>
      <c r="B1279" t="s">
        <v>1429</v>
      </c>
      <c r="C1279" t="s">
        <v>56</v>
      </c>
      <c r="D1279" t="s">
        <v>1579</v>
      </c>
      <c r="E1279" t="s">
        <v>341</v>
      </c>
    </row>
    <row r="1280" spans="1:5" x14ac:dyDescent="0.2">
      <c r="A1280" s="269">
        <v>45909.629861111112</v>
      </c>
      <c r="B1280" t="s">
        <v>1429</v>
      </c>
      <c r="C1280" t="s">
        <v>56</v>
      </c>
      <c r="D1280" t="s">
        <v>1580</v>
      </c>
      <c r="E1280" t="s">
        <v>341</v>
      </c>
    </row>
    <row r="1281" spans="1:5" x14ac:dyDescent="0.2">
      <c r="A1281" s="269">
        <v>45909.629918981482</v>
      </c>
      <c r="B1281" t="s">
        <v>1429</v>
      </c>
      <c r="C1281" t="s">
        <v>56</v>
      </c>
      <c r="D1281" t="s">
        <v>1581</v>
      </c>
      <c r="E1281" t="s">
        <v>61</v>
      </c>
    </row>
    <row r="1282" spans="1:5" x14ac:dyDescent="0.2">
      <c r="A1282" s="269">
        <v>45909.629930555559</v>
      </c>
      <c r="B1282" t="s">
        <v>1429</v>
      </c>
      <c r="C1282" t="s">
        <v>56</v>
      </c>
      <c r="D1282" t="s">
        <v>1582</v>
      </c>
      <c r="E1282" t="s">
        <v>409</v>
      </c>
    </row>
    <row r="1283" spans="1:5" x14ac:dyDescent="0.2">
      <c r="A1283" s="269">
        <v>45909.63</v>
      </c>
      <c r="B1283" t="s">
        <v>1429</v>
      </c>
      <c r="C1283" t="s">
        <v>56</v>
      </c>
      <c r="D1283" t="s">
        <v>1582</v>
      </c>
      <c r="E1283" t="s">
        <v>61</v>
      </c>
    </row>
    <row r="1284" spans="1:5" x14ac:dyDescent="0.2">
      <c r="A1284" s="269">
        <v>45909.630011574074</v>
      </c>
      <c r="B1284" t="s">
        <v>1429</v>
      </c>
      <c r="C1284" t="s">
        <v>56</v>
      </c>
      <c r="D1284" t="s">
        <v>1583</v>
      </c>
      <c r="E1284" t="s">
        <v>61</v>
      </c>
    </row>
    <row r="1285" spans="1:5" x14ac:dyDescent="0.2">
      <c r="A1285" s="269">
        <v>45909.63003472222</v>
      </c>
      <c r="B1285" t="s">
        <v>1429</v>
      </c>
      <c r="C1285" t="s">
        <v>56</v>
      </c>
      <c r="D1285" t="s">
        <v>1584</v>
      </c>
      <c r="E1285" t="s">
        <v>61</v>
      </c>
    </row>
    <row r="1286" spans="1:5" x14ac:dyDescent="0.2">
      <c r="A1286" s="269">
        <v>45909.630057870374</v>
      </c>
      <c r="B1286" t="s">
        <v>1429</v>
      </c>
      <c r="C1286" t="s">
        <v>56</v>
      </c>
      <c r="D1286" t="s">
        <v>1585</v>
      </c>
      <c r="E1286" t="s">
        <v>61</v>
      </c>
    </row>
    <row r="1287" spans="1:5" x14ac:dyDescent="0.2">
      <c r="A1287" s="269">
        <v>45909.63008101852</v>
      </c>
      <c r="B1287" t="s">
        <v>1429</v>
      </c>
      <c r="C1287" t="s">
        <v>56</v>
      </c>
      <c r="D1287" t="s">
        <v>1586</v>
      </c>
      <c r="E1287" t="s">
        <v>61</v>
      </c>
    </row>
    <row r="1288" spans="1:5" x14ac:dyDescent="0.2">
      <c r="A1288" s="269">
        <v>45909.630104166667</v>
      </c>
      <c r="B1288" t="s">
        <v>1429</v>
      </c>
      <c r="C1288" t="s">
        <v>56</v>
      </c>
      <c r="D1288" t="s">
        <v>1587</v>
      </c>
      <c r="E1288" t="s">
        <v>61</v>
      </c>
    </row>
    <row r="1289" spans="1:5" x14ac:dyDescent="0.2">
      <c r="A1289" s="269">
        <v>45909.630127314813</v>
      </c>
      <c r="B1289" t="s">
        <v>1429</v>
      </c>
      <c r="C1289" t="s">
        <v>56</v>
      </c>
      <c r="D1289" t="s">
        <v>1588</v>
      </c>
      <c r="E1289" t="s">
        <v>61</v>
      </c>
    </row>
    <row r="1290" spans="1:5" x14ac:dyDescent="0.2">
      <c r="A1290" s="269">
        <v>45909.630162037036</v>
      </c>
      <c r="B1290" t="s">
        <v>1429</v>
      </c>
      <c r="C1290" t="s">
        <v>56</v>
      </c>
      <c r="D1290" t="s">
        <v>1589</v>
      </c>
      <c r="E1290" t="s">
        <v>61</v>
      </c>
    </row>
    <row r="1291" spans="1:5" x14ac:dyDescent="0.2">
      <c r="A1291" s="269">
        <v>45909.630185185182</v>
      </c>
      <c r="B1291" t="s">
        <v>1429</v>
      </c>
      <c r="C1291" t="s">
        <v>56</v>
      </c>
      <c r="D1291" t="s">
        <v>1590</v>
      </c>
      <c r="E1291" t="s">
        <v>61</v>
      </c>
    </row>
    <row r="1292" spans="1:5" x14ac:dyDescent="0.2">
      <c r="A1292" s="269">
        <v>45909.630208333336</v>
      </c>
      <c r="B1292" t="s">
        <v>1429</v>
      </c>
      <c r="C1292" t="s">
        <v>56</v>
      </c>
      <c r="D1292" t="s">
        <v>1591</v>
      </c>
      <c r="E1292" t="s">
        <v>61</v>
      </c>
    </row>
    <row r="1293" spans="1:5" x14ac:dyDescent="0.2">
      <c r="A1293" s="269">
        <v>45909.630231481482</v>
      </c>
      <c r="B1293" t="s">
        <v>1429</v>
      </c>
      <c r="C1293" t="s">
        <v>56</v>
      </c>
      <c r="D1293" t="s">
        <v>1592</v>
      </c>
      <c r="E1293" t="s">
        <v>61</v>
      </c>
    </row>
    <row r="1294" spans="1:5" x14ac:dyDescent="0.2">
      <c r="A1294" s="269">
        <v>45909.630289351851</v>
      </c>
      <c r="B1294" t="s">
        <v>1429</v>
      </c>
      <c r="C1294" t="s">
        <v>56</v>
      </c>
      <c r="D1294" t="s">
        <v>1550</v>
      </c>
      <c r="E1294" t="s">
        <v>61</v>
      </c>
    </row>
    <row r="1295" spans="1:5" x14ac:dyDescent="0.2">
      <c r="A1295" s="269">
        <v>45909.630300925928</v>
      </c>
      <c r="B1295" t="s">
        <v>1429</v>
      </c>
      <c r="C1295" t="s">
        <v>56</v>
      </c>
      <c r="D1295" t="s">
        <v>1550</v>
      </c>
      <c r="E1295" t="s">
        <v>409</v>
      </c>
    </row>
    <row r="1296" spans="1:5" x14ac:dyDescent="0.2">
      <c r="A1296" s="269">
        <v>45909.630324074074</v>
      </c>
      <c r="B1296" t="s">
        <v>1429</v>
      </c>
      <c r="C1296" t="s">
        <v>56</v>
      </c>
      <c r="D1296" t="s">
        <v>1550</v>
      </c>
      <c r="E1296" t="s">
        <v>61</v>
      </c>
    </row>
    <row r="1297" spans="1:5" x14ac:dyDescent="0.2">
      <c r="A1297" s="269">
        <v>45909.630416666667</v>
      </c>
      <c r="B1297" t="s">
        <v>1429</v>
      </c>
      <c r="C1297" t="s">
        <v>56</v>
      </c>
      <c r="D1297" t="s">
        <v>1064</v>
      </c>
      <c r="E1297" t="s">
        <v>360</v>
      </c>
    </row>
    <row r="1298" spans="1:5" x14ac:dyDescent="0.2">
      <c r="A1298" s="269">
        <v>45909.63045138889</v>
      </c>
      <c r="B1298" t="s">
        <v>1429</v>
      </c>
      <c r="C1298" t="s">
        <v>56</v>
      </c>
      <c r="D1298" t="s">
        <v>992</v>
      </c>
      <c r="E1298" t="s">
        <v>369</v>
      </c>
    </row>
    <row r="1299" spans="1:5" x14ac:dyDescent="0.2">
      <c r="A1299" s="269">
        <v>45909.630486111113</v>
      </c>
      <c r="B1299" t="s">
        <v>1429</v>
      </c>
      <c r="C1299" t="s">
        <v>56</v>
      </c>
      <c r="D1299" t="s">
        <v>1013</v>
      </c>
      <c r="E1299" t="s">
        <v>377</v>
      </c>
    </row>
    <row r="1300" spans="1:5" x14ac:dyDescent="0.2">
      <c r="A1300" s="269">
        <v>45909.630509259259</v>
      </c>
      <c r="B1300" t="s">
        <v>1429</v>
      </c>
      <c r="C1300" t="s">
        <v>56</v>
      </c>
      <c r="D1300" t="s">
        <v>1016</v>
      </c>
      <c r="E1300" t="s">
        <v>384</v>
      </c>
    </row>
    <row r="1301" spans="1:5" x14ac:dyDescent="0.2">
      <c r="A1301" s="269">
        <v>45909.630543981482</v>
      </c>
      <c r="B1301" t="s">
        <v>1429</v>
      </c>
      <c r="C1301" t="s">
        <v>56</v>
      </c>
      <c r="D1301" t="s">
        <v>1066</v>
      </c>
      <c r="E1301" t="s">
        <v>388</v>
      </c>
    </row>
    <row r="1302" spans="1:5" x14ac:dyDescent="0.2">
      <c r="A1302" s="269">
        <v>45909.630567129629</v>
      </c>
      <c r="B1302" t="s">
        <v>1429</v>
      </c>
      <c r="C1302" t="s">
        <v>56</v>
      </c>
      <c r="D1302" t="s">
        <v>1067</v>
      </c>
      <c r="E1302" t="s">
        <v>40</v>
      </c>
    </row>
    <row r="1303" spans="1:5" x14ac:dyDescent="0.2">
      <c r="A1303" s="269">
        <v>45909.630613425928</v>
      </c>
      <c r="B1303" t="s">
        <v>1429</v>
      </c>
      <c r="C1303" t="s">
        <v>56</v>
      </c>
      <c r="D1303" t="s">
        <v>1471</v>
      </c>
      <c r="E1303" t="s">
        <v>395</v>
      </c>
    </row>
    <row r="1304" spans="1:5" x14ac:dyDescent="0.2">
      <c r="A1304" s="269">
        <v>45909.630671296298</v>
      </c>
      <c r="B1304" t="s">
        <v>1429</v>
      </c>
      <c r="C1304" t="s">
        <v>56</v>
      </c>
      <c r="D1304" t="s">
        <v>1472</v>
      </c>
      <c r="E1304" t="s">
        <v>398</v>
      </c>
    </row>
    <row r="1305" spans="1:5" x14ac:dyDescent="0.2">
      <c r="A1305" s="269">
        <v>45909.63071759259</v>
      </c>
      <c r="B1305" t="s">
        <v>1429</v>
      </c>
      <c r="C1305" t="s">
        <v>56</v>
      </c>
      <c r="D1305" t="s">
        <v>1473</v>
      </c>
      <c r="E1305" t="s">
        <v>402</v>
      </c>
    </row>
    <row r="1306" spans="1:5" x14ac:dyDescent="0.2">
      <c r="A1306" s="269">
        <v>45909.63077546296</v>
      </c>
      <c r="B1306" t="s">
        <v>1429</v>
      </c>
      <c r="C1306" t="s">
        <v>56</v>
      </c>
      <c r="D1306" t="s">
        <v>1474</v>
      </c>
      <c r="E1306" t="s">
        <v>405</v>
      </c>
    </row>
    <row r="1307" spans="1:5" x14ac:dyDescent="0.2">
      <c r="A1307" s="269">
        <v>45909.630810185183</v>
      </c>
      <c r="B1307" t="s">
        <v>1429</v>
      </c>
      <c r="C1307" t="s">
        <v>56</v>
      </c>
      <c r="D1307" t="s">
        <v>1475</v>
      </c>
      <c r="E1307" t="s">
        <v>336</v>
      </c>
    </row>
    <row r="1308" spans="1:5" x14ac:dyDescent="0.2">
      <c r="A1308" s="269">
        <v>45909.630833333336</v>
      </c>
      <c r="B1308" t="s">
        <v>1429</v>
      </c>
      <c r="C1308" t="s">
        <v>56</v>
      </c>
      <c r="D1308" t="s">
        <v>1593</v>
      </c>
      <c r="E1308" t="s">
        <v>87</v>
      </c>
    </row>
    <row r="1309" spans="1:5" x14ac:dyDescent="0.2">
      <c r="A1309" s="269">
        <v>45909.630844907406</v>
      </c>
      <c r="B1309" t="s">
        <v>1429</v>
      </c>
      <c r="C1309" t="s">
        <v>56</v>
      </c>
      <c r="D1309" t="s">
        <v>1593</v>
      </c>
      <c r="E1309" t="s">
        <v>87</v>
      </c>
    </row>
    <row r="1310" spans="1:5" x14ac:dyDescent="0.2">
      <c r="A1310" s="269">
        <v>45909.630879629629</v>
      </c>
      <c r="B1310" t="s">
        <v>1429</v>
      </c>
      <c r="C1310" t="s">
        <v>56</v>
      </c>
      <c r="D1310" t="s">
        <v>1593</v>
      </c>
      <c r="E1310" t="s">
        <v>336</v>
      </c>
    </row>
    <row r="1311" spans="1:5" x14ac:dyDescent="0.2">
      <c r="A1311" s="269">
        <v>45909.630925925929</v>
      </c>
      <c r="B1311" t="s">
        <v>1429</v>
      </c>
      <c r="C1311" t="s">
        <v>56</v>
      </c>
      <c r="D1311" t="s">
        <v>1593</v>
      </c>
      <c r="E1311" t="s">
        <v>87</v>
      </c>
    </row>
    <row r="1312" spans="1:5" x14ac:dyDescent="0.2">
      <c r="A1312" s="269">
        <v>45909.630949074075</v>
      </c>
      <c r="B1312" t="s">
        <v>1429</v>
      </c>
      <c r="C1312" t="s">
        <v>56</v>
      </c>
      <c r="D1312" t="s">
        <v>1594</v>
      </c>
      <c r="E1312" t="s">
        <v>360</v>
      </c>
    </row>
    <row r="1313" spans="1:5" x14ac:dyDescent="0.2">
      <c r="A1313" s="269">
        <v>45909.630983796298</v>
      </c>
      <c r="B1313" t="s">
        <v>1429</v>
      </c>
      <c r="C1313" t="s">
        <v>56</v>
      </c>
      <c r="D1313" t="s">
        <v>1595</v>
      </c>
      <c r="E1313" t="s">
        <v>369</v>
      </c>
    </row>
    <row r="1314" spans="1:5" x14ac:dyDescent="0.2">
      <c r="A1314" s="269">
        <v>45909.631006944444</v>
      </c>
      <c r="B1314" t="s">
        <v>1429</v>
      </c>
      <c r="C1314" t="s">
        <v>56</v>
      </c>
      <c r="D1314" t="s">
        <v>1596</v>
      </c>
      <c r="E1314" t="s">
        <v>377</v>
      </c>
    </row>
    <row r="1315" spans="1:5" x14ac:dyDescent="0.2">
      <c r="A1315" s="269">
        <v>45909.631041666667</v>
      </c>
      <c r="B1315" t="s">
        <v>1429</v>
      </c>
      <c r="C1315" t="s">
        <v>56</v>
      </c>
      <c r="D1315" t="s">
        <v>1597</v>
      </c>
      <c r="E1315" t="s">
        <v>384</v>
      </c>
    </row>
    <row r="1316" spans="1:5" x14ac:dyDescent="0.2">
      <c r="A1316" s="269">
        <v>45909.631076388891</v>
      </c>
      <c r="B1316" t="s">
        <v>1429</v>
      </c>
      <c r="C1316" t="s">
        <v>56</v>
      </c>
      <c r="D1316" t="s">
        <v>1598</v>
      </c>
      <c r="E1316" t="s">
        <v>388</v>
      </c>
    </row>
    <row r="1317" spans="1:5" x14ac:dyDescent="0.2">
      <c r="A1317" s="269">
        <v>45909.631099537037</v>
      </c>
      <c r="B1317" t="s">
        <v>1429</v>
      </c>
      <c r="C1317" t="s">
        <v>56</v>
      </c>
      <c r="D1317" t="s">
        <v>1599</v>
      </c>
      <c r="E1317" t="s">
        <v>40</v>
      </c>
    </row>
    <row r="1318" spans="1:5" x14ac:dyDescent="0.2">
      <c r="A1318" s="269">
        <v>45909.631180555552</v>
      </c>
      <c r="B1318" t="s">
        <v>1429</v>
      </c>
      <c r="C1318" t="s">
        <v>56</v>
      </c>
      <c r="D1318" t="s">
        <v>1600</v>
      </c>
      <c r="E1318" t="s">
        <v>395</v>
      </c>
    </row>
    <row r="1319" spans="1:5" x14ac:dyDescent="0.2">
      <c r="A1319" s="269">
        <v>45909.631215277775</v>
      </c>
      <c r="B1319" t="s">
        <v>1429</v>
      </c>
      <c r="C1319" t="s">
        <v>56</v>
      </c>
      <c r="D1319" t="s">
        <v>1601</v>
      </c>
      <c r="E1319" t="s">
        <v>398</v>
      </c>
    </row>
    <row r="1320" spans="1:5" x14ac:dyDescent="0.2">
      <c r="A1320" s="269">
        <v>45909.631284722222</v>
      </c>
      <c r="B1320" t="s">
        <v>1429</v>
      </c>
      <c r="C1320" t="s">
        <v>56</v>
      </c>
      <c r="D1320" t="s">
        <v>1602</v>
      </c>
      <c r="E1320" t="s">
        <v>402</v>
      </c>
    </row>
    <row r="1321" spans="1:5" x14ac:dyDescent="0.2">
      <c r="A1321" s="269">
        <v>45909.631307870368</v>
      </c>
      <c r="B1321" t="s">
        <v>1429</v>
      </c>
      <c r="C1321" t="s">
        <v>56</v>
      </c>
      <c r="D1321" t="s">
        <v>1603</v>
      </c>
      <c r="E1321" t="s">
        <v>402</v>
      </c>
    </row>
    <row r="1322" spans="1:5" x14ac:dyDescent="0.2">
      <c r="A1322" s="269">
        <v>45909.631342592591</v>
      </c>
      <c r="B1322" t="s">
        <v>1429</v>
      </c>
      <c r="C1322" t="s">
        <v>56</v>
      </c>
      <c r="D1322" t="s">
        <v>1603</v>
      </c>
      <c r="E1322" t="s">
        <v>405</v>
      </c>
    </row>
    <row r="1323" spans="1:5" x14ac:dyDescent="0.2">
      <c r="A1323" s="269">
        <v>45909.632037037038</v>
      </c>
      <c r="B1323" t="s">
        <v>1429</v>
      </c>
      <c r="C1323" t="s">
        <v>56</v>
      </c>
      <c r="D1323" t="s">
        <v>1489</v>
      </c>
      <c r="E1323">
        <v>72.857799999999997</v>
      </c>
    </row>
    <row r="1324" spans="1:5" x14ac:dyDescent="0.2">
      <c r="A1324" s="269">
        <v>45909.632094907407</v>
      </c>
      <c r="B1324" t="s">
        <v>1429</v>
      </c>
      <c r="C1324" t="s">
        <v>56</v>
      </c>
      <c r="D1324" t="s">
        <v>1604</v>
      </c>
      <c r="E1324">
        <v>11.4199</v>
      </c>
    </row>
    <row r="1325" spans="1:5" x14ac:dyDescent="0.2">
      <c r="A1325" s="269">
        <v>45909.632175925923</v>
      </c>
      <c r="B1325" t="s">
        <v>1429</v>
      </c>
      <c r="C1325" t="s">
        <v>56</v>
      </c>
      <c r="D1325" t="s">
        <v>1605</v>
      </c>
      <c r="E1325">
        <v>153.08959999999999</v>
      </c>
    </row>
    <row r="1326" spans="1:5" x14ac:dyDescent="0.2">
      <c r="A1326" s="269">
        <v>45909.632291666669</v>
      </c>
      <c r="B1326" t="s">
        <v>1429</v>
      </c>
      <c r="C1326" t="s">
        <v>56</v>
      </c>
      <c r="D1326" t="s">
        <v>1606</v>
      </c>
      <c r="E1326">
        <v>59.997500000000002</v>
      </c>
    </row>
    <row r="1327" spans="1:5" x14ac:dyDescent="0.2">
      <c r="A1327" s="269">
        <v>45909.632407407407</v>
      </c>
      <c r="B1327" t="s">
        <v>1429</v>
      </c>
      <c r="C1327" t="s">
        <v>56</v>
      </c>
      <c r="D1327" t="s">
        <v>1607</v>
      </c>
      <c r="E1327">
        <v>115.67919999999999</v>
      </c>
    </row>
    <row r="1328" spans="1:5" x14ac:dyDescent="0.2">
      <c r="A1328" s="269">
        <v>45909.63244212963</v>
      </c>
      <c r="B1328" t="s">
        <v>1429</v>
      </c>
      <c r="C1328" t="s">
        <v>56</v>
      </c>
      <c r="D1328" t="s">
        <v>1608</v>
      </c>
      <c r="E1328">
        <v>18.7</v>
      </c>
    </row>
    <row r="1329" spans="1:5" x14ac:dyDescent="0.2">
      <c r="A1329" s="269">
        <v>45909.632488425923</v>
      </c>
      <c r="B1329" t="s">
        <v>1429</v>
      </c>
      <c r="C1329" t="s">
        <v>56</v>
      </c>
      <c r="D1329" t="s">
        <v>1609</v>
      </c>
      <c r="E1329">
        <v>18.5</v>
      </c>
    </row>
    <row r="1330" spans="1:5" x14ac:dyDescent="0.2">
      <c r="A1330" s="269">
        <v>45909.632511574076</v>
      </c>
      <c r="B1330" t="s">
        <v>1429</v>
      </c>
      <c r="C1330" t="s">
        <v>56</v>
      </c>
      <c r="D1330" t="s">
        <v>1610</v>
      </c>
      <c r="E1330">
        <v>0</v>
      </c>
    </row>
    <row r="1331" spans="1:5" x14ac:dyDescent="0.2">
      <c r="A1331" s="269">
        <v>45909.632592592592</v>
      </c>
      <c r="B1331" t="s">
        <v>1429</v>
      </c>
      <c r="C1331" t="s">
        <v>56</v>
      </c>
      <c r="D1331" t="s">
        <v>1611</v>
      </c>
      <c r="E1331">
        <v>237.96209999999999</v>
      </c>
    </row>
    <row r="1332" spans="1:5" x14ac:dyDescent="0.2">
      <c r="A1332" s="269">
        <v>45909.632638888892</v>
      </c>
      <c r="B1332" t="s">
        <v>1429</v>
      </c>
      <c r="C1332" t="s">
        <v>56</v>
      </c>
      <c r="D1332" t="s">
        <v>1612</v>
      </c>
      <c r="E1332">
        <v>17</v>
      </c>
    </row>
    <row r="1333" spans="1:5" x14ac:dyDescent="0.2">
      <c r="A1333" s="269">
        <v>45909.632731481484</v>
      </c>
      <c r="B1333" t="s">
        <v>1429</v>
      </c>
      <c r="C1333" t="s">
        <v>56</v>
      </c>
      <c r="D1333" t="s">
        <v>1613</v>
      </c>
      <c r="E1333">
        <v>143.61420000000001</v>
      </c>
    </row>
    <row r="1334" spans="1:5" x14ac:dyDescent="0.2">
      <c r="A1334" s="269">
        <v>45909.632800925923</v>
      </c>
      <c r="B1334" t="s">
        <v>1429</v>
      </c>
      <c r="C1334" t="s">
        <v>56</v>
      </c>
      <c r="D1334" t="s">
        <v>1614</v>
      </c>
      <c r="E1334">
        <v>61.873199999999997</v>
      </c>
    </row>
    <row r="1335" spans="1:5" x14ac:dyDescent="0.2">
      <c r="A1335" s="269">
        <v>45909.633101851854</v>
      </c>
      <c r="B1335" t="s">
        <v>1429</v>
      </c>
      <c r="C1335" t="s">
        <v>56</v>
      </c>
      <c r="D1335" t="s">
        <v>1615</v>
      </c>
      <c r="E1335">
        <v>28.65</v>
      </c>
    </row>
    <row r="1336" spans="1:5" x14ac:dyDescent="0.2">
      <c r="A1336" s="269">
        <v>45909.633159722223</v>
      </c>
      <c r="B1336" t="s">
        <v>1429</v>
      </c>
      <c r="C1336" t="s">
        <v>56</v>
      </c>
      <c r="D1336" t="s">
        <v>1616</v>
      </c>
      <c r="E1336">
        <v>4.83</v>
      </c>
    </row>
    <row r="1337" spans="1:5" x14ac:dyDescent="0.2">
      <c r="A1337" s="269">
        <v>45909.633252314816</v>
      </c>
      <c r="B1337" t="s">
        <v>1429</v>
      </c>
      <c r="C1337" t="s">
        <v>56</v>
      </c>
      <c r="D1337" t="s">
        <v>1617</v>
      </c>
      <c r="E1337">
        <v>234.64</v>
      </c>
    </row>
    <row r="1338" spans="1:5" x14ac:dyDescent="0.2">
      <c r="A1338" s="269">
        <v>45909.633310185185</v>
      </c>
      <c r="B1338" t="s">
        <v>1429</v>
      </c>
      <c r="C1338" t="s">
        <v>56</v>
      </c>
      <c r="D1338" t="s">
        <v>1618</v>
      </c>
      <c r="E1338">
        <v>29.13</v>
      </c>
    </row>
    <row r="1339" spans="1:5" x14ac:dyDescent="0.2">
      <c r="A1339" s="269">
        <v>45909.633356481485</v>
      </c>
      <c r="B1339" t="s">
        <v>1429</v>
      </c>
      <c r="C1339" t="s">
        <v>56</v>
      </c>
      <c r="D1339" t="s">
        <v>1619</v>
      </c>
      <c r="E1339">
        <v>55.04</v>
      </c>
    </row>
    <row r="1340" spans="1:5" x14ac:dyDescent="0.2">
      <c r="A1340" s="269">
        <v>45909.633379629631</v>
      </c>
      <c r="B1340" t="s">
        <v>1429</v>
      </c>
      <c r="C1340" t="s">
        <v>56</v>
      </c>
      <c r="D1340" t="s">
        <v>1620</v>
      </c>
      <c r="E1340">
        <v>30.09</v>
      </c>
    </row>
    <row r="1341" spans="1:5" x14ac:dyDescent="0.2">
      <c r="A1341" s="269">
        <v>45909.633437500001</v>
      </c>
      <c r="B1341" t="s">
        <v>1429</v>
      </c>
      <c r="C1341" t="s">
        <v>56</v>
      </c>
      <c r="D1341" t="s">
        <v>1621</v>
      </c>
      <c r="E1341">
        <v>29.77</v>
      </c>
    </row>
    <row r="1342" spans="1:5" x14ac:dyDescent="0.2">
      <c r="A1342" s="269">
        <v>45909.633472222224</v>
      </c>
      <c r="B1342" t="s">
        <v>1429</v>
      </c>
      <c r="C1342" t="s">
        <v>56</v>
      </c>
      <c r="D1342" t="s">
        <v>1622</v>
      </c>
      <c r="E1342">
        <v>0.32</v>
      </c>
    </row>
    <row r="1343" spans="1:5" x14ac:dyDescent="0.2">
      <c r="A1343" s="269">
        <v>45909.633530092593</v>
      </c>
      <c r="B1343" t="s">
        <v>1429</v>
      </c>
      <c r="C1343" t="s">
        <v>56</v>
      </c>
      <c r="D1343" t="s">
        <v>1623</v>
      </c>
      <c r="E1343">
        <v>39.270000000000003</v>
      </c>
    </row>
    <row r="1344" spans="1:5" x14ac:dyDescent="0.2">
      <c r="A1344" s="269">
        <v>45909.633576388886</v>
      </c>
      <c r="B1344" t="s">
        <v>1429</v>
      </c>
      <c r="C1344" t="s">
        <v>56</v>
      </c>
      <c r="D1344" t="s">
        <v>1624</v>
      </c>
      <c r="E1344">
        <v>27.36</v>
      </c>
    </row>
    <row r="1345" spans="1:5" x14ac:dyDescent="0.2">
      <c r="A1345" s="269">
        <v>45909.633784722224</v>
      </c>
      <c r="B1345" t="s">
        <v>1429</v>
      </c>
      <c r="C1345" t="s">
        <v>56</v>
      </c>
      <c r="D1345" t="s">
        <v>1625</v>
      </c>
      <c r="E1345">
        <v>399.28</v>
      </c>
    </row>
    <row r="1346" spans="1:5" x14ac:dyDescent="0.2">
      <c r="A1346" s="269">
        <v>45909.633877314816</v>
      </c>
      <c r="B1346" t="s">
        <v>1429</v>
      </c>
      <c r="C1346" t="s">
        <v>56</v>
      </c>
      <c r="D1346" t="s">
        <v>1626</v>
      </c>
      <c r="E1346">
        <v>40.72</v>
      </c>
    </row>
    <row r="1347" spans="1:5" x14ac:dyDescent="0.2">
      <c r="A1347" s="269">
        <v>45909.634247685186</v>
      </c>
      <c r="B1347" t="s">
        <v>1429</v>
      </c>
      <c r="C1347" t="s">
        <v>56</v>
      </c>
      <c r="D1347" t="s">
        <v>1627</v>
      </c>
      <c r="E1347" t="s">
        <v>1562</v>
      </c>
    </row>
    <row r="1348" spans="1:5" x14ac:dyDescent="0.2">
      <c r="A1348" s="269">
        <v>45909.634317129632</v>
      </c>
      <c r="B1348" t="s">
        <v>1429</v>
      </c>
      <c r="C1348" t="s">
        <v>56</v>
      </c>
      <c r="D1348" t="s">
        <v>1628</v>
      </c>
      <c r="E1348" t="s">
        <v>1564</v>
      </c>
    </row>
    <row r="1349" spans="1:5" x14ac:dyDescent="0.2">
      <c r="A1349" s="269">
        <v>45909.634363425925</v>
      </c>
      <c r="B1349" t="s">
        <v>1429</v>
      </c>
      <c r="C1349" t="s">
        <v>56</v>
      </c>
      <c r="D1349" t="s">
        <v>1628</v>
      </c>
      <c r="E1349" t="s">
        <v>1562</v>
      </c>
    </row>
    <row r="1350" spans="1:5" x14ac:dyDescent="0.2">
      <c r="A1350" s="269">
        <v>45909.634456018517</v>
      </c>
      <c r="B1350" t="s">
        <v>1429</v>
      </c>
      <c r="C1350" t="s">
        <v>56</v>
      </c>
      <c r="D1350" t="s">
        <v>1627</v>
      </c>
      <c r="E1350" t="s">
        <v>1564</v>
      </c>
    </row>
    <row r="1351" spans="1:5" x14ac:dyDescent="0.2">
      <c r="A1351" s="269">
        <v>45909.634479166663</v>
      </c>
      <c r="B1351" t="s">
        <v>1429</v>
      </c>
      <c r="C1351" t="s">
        <v>56</v>
      </c>
      <c r="D1351" t="s">
        <v>1629</v>
      </c>
      <c r="E1351" t="s">
        <v>1564</v>
      </c>
    </row>
    <row r="1352" spans="1:5" x14ac:dyDescent="0.2">
      <c r="A1352" s="269">
        <v>45909.637835648151</v>
      </c>
      <c r="B1352" t="s">
        <v>1429</v>
      </c>
      <c r="C1352" t="s">
        <v>14</v>
      </c>
      <c r="D1352" t="s">
        <v>1008</v>
      </c>
      <c r="E1352" t="s">
        <v>198</v>
      </c>
    </row>
    <row r="1353" spans="1:5" x14ac:dyDescent="0.2">
      <c r="A1353" s="269">
        <v>45909.638067129628</v>
      </c>
      <c r="B1353" t="s">
        <v>1429</v>
      </c>
      <c r="C1353" t="s">
        <v>14</v>
      </c>
      <c r="D1353" t="s">
        <v>1008</v>
      </c>
      <c r="E1353" t="s">
        <v>362</v>
      </c>
    </row>
    <row r="1354" spans="1:5" x14ac:dyDescent="0.2">
      <c r="A1354" s="269">
        <v>45909.638124999998</v>
      </c>
      <c r="B1354" t="s">
        <v>1429</v>
      </c>
      <c r="C1354" t="s">
        <v>14</v>
      </c>
      <c r="D1354" t="s">
        <v>1008</v>
      </c>
      <c r="E1354" t="s">
        <v>198</v>
      </c>
    </row>
    <row r="1355" spans="1:5" x14ac:dyDescent="0.2">
      <c r="A1355" s="269">
        <v>45909.638333333336</v>
      </c>
      <c r="B1355" t="s">
        <v>1429</v>
      </c>
      <c r="C1355" t="s">
        <v>14</v>
      </c>
      <c r="D1355" t="s">
        <v>1064</v>
      </c>
      <c r="E1355">
        <v>27</v>
      </c>
    </row>
    <row r="1356" spans="1:5" x14ac:dyDescent="0.2">
      <c r="A1356" s="269">
        <v>45909.638402777775</v>
      </c>
      <c r="B1356" t="s">
        <v>1429</v>
      </c>
      <c r="C1356" t="s">
        <v>14</v>
      </c>
      <c r="D1356" t="s">
        <v>971</v>
      </c>
      <c r="E1356" t="s">
        <v>378</v>
      </c>
    </row>
    <row r="1357" spans="1:5" x14ac:dyDescent="0.2">
      <c r="A1357" s="269">
        <v>45909.638460648152</v>
      </c>
      <c r="B1357" t="s">
        <v>1429</v>
      </c>
      <c r="C1357" t="s">
        <v>14</v>
      </c>
      <c r="D1357" t="s">
        <v>924</v>
      </c>
      <c r="E1357" t="s">
        <v>350</v>
      </c>
    </row>
    <row r="1358" spans="1:5" x14ac:dyDescent="0.2">
      <c r="A1358" s="269">
        <v>45909.639363425929</v>
      </c>
      <c r="B1358" t="s">
        <v>1429</v>
      </c>
      <c r="C1358" t="s">
        <v>14</v>
      </c>
      <c r="D1358" t="s">
        <v>980</v>
      </c>
      <c r="E1358" t="s">
        <v>1630</v>
      </c>
    </row>
    <row r="1359" spans="1:5" x14ac:dyDescent="0.2">
      <c r="A1359" s="269">
        <v>45909.639687499999</v>
      </c>
      <c r="B1359" t="s">
        <v>1429</v>
      </c>
      <c r="C1359" t="s">
        <v>14</v>
      </c>
      <c r="D1359" t="s">
        <v>1189</v>
      </c>
      <c r="E1359" t="s">
        <v>1631</v>
      </c>
    </row>
    <row r="1360" spans="1:5" x14ac:dyDescent="0.2">
      <c r="A1360" s="269">
        <v>45909.640914351854</v>
      </c>
      <c r="B1360" t="s">
        <v>1429</v>
      </c>
      <c r="C1360" t="s">
        <v>14</v>
      </c>
      <c r="D1360" t="s">
        <v>1189</v>
      </c>
      <c r="E1360" t="s">
        <v>1632</v>
      </c>
    </row>
    <row r="1361" spans="1:5" x14ac:dyDescent="0.2">
      <c r="A1361" s="269">
        <v>45909.640960648147</v>
      </c>
      <c r="B1361" t="s">
        <v>1429</v>
      </c>
      <c r="C1361" t="s">
        <v>14</v>
      </c>
      <c r="D1361" t="s">
        <v>1064</v>
      </c>
      <c r="E1361">
        <v>2</v>
      </c>
    </row>
    <row r="1362" spans="1:5" x14ac:dyDescent="0.2">
      <c r="A1362" s="269">
        <v>45909.641192129631</v>
      </c>
      <c r="B1362" t="s">
        <v>1429</v>
      </c>
      <c r="C1362" t="s">
        <v>14</v>
      </c>
      <c r="D1362" t="s">
        <v>793</v>
      </c>
      <c r="E1362" t="s">
        <v>1633</v>
      </c>
    </row>
    <row r="1363" spans="1:5" x14ac:dyDescent="0.2">
      <c r="A1363" s="269">
        <v>45909.641296296293</v>
      </c>
      <c r="B1363" t="s">
        <v>1429</v>
      </c>
      <c r="C1363" t="s">
        <v>14</v>
      </c>
      <c r="D1363" t="s">
        <v>993</v>
      </c>
      <c r="E1363" t="s">
        <v>198</v>
      </c>
    </row>
    <row r="1364" spans="1:5" x14ac:dyDescent="0.2">
      <c r="A1364" s="269">
        <v>45909.641342592593</v>
      </c>
      <c r="B1364" t="s">
        <v>1429</v>
      </c>
      <c r="C1364" t="s">
        <v>14</v>
      </c>
      <c r="D1364" t="s">
        <v>992</v>
      </c>
      <c r="E1364">
        <v>2</v>
      </c>
    </row>
    <row r="1365" spans="1:5" x14ac:dyDescent="0.2">
      <c r="A1365" s="269">
        <v>45909.641400462962</v>
      </c>
      <c r="B1365" t="s">
        <v>1429</v>
      </c>
      <c r="C1365" t="s">
        <v>14</v>
      </c>
      <c r="D1365" t="s">
        <v>974</v>
      </c>
      <c r="E1365" t="s">
        <v>378</v>
      </c>
    </row>
    <row r="1366" spans="1:5" x14ac:dyDescent="0.2">
      <c r="A1366" s="269">
        <v>45909.641539351855</v>
      </c>
      <c r="B1366" t="s">
        <v>1429</v>
      </c>
      <c r="C1366" t="s">
        <v>14</v>
      </c>
      <c r="D1366" t="s">
        <v>1011</v>
      </c>
      <c r="E1366" t="s">
        <v>1634</v>
      </c>
    </row>
    <row r="1367" spans="1:5" x14ac:dyDescent="0.2">
      <c r="A1367" s="269">
        <v>45909.641828703701</v>
      </c>
      <c r="B1367" t="s">
        <v>1429</v>
      </c>
      <c r="C1367" t="s">
        <v>14</v>
      </c>
      <c r="D1367" t="s">
        <v>1189</v>
      </c>
      <c r="E1367" t="s">
        <v>1635</v>
      </c>
    </row>
    <row r="1368" spans="1:5" x14ac:dyDescent="0.2">
      <c r="A1368" s="269">
        <v>45909.641851851855</v>
      </c>
      <c r="B1368" t="s">
        <v>1429</v>
      </c>
      <c r="C1368" t="s">
        <v>14</v>
      </c>
      <c r="D1368" t="s">
        <v>1008</v>
      </c>
    </row>
    <row r="1369" spans="1:5" x14ac:dyDescent="0.2">
      <c r="A1369" s="269">
        <v>45909.641875000001</v>
      </c>
      <c r="B1369" t="s">
        <v>1429</v>
      </c>
      <c r="C1369" t="s">
        <v>14</v>
      </c>
      <c r="D1369" t="s">
        <v>1064</v>
      </c>
    </row>
    <row r="1370" spans="1:5" x14ac:dyDescent="0.2">
      <c r="A1370" s="269">
        <v>45909.641898148147</v>
      </c>
      <c r="B1370" t="s">
        <v>1429</v>
      </c>
      <c r="C1370" t="s">
        <v>14</v>
      </c>
      <c r="D1370" t="s">
        <v>971</v>
      </c>
    </row>
    <row r="1371" spans="1:5" x14ac:dyDescent="0.2">
      <c r="A1371" s="269">
        <v>45909.641909722224</v>
      </c>
      <c r="B1371" t="s">
        <v>1429</v>
      </c>
      <c r="C1371" t="s">
        <v>14</v>
      </c>
      <c r="D1371" t="s">
        <v>924</v>
      </c>
    </row>
    <row r="1372" spans="1:5" x14ac:dyDescent="0.2">
      <c r="A1372" s="269">
        <v>45909.641979166663</v>
      </c>
      <c r="B1372" t="s">
        <v>1429</v>
      </c>
      <c r="C1372" t="s">
        <v>14</v>
      </c>
      <c r="D1372" t="s">
        <v>793</v>
      </c>
      <c r="E1372" t="s">
        <v>1632</v>
      </c>
    </row>
    <row r="1373" spans="1:5" x14ac:dyDescent="0.2">
      <c r="A1373" s="269">
        <v>45909.642083333332</v>
      </c>
      <c r="B1373" t="s">
        <v>1429</v>
      </c>
      <c r="C1373" t="s">
        <v>14</v>
      </c>
      <c r="D1373" t="s">
        <v>1189</v>
      </c>
      <c r="E1373" t="s">
        <v>1632</v>
      </c>
    </row>
    <row r="1374" spans="1:5" x14ac:dyDescent="0.2">
      <c r="A1374" s="269">
        <v>45909.642106481479</v>
      </c>
      <c r="B1374" t="s">
        <v>1429</v>
      </c>
      <c r="C1374" t="s">
        <v>14</v>
      </c>
      <c r="D1374" t="s">
        <v>793</v>
      </c>
    </row>
    <row r="1375" spans="1:5" x14ac:dyDescent="0.2">
      <c r="A1375" s="269">
        <v>45909.642118055555</v>
      </c>
      <c r="B1375" t="s">
        <v>1429</v>
      </c>
      <c r="C1375" t="s">
        <v>14</v>
      </c>
      <c r="D1375" t="s">
        <v>1011</v>
      </c>
    </row>
    <row r="1376" spans="1:5" x14ac:dyDescent="0.2">
      <c r="A1376" s="269">
        <v>45909.642129629632</v>
      </c>
      <c r="B1376" t="s">
        <v>1429</v>
      </c>
      <c r="C1376" t="s">
        <v>14</v>
      </c>
      <c r="D1376" t="s">
        <v>993</v>
      </c>
    </row>
    <row r="1377" spans="1:5" x14ac:dyDescent="0.2">
      <c r="A1377" s="269">
        <v>45909.642152777778</v>
      </c>
      <c r="B1377" t="s">
        <v>1429</v>
      </c>
      <c r="C1377" t="s">
        <v>14</v>
      </c>
      <c r="D1377" t="s">
        <v>992</v>
      </c>
    </row>
    <row r="1378" spans="1:5" x14ac:dyDescent="0.2">
      <c r="A1378" s="269">
        <v>45909.642164351855</v>
      </c>
      <c r="B1378" t="s">
        <v>1429</v>
      </c>
      <c r="C1378" t="s">
        <v>14</v>
      </c>
      <c r="D1378" t="s">
        <v>974</v>
      </c>
    </row>
    <row r="1379" spans="1:5" x14ac:dyDescent="0.2">
      <c r="A1379" s="269">
        <v>45909.642245370371</v>
      </c>
      <c r="B1379" t="s">
        <v>1429</v>
      </c>
      <c r="C1379" t="s">
        <v>14</v>
      </c>
      <c r="D1379" t="s">
        <v>1189</v>
      </c>
      <c r="E1379" t="s">
        <v>1635</v>
      </c>
    </row>
    <row r="1380" spans="1:5" x14ac:dyDescent="0.2">
      <c r="A1380" s="269">
        <v>45909.642326388886</v>
      </c>
      <c r="B1380" t="s">
        <v>1429</v>
      </c>
      <c r="C1380" t="s">
        <v>14</v>
      </c>
      <c r="D1380" t="s">
        <v>793</v>
      </c>
      <c r="E1380" t="s">
        <v>1632</v>
      </c>
    </row>
    <row r="1381" spans="1:5" x14ac:dyDescent="0.2">
      <c r="A1381" s="269">
        <v>45909.642372685186</v>
      </c>
      <c r="B1381" t="s">
        <v>1429</v>
      </c>
      <c r="C1381" t="s">
        <v>14</v>
      </c>
      <c r="D1381" t="s">
        <v>993</v>
      </c>
      <c r="E1381" t="s">
        <v>198</v>
      </c>
    </row>
    <row r="1382" spans="1:5" x14ac:dyDescent="0.2">
      <c r="A1382" s="269">
        <v>45909.642442129632</v>
      </c>
      <c r="B1382" t="s">
        <v>1429</v>
      </c>
      <c r="C1382" t="s">
        <v>14</v>
      </c>
      <c r="D1382" t="s">
        <v>1008</v>
      </c>
      <c r="E1382" t="s">
        <v>198</v>
      </c>
    </row>
    <row r="1383" spans="1:5" x14ac:dyDescent="0.2">
      <c r="A1383" s="269">
        <v>45909.642546296294</v>
      </c>
      <c r="B1383" t="s">
        <v>1429</v>
      </c>
      <c r="C1383" t="s">
        <v>14</v>
      </c>
      <c r="D1383" t="s">
        <v>974</v>
      </c>
      <c r="E1383" t="s">
        <v>378</v>
      </c>
    </row>
    <row r="1384" spans="1:5" x14ac:dyDescent="0.2">
      <c r="A1384" s="269">
        <v>45909.642731481479</v>
      </c>
      <c r="B1384" t="s">
        <v>1429</v>
      </c>
      <c r="C1384" t="s">
        <v>14</v>
      </c>
      <c r="D1384" t="s">
        <v>1189</v>
      </c>
      <c r="E1384" t="s">
        <v>1632</v>
      </c>
    </row>
    <row r="1385" spans="1:5" x14ac:dyDescent="0.2">
      <c r="A1385" s="269">
        <v>45909.642777777779</v>
      </c>
      <c r="B1385" t="s">
        <v>1429</v>
      </c>
      <c r="C1385" t="s">
        <v>14</v>
      </c>
      <c r="D1385" t="s">
        <v>1064</v>
      </c>
      <c r="E1385">
        <v>2</v>
      </c>
    </row>
    <row r="1386" spans="1:5" x14ac:dyDescent="0.2">
      <c r="A1386" s="269">
        <v>45909.642928240741</v>
      </c>
      <c r="B1386" t="s">
        <v>1429</v>
      </c>
      <c r="C1386" t="s">
        <v>14</v>
      </c>
      <c r="D1386" t="s">
        <v>793</v>
      </c>
      <c r="E1386" t="s">
        <v>1633</v>
      </c>
    </row>
    <row r="1387" spans="1:5" x14ac:dyDescent="0.2">
      <c r="A1387" s="269">
        <v>45909.642951388887</v>
      </c>
      <c r="B1387" t="s">
        <v>1429</v>
      </c>
      <c r="C1387" t="s">
        <v>14</v>
      </c>
      <c r="D1387" t="s">
        <v>992</v>
      </c>
      <c r="E1387">
        <v>2</v>
      </c>
    </row>
    <row r="1388" spans="1:5" x14ac:dyDescent="0.2">
      <c r="A1388" s="269">
        <v>45909.642997685187</v>
      </c>
      <c r="B1388" t="s">
        <v>1429</v>
      </c>
      <c r="C1388" t="s">
        <v>14</v>
      </c>
      <c r="D1388" t="s">
        <v>971</v>
      </c>
      <c r="E1388" t="s">
        <v>378</v>
      </c>
    </row>
    <row r="1389" spans="1:5" x14ac:dyDescent="0.2">
      <c r="A1389" s="269">
        <v>45909.643136574072</v>
      </c>
      <c r="B1389" t="s">
        <v>1429</v>
      </c>
      <c r="C1389" t="s">
        <v>14</v>
      </c>
      <c r="D1389" t="s">
        <v>1011</v>
      </c>
      <c r="E1389" t="s">
        <v>1634</v>
      </c>
    </row>
    <row r="1390" spans="1:5" x14ac:dyDescent="0.2">
      <c r="A1390" s="269">
        <v>45909.643171296295</v>
      </c>
      <c r="B1390" t="s">
        <v>1429</v>
      </c>
      <c r="C1390" t="s">
        <v>14</v>
      </c>
      <c r="D1390" t="s">
        <v>1013</v>
      </c>
      <c r="E1390">
        <v>2</v>
      </c>
    </row>
    <row r="1391" spans="1:5" x14ac:dyDescent="0.2">
      <c r="A1391" s="269">
        <v>45909.64366898148</v>
      </c>
      <c r="B1391" t="s">
        <v>1429</v>
      </c>
      <c r="C1391" t="s">
        <v>14</v>
      </c>
      <c r="D1391" t="s">
        <v>745</v>
      </c>
      <c r="E1391" t="s">
        <v>1636</v>
      </c>
    </row>
    <row r="1392" spans="1:5" x14ac:dyDescent="0.2">
      <c r="A1392" s="269">
        <v>45909.643784722219</v>
      </c>
      <c r="B1392" t="s">
        <v>1429</v>
      </c>
      <c r="C1392" t="s">
        <v>14</v>
      </c>
      <c r="D1392" t="s">
        <v>1468</v>
      </c>
      <c r="E1392" t="s">
        <v>1637</v>
      </c>
    </row>
    <row r="1393" spans="1:5" x14ac:dyDescent="0.2">
      <c r="A1393" s="269">
        <v>45909.643888888888</v>
      </c>
      <c r="B1393" t="s">
        <v>1429</v>
      </c>
      <c r="C1393" t="s">
        <v>14</v>
      </c>
      <c r="D1393" t="s">
        <v>1469</v>
      </c>
      <c r="E1393" t="s">
        <v>1638</v>
      </c>
    </row>
    <row r="1394" spans="1:5" x14ac:dyDescent="0.2">
      <c r="A1394" s="269">
        <v>45909.643958333334</v>
      </c>
      <c r="B1394" t="s">
        <v>1429</v>
      </c>
      <c r="C1394" t="s">
        <v>14</v>
      </c>
      <c r="D1394" t="s">
        <v>1470</v>
      </c>
      <c r="E1394" t="s">
        <v>1639</v>
      </c>
    </row>
    <row r="1395" spans="1:5" x14ac:dyDescent="0.2">
      <c r="A1395" s="269">
        <v>45909.644050925926</v>
      </c>
      <c r="B1395" t="s">
        <v>1429</v>
      </c>
      <c r="C1395" t="s">
        <v>14</v>
      </c>
      <c r="D1395" t="s">
        <v>670</v>
      </c>
      <c r="E1395" t="s">
        <v>1640</v>
      </c>
    </row>
    <row r="1396" spans="1:5" x14ac:dyDescent="0.2">
      <c r="A1396" s="269">
        <v>45909.644236111111</v>
      </c>
      <c r="B1396" t="s">
        <v>1429</v>
      </c>
      <c r="C1396" t="s">
        <v>14</v>
      </c>
      <c r="D1396" t="s">
        <v>672</v>
      </c>
      <c r="E1396" t="s">
        <v>1641</v>
      </c>
    </row>
    <row r="1397" spans="1:5" x14ac:dyDescent="0.2">
      <c r="A1397" s="269">
        <v>45909.644282407404</v>
      </c>
      <c r="B1397" t="s">
        <v>1429</v>
      </c>
      <c r="C1397" t="s">
        <v>14</v>
      </c>
      <c r="D1397" t="s">
        <v>1189</v>
      </c>
      <c r="E1397" t="s">
        <v>1642</v>
      </c>
    </row>
    <row r="1398" spans="1:5" x14ac:dyDescent="0.2">
      <c r="A1398" s="269">
        <v>45909.64434027778</v>
      </c>
      <c r="B1398" t="s">
        <v>1429</v>
      </c>
      <c r="C1398" t="s">
        <v>14</v>
      </c>
      <c r="D1398" t="s">
        <v>1011</v>
      </c>
      <c r="E1398" t="s">
        <v>1643</v>
      </c>
    </row>
    <row r="1399" spans="1:5" x14ac:dyDescent="0.2">
      <c r="A1399" s="269">
        <v>45909.644375000003</v>
      </c>
      <c r="B1399" t="s">
        <v>1429</v>
      </c>
      <c r="C1399" t="s">
        <v>14</v>
      </c>
      <c r="D1399" t="s">
        <v>793</v>
      </c>
      <c r="E1399" t="s">
        <v>1644</v>
      </c>
    </row>
    <row r="1400" spans="1:5" x14ac:dyDescent="0.2">
      <c r="A1400" s="269">
        <v>45909.644432870373</v>
      </c>
      <c r="B1400" t="s">
        <v>1429</v>
      </c>
      <c r="C1400" t="s">
        <v>14</v>
      </c>
      <c r="D1400" t="s">
        <v>745</v>
      </c>
      <c r="E1400" t="s">
        <v>1645</v>
      </c>
    </row>
    <row r="1401" spans="1:5" x14ac:dyDescent="0.2">
      <c r="A1401" s="269">
        <v>45909.644479166665</v>
      </c>
      <c r="B1401" t="s">
        <v>1429</v>
      </c>
      <c r="C1401" t="s">
        <v>14</v>
      </c>
      <c r="D1401" t="s">
        <v>1468</v>
      </c>
      <c r="E1401" t="s">
        <v>1646</v>
      </c>
    </row>
    <row r="1402" spans="1:5" x14ac:dyDescent="0.2">
      <c r="A1402" s="269">
        <v>45909.644513888888</v>
      </c>
      <c r="B1402" t="s">
        <v>1429</v>
      </c>
      <c r="C1402" t="s">
        <v>14</v>
      </c>
      <c r="D1402" t="s">
        <v>1469</v>
      </c>
      <c r="E1402" t="s">
        <v>1647</v>
      </c>
    </row>
    <row r="1403" spans="1:5" x14ac:dyDescent="0.2">
      <c r="A1403" s="269">
        <v>45909.644548611112</v>
      </c>
      <c r="B1403" t="s">
        <v>1429</v>
      </c>
      <c r="C1403" t="s">
        <v>14</v>
      </c>
      <c r="D1403" t="s">
        <v>1470</v>
      </c>
      <c r="E1403" t="s">
        <v>1648</v>
      </c>
    </row>
    <row r="1404" spans="1:5" x14ac:dyDescent="0.2">
      <c r="A1404" s="269">
        <v>45909.644571759258</v>
      </c>
      <c r="B1404" t="s">
        <v>1429</v>
      </c>
      <c r="C1404" t="s">
        <v>14</v>
      </c>
      <c r="D1404" t="s">
        <v>670</v>
      </c>
      <c r="E1404" t="s">
        <v>1649</v>
      </c>
    </row>
    <row r="1405" spans="1:5" x14ac:dyDescent="0.2">
      <c r="A1405" s="269">
        <v>45909.644606481481</v>
      </c>
      <c r="B1405" t="s">
        <v>1429</v>
      </c>
      <c r="C1405" t="s">
        <v>14</v>
      </c>
      <c r="D1405" t="s">
        <v>672</v>
      </c>
      <c r="E1405" t="s">
        <v>1650</v>
      </c>
    </row>
    <row r="1406" spans="1:5" x14ac:dyDescent="0.2">
      <c r="A1406" s="269">
        <v>45909.644745370373</v>
      </c>
      <c r="B1406" t="s">
        <v>1429</v>
      </c>
      <c r="C1406" t="s">
        <v>14</v>
      </c>
      <c r="D1406" t="s">
        <v>673</v>
      </c>
      <c r="E1406" t="s">
        <v>1651</v>
      </c>
    </row>
    <row r="1407" spans="1:5" x14ac:dyDescent="0.2">
      <c r="A1407" s="269">
        <v>45909.644837962966</v>
      </c>
      <c r="B1407" t="s">
        <v>1429</v>
      </c>
      <c r="C1407" t="s">
        <v>14</v>
      </c>
      <c r="D1407" t="s">
        <v>672</v>
      </c>
      <c r="E1407" t="s">
        <v>1652</v>
      </c>
    </row>
    <row r="1408" spans="1:5" x14ac:dyDescent="0.2">
      <c r="A1408" s="269">
        <v>45909.644942129627</v>
      </c>
      <c r="B1408" t="s">
        <v>1429</v>
      </c>
      <c r="C1408" t="s">
        <v>14</v>
      </c>
      <c r="D1408" t="s">
        <v>673</v>
      </c>
      <c r="E1408" t="s">
        <v>1653</v>
      </c>
    </row>
    <row r="1409" spans="1:5" x14ac:dyDescent="0.2">
      <c r="A1409" s="269">
        <v>45909.644999999997</v>
      </c>
      <c r="B1409" t="s">
        <v>1429</v>
      </c>
      <c r="C1409" t="s">
        <v>14</v>
      </c>
      <c r="D1409" t="s">
        <v>674</v>
      </c>
      <c r="E1409" t="s">
        <v>1654</v>
      </c>
    </row>
    <row r="1410" spans="1:5" x14ac:dyDescent="0.2">
      <c r="A1410" s="269">
        <v>45909.645069444443</v>
      </c>
      <c r="B1410" t="s">
        <v>1429</v>
      </c>
      <c r="C1410" t="s">
        <v>14</v>
      </c>
      <c r="D1410" t="s">
        <v>1012</v>
      </c>
      <c r="E1410" t="s">
        <v>195</v>
      </c>
    </row>
    <row r="1411" spans="1:5" x14ac:dyDescent="0.2">
      <c r="A1411" s="269">
        <v>45909.64508101852</v>
      </c>
      <c r="B1411" t="s">
        <v>1429</v>
      </c>
      <c r="C1411" t="s">
        <v>14</v>
      </c>
      <c r="D1411" t="s">
        <v>1012</v>
      </c>
      <c r="E1411" t="s">
        <v>192</v>
      </c>
    </row>
    <row r="1412" spans="1:5" x14ac:dyDescent="0.2">
      <c r="A1412" s="269">
        <v>45909.645104166666</v>
      </c>
      <c r="B1412" t="s">
        <v>1429</v>
      </c>
      <c r="C1412" t="s">
        <v>14</v>
      </c>
      <c r="D1412" t="s">
        <v>1012</v>
      </c>
      <c r="E1412" t="s">
        <v>198</v>
      </c>
    </row>
    <row r="1413" spans="1:5" x14ac:dyDescent="0.2">
      <c r="A1413" s="269">
        <v>45909.645127314812</v>
      </c>
      <c r="B1413" t="s">
        <v>1429</v>
      </c>
      <c r="C1413" t="s">
        <v>14</v>
      </c>
      <c r="D1413" t="s">
        <v>1015</v>
      </c>
      <c r="E1413" t="s">
        <v>198</v>
      </c>
    </row>
    <row r="1414" spans="1:5" x14ac:dyDescent="0.2">
      <c r="A1414" s="269">
        <v>45909.645150462966</v>
      </c>
      <c r="B1414" t="s">
        <v>1429</v>
      </c>
      <c r="C1414" t="s">
        <v>14</v>
      </c>
      <c r="D1414" t="s">
        <v>1551</v>
      </c>
      <c r="E1414" t="s">
        <v>198</v>
      </c>
    </row>
    <row r="1415" spans="1:5" x14ac:dyDescent="0.2">
      <c r="A1415" s="269">
        <v>45909.645185185182</v>
      </c>
      <c r="B1415" t="s">
        <v>1429</v>
      </c>
      <c r="C1415" t="s">
        <v>14</v>
      </c>
      <c r="D1415" t="s">
        <v>1552</v>
      </c>
      <c r="E1415" t="s">
        <v>198</v>
      </c>
    </row>
    <row r="1416" spans="1:5" x14ac:dyDescent="0.2">
      <c r="A1416" s="269">
        <v>45909.645208333335</v>
      </c>
      <c r="B1416" t="s">
        <v>1429</v>
      </c>
      <c r="C1416" t="s">
        <v>14</v>
      </c>
      <c r="D1416" t="s">
        <v>1553</v>
      </c>
      <c r="E1416" t="s">
        <v>198</v>
      </c>
    </row>
    <row r="1417" spans="1:5" x14ac:dyDescent="0.2">
      <c r="A1417" s="269">
        <v>45909.645231481481</v>
      </c>
      <c r="B1417" t="s">
        <v>1429</v>
      </c>
      <c r="C1417" t="s">
        <v>14</v>
      </c>
      <c r="D1417" t="s">
        <v>1554</v>
      </c>
      <c r="E1417" t="s">
        <v>198</v>
      </c>
    </row>
    <row r="1418" spans="1:5" x14ac:dyDescent="0.2">
      <c r="A1418" s="269">
        <v>45909.645254629628</v>
      </c>
      <c r="B1418" t="s">
        <v>1429</v>
      </c>
      <c r="C1418" t="s">
        <v>14</v>
      </c>
      <c r="D1418" t="s">
        <v>1555</v>
      </c>
      <c r="E1418" t="s">
        <v>198</v>
      </c>
    </row>
    <row r="1419" spans="1:5" x14ac:dyDescent="0.2">
      <c r="A1419" s="269">
        <v>45909.645277777781</v>
      </c>
      <c r="B1419" t="s">
        <v>1429</v>
      </c>
      <c r="C1419" t="s">
        <v>14</v>
      </c>
      <c r="D1419" t="s">
        <v>1556</v>
      </c>
      <c r="E1419" t="s">
        <v>198</v>
      </c>
    </row>
    <row r="1420" spans="1:5" x14ac:dyDescent="0.2">
      <c r="A1420" s="269">
        <v>45909.645312499997</v>
      </c>
      <c r="B1420" t="s">
        <v>1429</v>
      </c>
      <c r="C1420" t="s">
        <v>14</v>
      </c>
      <c r="D1420" t="s">
        <v>1581</v>
      </c>
      <c r="E1420" t="s">
        <v>198</v>
      </c>
    </row>
    <row r="1421" spans="1:5" x14ac:dyDescent="0.2">
      <c r="A1421" s="269">
        <v>45909.645358796297</v>
      </c>
      <c r="B1421" t="s">
        <v>1429</v>
      </c>
      <c r="C1421" t="s">
        <v>14</v>
      </c>
      <c r="D1421" t="s">
        <v>1016</v>
      </c>
      <c r="E1421">
        <v>1</v>
      </c>
    </row>
    <row r="1422" spans="1:5" x14ac:dyDescent="0.2">
      <c r="A1422" s="269">
        <v>45909.645381944443</v>
      </c>
      <c r="B1422" t="s">
        <v>1429</v>
      </c>
      <c r="C1422" t="s">
        <v>14</v>
      </c>
      <c r="D1422" t="s">
        <v>1066</v>
      </c>
      <c r="E1422">
        <v>1</v>
      </c>
    </row>
    <row r="1423" spans="1:5" x14ac:dyDescent="0.2">
      <c r="A1423" s="269">
        <v>45909.645416666666</v>
      </c>
      <c r="B1423" t="s">
        <v>1429</v>
      </c>
      <c r="C1423" t="s">
        <v>14</v>
      </c>
      <c r="D1423" t="s">
        <v>1067</v>
      </c>
      <c r="E1423">
        <v>1</v>
      </c>
    </row>
    <row r="1424" spans="1:5" x14ac:dyDescent="0.2">
      <c r="A1424" s="269">
        <v>45909.645439814813</v>
      </c>
      <c r="B1424" t="s">
        <v>1429</v>
      </c>
      <c r="C1424" t="s">
        <v>14</v>
      </c>
      <c r="D1424" t="s">
        <v>1471</v>
      </c>
      <c r="E1424">
        <v>1</v>
      </c>
    </row>
    <row r="1425" spans="1:5" x14ac:dyDescent="0.2">
      <c r="A1425" s="269">
        <v>45909.645462962966</v>
      </c>
      <c r="B1425" t="s">
        <v>1429</v>
      </c>
      <c r="C1425" t="s">
        <v>14</v>
      </c>
      <c r="D1425" t="s">
        <v>1472</v>
      </c>
      <c r="E1425">
        <v>1</v>
      </c>
    </row>
    <row r="1426" spans="1:5" x14ac:dyDescent="0.2">
      <c r="A1426" s="269">
        <v>45909.645486111112</v>
      </c>
      <c r="B1426" t="s">
        <v>1429</v>
      </c>
      <c r="C1426" t="s">
        <v>14</v>
      </c>
      <c r="D1426" t="s">
        <v>1473</v>
      </c>
      <c r="E1426">
        <v>2</v>
      </c>
    </row>
    <row r="1427" spans="1:5" x14ac:dyDescent="0.2">
      <c r="A1427" s="269">
        <v>45909.645497685182</v>
      </c>
      <c r="B1427" t="s">
        <v>1429</v>
      </c>
      <c r="C1427" t="s">
        <v>14</v>
      </c>
      <c r="D1427" t="s">
        <v>1474</v>
      </c>
      <c r="E1427">
        <v>2</v>
      </c>
    </row>
    <row r="1428" spans="1:5" x14ac:dyDescent="0.2">
      <c r="A1428" s="269">
        <v>45909.645520833335</v>
      </c>
      <c r="B1428" t="s">
        <v>1429</v>
      </c>
      <c r="C1428" t="s">
        <v>14</v>
      </c>
      <c r="D1428" t="s">
        <v>1475</v>
      </c>
      <c r="E1428">
        <v>1</v>
      </c>
    </row>
    <row r="1429" spans="1:5" x14ac:dyDescent="0.2">
      <c r="A1429" s="269">
        <v>45909.645624999997</v>
      </c>
      <c r="B1429" t="s">
        <v>1429</v>
      </c>
      <c r="C1429" t="s">
        <v>14</v>
      </c>
      <c r="D1429" t="s">
        <v>975</v>
      </c>
      <c r="E1429" t="s">
        <v>378</v>
      </c>
    </row>
    <row r="1430" spans="1:5" x14ac:dyDescent="0.2">
      <c r="A1430" s="269">
        <v>45909.645648148151</v>
      </c>
      <c r="B1430" t="s">
        <v>1429</v>
      </c>
      <c r="C1430" t="s">
        <v>14</v>
      </c>
      <c r="D1430" t="s">
        <v>921</v>
      </c>
      <c r="E1430" t="s">
        <v>378</v>
      </c>
    </row>
    <row r="1431" spans="1:5" x14ac:dyDescent="0.2">
      <c r="A1431" s="269">
        <v>45909.645671296297</v>
      </c>
      <c r="B1431" t="s">
        <v>1429</v>
      </c>
      <c r="C1431" t="s">
        <v>14</v>
      </c>
      <c r="D1431" t="s">
        <v>916</v>
      </c>
      <c r="E1431" t="s">
        <v>378</v>
      </c>
    </row>
    <row r="1432" spans="1:5" x14ac:dyDescent="0.2">
      <c r="A1432" s="269">
        <v>45909.645682870374</v>
      </c>
      <c r="B1432" t="s">
        <v>1429</v>
      </c>
      <c r="C1432" t="s">
        <v>14</v>
      </c>
      <c r="D1432" t="s">
        <v>922</v>
      </c>
      <c r="E1432" t="s">
        <v>378</v>
      </c>
    </row>
    <row r="1433" spans="1:5" x14ac:dyDescent="0.2">
      <c r="A1433" s="269">
        <v>45909.645694444444</v>
      </c>
      <c r="B1433" t="s">
        <v>1429</v>
      </c>
      <c r="C1433" t="s">
        <v>14</v>
      </c>
      <c r="D1433" t="s">
        <v>1477</v>
      </c>
      <c r="E1433" t="s">
        <v>378</v>
      </c>
    </row>
    <row r="1434" spans="1:5" x14ac:dyDescent="0.2">
      <c r="A1434" s="269">
        <v>45909.64570601852</v>
      </c>
      <c r="B1434" t="s">
        <v>1429</v>
      </c>
      <c r="C1434" t="s">
        <v>14</v>
      </c>
      <c r="D1434" t="s">
        <v>979</v>
      </c>
      <c r="E1434" t="s">
        <v>378</v>
      </c>
    </row>
    <row r="1435" spans="1:5" x14ac:dyDescent="0.2">
      <c r="A1435" s="269">
        <v>45909.645729166667</v>
      </c>
      <c r="B1435" t="s">
        <v>1429</v>
      </c>
      <c r="C1435" t="s">
        <v>14</v>
      </c>
      <c r="D1435" t="s">
        <v>1478</v>
      </c>
      <c r="E1435" t="s">
        <v>378</v>
      </c>
    </row>
    <row r="1436" spans="1:5" x14ac:dyDescent="0.2">
      <c r="A1436" s="269">
        <v>45909.645740740743</v>
      </c>
      <c r="B1436" t="s">
        <v>1429</v>
      </c>
      <c r="C1436" t="s">
        <v>14</v>
      </c>
      <c r="D1436" t="s">
        <v>1479</v>
      </c>
      <c r="E1436" t="s">
        <v>378</v>
      </c>
    </row>
    <row r="1437" spans="1:5" x14ac:dyDescent="0.2">
      <c r="A1437" s="269">
        <v>45909.645752314813</v>
      </c>
      <c r="B1437" t="s">
        <v>1429</v>
      </c>
      <c r="C1437" t="s">
        <v>14</v>
      </c>
      <c r="D1437" t="s">
        <v>1480</v>
      </c>
      <c r="E1437" t="s">
        <v>378</v>
      </c>
    </row>
    <row r="1438" spans="1:5" x14ac:dyDescent="0.2">
      <c r="A1438" s="269">
        <v>45909.646724537037</v>
      </c>
      <c r="B1438" t="s">
        <v>1429</v>
      </c>
      <c r="C1438" t="s">
        <v>14</v>
      </c>
      <c r="D1438" t="s">
        <v>675</v>
      </c>
      <c r="E1438" t="s">
        <v>1655</v>
      </c>
    </row>
    <row r="1439" spans="1:5" x14ac:dyDescent="0.2">
      <c r="A1439" s="269">
        <v>45909.646956018521</v>
      </c>
      <c r="B1439" t="s">
        <v>1429</v>
      </c>
      <c r="C1439" t="s">
        <v>14</v>
      </c>
      <c r="D1439" t="s">
        <v>676</v>
      </c>
      <c r="E1439" t="s">
        <v>1656</v>
      </c>
    </row>
    <row r="1440" spans="1:5" x14ac:dyDescent="0.2">
      <c r="A1440" s="269">
        <v>45909.647002314814</v>
      </c>
      <c r="B1440" t="s">
        <v>1429</v>
      </c>
      <c r="C1440" t="s">
        <v>14</v>
      </c>
      <c r="D1440" t="s">
        <v>675</v>
      </c>
      <c r="E1440" t="s">
        <v>1657</v>
      </c>
    </row>
    <row r="1441" spans="1:5" x14ac:dyDescent="0.2">
      <c r="A1441" s="269">
        <v>45909.64707175926</v>
      </c>
      <c r="B1441" t="s">
        <v>1429</v>
      </c>
      <c r="C1441" t="s">
        <v>14</v>
      </c>
      <c r="D1441" t="s">
        <v>1572</v>
      </c>
      <c r="E1441" t="s">
        <v>1658</v>
      </c>
    </row>
    <row r="1442" spans="1:5" x14ac:dyDescent="0.2">
      <c r="A1442" s="269">
        <v>45909.647129629629</v>
      </c>
      <c r="B1442" t="s">
        <v>1429</v>
      </c>
      <c r="C1442" t="s">
        <v>14</v>
      </c>
      <c r="D1442" t="s">
        <v>1572</v>
      </c>
      <c r="E1442" t="s">
        <v>1659</v>
      </c>
    </row>
    <row r="1443" spans="1:5" x14ac:dyDescent="0.2">
      <c r="A1443" s="269">
        <v>45909.647361111114</v>
      </c>
      <c r="B1443" t="s">
        <v>1429</v>
      </c>
      <c r="C1443" t="s">
        <v>14</v>
      </c>
      <c r="D1443" t="s">
        <v>1573</v>
      </c>
      <c r="E1443" t="s">
        <v>1660</v>
      </c>
    </row>
    <row r="1444" spans="1:5" x14ac:dyDescent="0.2">
      <c r="A1444" s="269">
        <v>45909.647476851853</v>
      </c>
      <c r="B1444" t="s">
        <v>1429</v>
      </c>
      <c r="C1444" t="s">
        <v>14</v>
      </c>
      <c r="D1444" t="s">
        <v>1574</v>
      </c>
      <c r="E1444" t="s">
        <v>1661</v>
      </c>
    </row>
    <row r="1445" spans="1:5" x14ac:dyDescent="0.2">
      <c r="A1445" s="269">
        <v>45909.647557870368</v>
      </c>
      <c r="B1445" t="s">
        <v>1429</v>
      </c>
      <c r="C1445" t="s">
        <v>14</v>
      </c>
      <c r="D1445" t="s">
        <v>1575</v>
      </c>
      <c r="E1445" t="s">
        <v>1662</v>
      </c>
    </row>
    <row r="1446" spans="1:5" x14ac:dyDescent="0.2">
      <c r="A1446" s="269">
        <v>45909.647627314815</v>
      </c>
      <c r="B1446" t="s">
        <v>1429</v>
      </c>
      <c r="C1446" t="s">
        <v>14</v>
      </c>
      <c r="D1446" t="s">
        <v>1576</v>
      </c>
      <c r="E1446" t="s">
        <v>1663</v>
      </c>
    </row>
    <row r="1447" spans="1:5" x14ac:dyDescent="0.2">
      <c r="A1447" s="269">
        <v>45909.647719907407</v>
      </c>
      <c r="B1447" t="s">
        <v>1429</v>
      </c>
      <c r="C1447" t="s">
        <v>14</v>
      </c>
      <c r="D1447" t="s">
        <v>1577</v>
      </c>
      <c r="E1447" t="s">
        <v>1664</v>
      </c>
    </row>
    <row r="1448" spans="1:5" x14ac:dyDescent="0.2">
      <c r="A1448" s="269">
        <v>45909.647800925923</v>
      </c>
      <c r="B1448" t="s">
        <v>1429</v>
      </c>
      <c r="C1448" t="s">
        <v>14</v>
      </c>
      <c r="D1448" t="s">
        <v>1593</v>
      </c>
      <c r="E1448">
        <v>2</v>
      </c>
    </row>
    <row r="1449" spans="1:5" x14ac:dyDescent="0.2">
      <c r="A1449" s="269">
        <v>45909.647824074076</v>
      </c>
      <c r="B1449" t="s">
        <v>1429</v>
      </c>
      <c r="C1449" t="s">
        <v>14</v>
      </c>
      <c r="D1449" t="s">
        <v>1594</v>
      </c>
      <c r="E1449">
        <v>1</v>
      </c>
    </row>
    <row r="1450" spans="1:5" x14ac:dyDescent="0.2">
      <c r="A1450" s="269">
        <v>45909.647847222222</v>
      </c>
      <c r="B1450" t="s">
        <v>1429</v>
      </c>
      <c r="C1450" t="s">
        <v>14</v>
      </c>
      <c r="D1450" t="s">
        <v>1595</v>
      </c>
      <c r="E1450">
        <v>1</v>
      </c>
    </row>
    <row r="1451" spans="1:5" x14ac:dyDescent="0.2">
      <c r="A1451" s="269">
        <v>45909.647881944446</v>
      </c>
      <c r="B1451" t="s">
        <v>1429</v>
      </c>
      <c r="C1451" t="s">
        <v>14</v>
      </c>
      <c r="D1451" t="s">
        <v>1596</v>
      </c>
      <c r="E1451">
        <v>1</v>
      </c>
    </row>
    <row r="1452" spans="1:5" x14ac:dyDescent="0.2">
      <c r="A1452" s="269">
        <v>45909.647905092592</v>
      </c>
      <c r="B1452" t="s">
        <v>1429</v>
      </c>
      <c r="C1452" t="s">
        <v>14</v>
      </c>
      <c r="D1452" t="s">
        <v>1597</v>
      </c>
      <c r="E1452">
        <v>2</v>
      </c>
    </row>
    <row r="1453" spans="1:5" x14ac:dyDescent="0.2">
      <c r="A1453" s="269">
        <v>45909.647928240738</v>
      </c>
      <c r="B1453" t="s">
        <v>1429</v>
      </c>
      <c r="C1453" t="s">
        <v>14</v>
      </c>
      <c r="D1453" t="s">
        <v>1598</v>
      </c>
      <c r="E1453">
        <v>2</v>
      </c>
    </row>
    <row r="1454" spans="1:5" x14ac:dyDescent="0.2">
      <c r="A1454" s="269">
        <v>45909.647939814815</v>
      </c>
      <c r="B1454" t="s">
        <v>1429</v>
      </c>
      <c r="C1454" t="s">
        <v>14</v>
      </c>
      <c r="D1454" t="s">
        <v>1599</v>
      </c>
      <c r="E1454">
        <v>1</v>
      </c>
    </row>
    <row r="1455" spans="1:5" x14ac:dyDescent="0.2">
      <c r="A1455" s="269">
        <v>45909.648090277777</v>
      </c>
      <c r="B1455" t="s">
        <v>1429</v>
      </c>
      <c r="C1455" t="s">
        <v>14</v>
      </c>
      <c r="D1455" t="s">
        <v>1600</v>
      </c>
      <c r="E1455">
        <v>1</v>
      </c>
    </row>
    <row r="1456" spans="1:5" x14ac:dyDescent="0.2">
      <c r="A1456" s="269">
        <v>45909.648298611108</v>
      </c>
      <c r="B1456" t="s">
        <v>1429</v>
      </c>
      <c r="C1456" t="s">
        <v>14</v>
      </c>
      <c r="D1456" t="s">
        <v>1665</v>
      </c>
      <c r="E1456" t="s">
        <v>378</v>
      </c>
    </row>
    <row r="1457" spans="1:5" x14ac:dyDescent="0.2">
      <c r="A1457" s="269">
        <v>45909.648310185185</v>
      </c>
      <c r="B1457" t="s">
        <v>1429</v>
      </c>
      <c r="C1457" t="s">
        <v>14</v>
      </c>
      <c r="D1457" t="s">
        <v>1666</v>
      </c>
      <c r="E1457" t="s">
        <v>378</v>
      </c>
    </row>
    <row r="1458" spans="1:5" x14ac:dyDescent="0.2">
      <c r="A1458" s="269">
        <v>45909.648310185185</v>
      </c>
      <c r="B1458" t="s">
        <v>1429</v>
      </c>
      <c r="C1458" t="s">
        <v>14</v>
      </c>
      <c r="D1458" t="s">
        <v>1667</v>
      </c>
      <c r="E1458" t="s">
        <v>378</v>
      </c>
    </row>
    <row r="1459" spans="1:5" x14ac:dyDescent="0.2">
      <c r="A1459" s="269">
        <v>45909.648333333331</v>
      </c>
      <c r="B1459" t="s">
        <v>1429</v>
      </c>
      <c r="C1459" t="s">
        <v>14</v>
      </c>
      <c r="D1459" t="s">
        <v>1668</v>
      </c>
      <c r="E1459" t="s">
        <v>378</v>
      </c>
    </row>
    <row r="1460" spans="1:5" x14ac:dyDescent="0.2">
      <c r="A1460" s="269">
        <v>45909.648344907408</v>
      </c>
      <c r="B1460" t="s">
        <v>1429</v>
      </c>
      <c r="C1460" t="s">
        <v>14</v>
      </c>
      <c r="D1460" t="s">
        <v>1669</v>
      </c>
      <c r="E1460" t="s">
        <v>378</v>
      </c>
    </row>
    <row r="1461" spans="1:5" x14ac:dyDescent="0.2">
      <c r="A1461" s="269">
        <v>45909.648356481484</v>
      </c>
      <c r="B1461" t="s">
        <v>1429</v>
      </c>
      <c r="C1461" t="s">
        <v>14</v>
      </c>
      <c r="D1461" t="s">
        <v>1670</v>
      </c>
      <c r="E1461" t="s">
        <v>378</v>
      </c>
    </row>
    <row r="1462" spans="1:5" x14ac:dyDescent="0.2">
      <c r="A1462" s="269">
        <v>45909.648379629631</v>
      </c>
      <c r="B1462" t="s">
        <v>1429</v>
      </c>
      <c r="C1462" t="s">
        <v>14</v>
      </c>
      <c r="D1462" t="s">
        <v>1671</v>
      </c>
      <c r="E1462" t="s">
        <v>378</v>
      </c>
    </row>
    <row r="1463" spans="1:5" x14ac:dyDescent="0.2">
      <c r="A1463" s="269">
        <v>45909.6483912037</v>
      </c>
      <c r="B1463" t="s">
        <v>1429</v>
      </c>
      <c r="C1463" t="s">
        <v>14</v>
      </c>
      <c r="D1463" t="s">
        <v>1672</v>
      </c>
      <c r="E1463" t="s">
        <v>378</v>
      </c>
    </row>
    <row r="1464" spans="1:5" x14ac:dyDescent="0.2">
      <c r="A1464" s="269">
        <v>45909.648472222223</v>
      </c>
      <c r="B1464" t="s">
        <v>1429</v>
      </c>
      <c r="C1464" t="s">
        <v>14</v>
      </c>
      <c r="D1464" t="s">
        <v>1582</v>
      </c>
      <c r="E1464" t="s">
        <v>1673</v>
      </c>
    </row>
    <row r="1465" spans="1:5" x14ac:dyDescent="0.2">
      <c r="A1465" s="269">
        <v>45909.648518518516</v>
      </c>
      <c r="B1465" t="s">
        <v>1429</v>
      </c>
      <c r="C1465" t="s">
        <v>14</v>
      </c>
      <c r="D1465" t="s">
        <v>1582</v>
      </c>
      <c r="E1465" t="s">
        <v>198</v>
      </c>
    </row>
    <row r="1466" spans="1:5" x14ac:dyDescent="0.2">
      <c r="A1466" s="269">
        <v>45909.648553240739</v>
      </c>
      <c r="B1466" t="s">
        <v>1429</v>
      </c>
      <c r="C1466" t="s">
        <v>14</v>
      </c>
      <c r="D1466" t="s">
        <v>1583</v>
      </c>
      <c r="E1466" t="s">
        <v>201</v>
      </c>
    </row>
    <row r="1467" spans="1:5" x14ac:dyDescent="0.2">
      <c r="A1467" s="269">
        <v>45909.648576388892</v>
      </c>
      <c r="B1467" t="s">
        <v>1429</v>
      </c>
      <c r="C1467" t="s">
        <v>14</v>
      </c>
      <c r="D1467" t="s">
        <v>1583</v>
      </c>
      <c r="E1467" t="s">
        <v>198</v>
      </c>
    </row>
    <row r="1468" spans="1:5" x14ac:dyDescent="0.2">
      <c r="A1468" s="269">
        <v>45909.648599537039</v>
      </c>
      <c r="B1468" t="s">
        <v>1429</v>
      </c>
      <c r="C1468" t="s">
        <v>14</v>
      </c>
      <c r="D1468" t="s">
        <v>1584</v>
      </c>
      <c r="E1468" t="s">
        <v>198</v>
      </c>
    </row>
    <row r="1469" spans="1:5" x14ac:dyDescent="0.2">
      <c r="A1469" s="269">
        <v>45909.648622685185</v>
      </c>
      <c r="B1469" t="s">
        <v>1429</v>
      </c>
      <c r="C1469" t="s">
        <v>14</v>
      </c>
      <c r="D1469" t="s">
        <v>1585</v>
      </c>
      <c r="E1469" t="s">
        <v>198</v>
      </c>
    </row>
    <row r="1470" spans="1:5" x14ac:dyDescent="0.2">
      <c r="A1470" s="269">
        <v>45909.648645833331</v>
      </c>
      <c r="B1470" t="s">
        <v>1429</v>
      </c>
      <c r="C1470" t="s">
        <v>14</v>
      </c>
      <c r="D1470" t="s">
        <v>1586</v>
      </c>
      <c r="E1470" t="s">
        <v>198</v>
      </c>
    </row>
    <row r="1471" spans="1:5" x14ac:dyDescent="0.2">
      <c r="A1471" s="269">
        <v>45909.648680555554</v>
      </c>
      <c r="B1471" t="s">
        <v>1429</v>
      </c>
      <c r="C1471" t="s">
        <v>14</v>
      </c>
      <c r="D1471" t="s">
        <v>1587</v>
      </c>
      <c r="E1471" t="s">
        <v>198</v>
      </c>
    </row>
    <row r="1472" spans="1:5" x14ac:dyDescent="0.2">
      <c r="A1472" s="269">
        <v>45909.6487037037</v>
      </c>
      <c r="B1472" t="s">
        <v>1429</v>
      </c>
      <c r="C1472" t="s">
        <v>14</v>
      </c>
      <c r="D1472" t="s">
        <v>1588</v>
      </c>
      <c r="E1472" t="s">
        <v>198</v>
      </c>
    </row>
    <row r="1473" spans="1:5" x14ac:dyDescent="0.2">
      <c r="A1473" s="269">
        <v>45909.648726851854</v>
      </c>
      <c r="B1473" t="s">
        <v>1429</v>
      </c>
      <c r="C1473" t="s">
        <v>14</v>
      </c>
      <c r="D1473" t="s">
        <v>1589</v>
      </c>
      <c r="E1473" t="s">
        <v>198</v>
      </c>
    </row>
    <row r="1474" spans="1:5" x14ac:dyDescent="0.2">
      <c r="A1474" s="269">
        <v>45909.649085648147</v>
      </c>
      <c r="B1474" t="s">
        <v>1429</v>
      </c>
      <c r="C1474" t="s">
        <v>14</v>
      </c>
      <c r="D1474" t="s">
        <v>1578</v>
      </c>
      <c r="E1474" t="s">
        <v>1660</v>
      </c>
    </row>
    <row r="1475" spans="1:5" x14ac:dyDescent="0.2">
      <c r="A1475" s="269">
        <v>45909.649143518516</v>
      </c>
      <c r="B1475" t="s">
        <v>1429</v>
      </c>
      <c r="C1475" t="s">
        <v>14</v>
      </c>
      <c r="D1475" t="s">
        <v>1601</v>
      </c>
      <c r="E1475">
        <v>1</v>
      </c>
    </row>
    <row r="1476" spans="1:5" x14ac:dyDescent="0.2">
      <c r="A1476" s="269">
        <v>45909.649282407408</v>
      </c>
      <c r="B1476" t="s">
        <v>1429</v>
      </c>
      <c r="C1476" t="s">
        <v>14</v>
      </c>
      <c r="D1476" t="s">
        <v>1579</v>
      </c>
      <c r="E1476" t="s">
        <v>1661</v>
      </c>
    </row>
    <row r="1477" spans="1:5" x14ac:dyDescent="0.2">
      <c r="A1477" s="269">
        <v>45909.649375000001</v>
      </c>
      <c r="B1477" t="s">
        <v>1429</v>
      </c>
      <c r="C1477" t="s">
        <v>14</v>
      </c>
      <c r="D1477" t="s">
        <v>1580</v>
      </c>
      <c r="E1477" t="s">
        <v>1674</v>
      </c>
    </row>
    <row r="1478" spans="1:5" x14ac:dyDescent="0.2">
      <c r="A1478" s="269">
        <v>45909.649421296293</v>
      </c>
      <c r="B1478" t="s">
        <v>1429</v>
      </c>
      <c r="C1478" t="s">
        <v>14</v>
      </c>
      <c r="D1478" t="s">
        <v>1601</v>
      </c>
      <c r="E1478">
        <v>2</v>
      </c>
    </row>
    <row r="1479" spans="1:5" x14ac:dyDescent="0.2">
      <c r="A1479" s="269">
        <v>45909.64943287037</v>
      </c>
      <c r="B1479" t="s">
        <v>1429</v>
      </c>
      <c r="C1479" t="s">
        <v>14</v>
      </c>
      <c r="D1479" t="s">
        <v>1602</v>
      </c>
      <c r="E1479">
        <v>2</v>
      </c>
    </row>
    <row r="1480" spans="1:5" x14ac:dyDescent="0.2">
      <c r="A1480" s="269">
        <v>45909.649456018517</v>
      </c>
      <c r="B1480" t="s">
        <v>1429</v>
      </c>
      <c r="C1480" t="s">
        <v>14</v>
      </c>
      <c r="D1480" t="s">
        <v>1603</v>
      </c>
      <c r="E1480">
        <v>1</v>
      </c>
    </row>
    <row r="1481" spans="1:5" x14ac:dyDescent="0.2">
      <c r="A1481" s="269">
        <v>45909.649641203701</v>
      </c>
      <c r="B1481" t="s">
        <v>1429</v>
      </c>
      <c r="C1481" t="s">
        <v>14</v>
      </c>
      <c r="D1481" t="s">
        <v>1590</v>
      </c>
      <c r="E1481" t="s">
        <v>198</v>
      </c>
    </row>
    <row r="1482" spans="1:5" x14ac:dyDescent="0.2">
      <c r="A1482" s="269">
        <v>45909.649710648147</v>
      </c>
      <c r="B1482" t="s">
        <v>1429</v>
      </c>
      <c r="C1482" t="s">
        <v>14</v>
      </c>
      <c r="D1482" t="s">
        <v>1591</v>
      </c>
      <c r="E1482" t="s">
        <v>198</v>
      </c>
    </row>
    <row r="1483" spans="1:5" x14ac:dyDescent="0.2">
      <c r="A1483" s="269">
        <v>45909.649733796294</v>
      </c>
      <c r="B1483" t="s">
        <v>1429</v>
      </c>
      <c r="C1483" t="s">
        <v>14</v>
      </c>
      <c r="D1483" t="s">
        <v>1592</v>
      </c>
      <c r="E1483" t="s">
        <v>198</v>
      </c>
    </row>
    <row r="1484" spans="1:5" x14ac:dyDescent="0.2">
      <c r="A1484" s="269">
        <v>45909.64980324074</v>
      </c>
      <c r="B1484" t="s">
        <v>1429</v>
      </c>
      <c r="C1484" t="s">
        <v>14</v>
      </c>
      <c r="D1484" t="s">
        <v>1675</v>
      </c>
      <c r="E1484" t="s">
        <v>378</v>
      </c>
    </row>
    <row r="1485" spans="1:5" x14ac:dyDescent="0.2">
      <c r="A1485" s="269">
        <v>45909.64984953704</v>
      </c>
      <c r="B1485" t="s">
        <v>1429</v>
      </c>
      <c r="C1485" t="s">
        <v>14</v>
      </c>
      <c r="D1485" t="s">
        <v>1676</v>
      </c>
      <c r="E1485" t="s">
        <v>370</v>
      </c>
    </row>
    <row r="1486" spans="1:5" x14ac:dyDescent="0.2">
      <c r="A1486" s="269">
        <v>45909.649884259263</v>
      </c>
      <c r="B1486" t="s">
        <v>1429</v>
      </c>
      <c r="C1486" t="s">
        <v>14</v>
      </c>
      <c r="D1486" t="s">
        <v>1677</v>
      </c>
      <c r="E1486" t="s">
        <v>370</v>
      </c>
    </row>
    <row r="1487" spans="1:5" x14ac:dyDescent="0.2">
      <c r="A1487" s="269">
        <v>45909.650023148148</v>
      </c>
      <c r="B1487" t="s">
        <v>1429</v>
      </c>
      <c r="C1487" t="s">
        <v>14</v>
      </c>
      <c r="D1487" t="s">
        <v>924</v>
      </c>
      <c r="E1487" t="s">
        <v>350</v>
      </c>
    </row>
    <row r="1488" spans="1:5" x14ac:dyDescent="0.2">
      <c r="A1488" s="269">
        <v>45909.650046296294</v>
      </c>
      <c r="B1488" t="s">
        <v>1429</v>
      </c>
      <c r="C1488" t="s">
        <v>14</v>
      </c>
      <c r="D1488" t="s">
        <v>872</v>
      </c>
      <c r="E1488" t="s">
        <v>350</v>
      </c>
    </row>
    <row r="1489" spans="1:5" x14ac:dyDescent="0.2">
      <c r="A1489" s="269">
        <v>45909.650069444448</v>
      </c>
      <c r="B1489" t="s">
        <v>1429</v>
      </c>
      <c r="C1489" t="s">
        <v>14</v>
      </c>
      <c r="D1489" t="s">
        <v>1481</v>
      </c>
      <c r="E1489" t="s">
        <v>350</v>
      </c>
    </row>
    <row r="1490" spans="1:5" x14ac:dyDescent="0.2">
      <c r="A1490" s="269">
        <v>45909.650092592594</v>
      </c>
      <c r="B1490" t="s">
        <v>1429</v>
      </c>
      <c r="C1490" t="s">
        <v>14</v>
      </c>
      <c r="D1490" t="s">
        <v>1482</v>
      </c>
      <c r="E1490" t="s">
        <v>350</v>
      </c>
    </row>
    <row r="1491" spans="1:5" x14ac:dyDescent="0.2">
      <c r="A1491" s="269">
        <v>45909.65011574074</v>
      </c>
      <c r="B1491" t="s">
        <v>1429</v>
      </c>
      <c r="C1491" t="s">
        <v>14</v>
      </c>
      <c r="D1491" t="s">
        <v>1483</v>
      </c>
      <c r="E1491" t="s">
        <v>350</v>
      </c>
    </row>
    <row r="1492" spans="1:5" x14ac:dyDescent="0.2">
      <c r="A1492" s="269">
        <v>45909.650127314817</v>
      </c>
      <c r="B1492" t="s">
        <v>1429</v>
      </c>
      <c r="C1492" t="s">
        <v>14</v>
      </c>
      <c r="D1492" t="s">
        <v>1484</v>
      </c>
      <c r="E1492" t="s">
        <v>350</v>
      </c>
    </row>
    <row r="1493" spans="1:5" x14ac:dyDescent="0.2">
      <c r="A1493" s="269">
        <v>45909.650138888886</v>
      </c>
      <c r="B1493" t="s">
        <v>1429</v>
      </c>
      <c r="C1493" t="s">
        <v>14</v>
      </c>
      <c r="D1493" t="s">
        <v>1485</v>
      </c>
      <c r="E1493" t="s">
        <v>350</v>
      </c>
    </row>
    <row r="1494" spans="1:5" x14ac:dyDescent="0.2">
      <c r="A1494" s="269">
        <v>45909.650150462963</v>
      </c>
      <c r="B1494" t="s">
        <v>1429</v>
      </c>
      <c r="C1494" t="s">
        <v>14</v>
      </c>
      <c r="D1494" t="s">
        <v>1486</v>
      </c>
      <c r="E1494" t="s">
        <v>350</v>
      </c>
    </row>
    <row r="1495" spans="1:5" x14ac:dyDescent="0.2">
      <c r="A1495" s="269">
        <v>45909.65016203704</v>
      </c>
      <c r="B1495" t="s">
        <v>1429</v>
      </c>
      <c r="C1495" t="s">
        <v>14</v>
      </c>
      <c r="D1495" t="s">
        <v>1487</v>
      </c>
      <c r="E1495" t="s">
        <v>350</v>
      </c>
    </row>
    <row r="1496" spans="1:5" x14ac:dyDescent="0.2">
      <c r="A1496" s="269">
        <v>45909.650173611109</v>
      </c>
      <c r="B1496" t="s">
        <v>1429</v>
      </c>
      <c r="C1496" t="s">
        <v>14</v>
      </c>
      <c r="D1496" t="s">
        <v>1488</v>
      </c>
      <c r="E1496" t="s">
        <v>350</v>
      </c>
    </row>
    <row r="1497" spans="1:5" x14ac:dyDescent="0.2">
      <c r="A1497" s="269">
        <v>45909.650185185186</v>
      </c>
      <c r="B1497" t="s">
        <v>1429</v>
      </c>
      <c r="C1497" t="s">
        <v>14</v>
      </c>
      <c r="D1497" t="s">
        <v>1489</v>
      </c>
      <c r="E1497" t="s">
        <v>350</v>
      </c>
    </row>
    <row r="1498" spans="1:5" x14ac:dyDescent="0.2">
      <c r="A1498" s="269">
        <v>45909.650196759256</v>
      </c>
      <c r="B1498" t="s">
        <v>1429</v>
      </c>
      <c r="C1498" t="s">
        <v>14</v>
      </c>
      <c r="D1498" t="s">
        <v>1604</v>
      </c>
      <c r="E1498" t="s">
        <v>350</v>
      </c>
    </row>
    <row r="1499" spans="1:5" x14ac:dyDescent="0.2">
      <c r="A1499" s="269">
        <v>45909.650219907409</v>
      </c>
      <c r="B1499" t="s">
        <v>1429</v>
      </c>
      <c r="C1499" t="s">
        <v>14</v>
      </c>
      <c r="D1499" t="s">
        <v>1605</v>
      </c>
      <c r="E1499" t="s">
        <v>350</v>
      </c>
    </row>
    <row r="1500" spans="1:5" x14ac:dyDescent="0.2">
      <c r="A1500" s="269">
        <v>45909.650231481479</v>
      </c>
      <c r="B1500" t="s">
        <v>1429</v>
      </c>
      <c r="C1500" t="s">
        <v>14</v>
      </c>
      <c r="D1500" t="s">
        <v>1606</v>
      </c>
      <c r="E1500" t="s">
        <v>350</v>
      </c>
    </row>
    <row r="1501" spans="1:5" x14ac:dyDescent="0.2">
      <c r="A1501" s="269">
        <v>45909.650243055556</v>
      </c>
      <c r="B1501" t="s">
        <v>1429</v>
      </c>
      <c r="C1501" t="s">
        <v>14</v>
      </c>
      <c r="D1501" t="s">
        <v>1607</v>
      </c>
      <c r="E1501" t="s">
        <v>350</v>
      </c>
    </row>
    <row r="1502" spans="1:5" x14ac:dyDescent="0.2">
      <c r="A1502" s="269">
        <v>45909.650254629632</v>
      </c>
      <c r="B1502" t="s">
        <v>1429</v>
      </c>
      <c r="C1502" t="s">
        <v>14</v>
      </c>
      <c r="D1502" t="s">
        <v>1608</v>
      </c>
      <c r="E1502" t="s">
        <v>350</v>
      </c>
    </row>
    <row r="1503" spans="1:5" x14ac:dyDescent="0.2">
      <c r="A1503" s="269">
        <v>45909.650254629632</v>
      </c>
      <c r="B1503" t="s">
        <v>1429</v>
      </c>
      <c r="C1503" t="s">
        <v>14</v>
      </c>
      <c r="D1503" t="s">
        <v>1609</v>
      </c>
      <c r="E1503" t="s">
        <v>350</v>
      </c>
    </row>
    <row r="1504" spans="1:5" x14ac:dyDescent="0.2">
      <c r="A1504" s="269">
        <v>45909.650266203702</v>
      </c>
      <c r="B1504" t="s">
        <v>1429</v>
      </c>
      <c r="C1504" t="s">
        <v>14</v>
      </c>
      <c r="D1504" t="s">
        <v>1610</v>
      </c>
      <c r="E1504" t="s">
        <v>350</v>
      </c>
    </row>
    <row r="1505" spans="1:5" x14ac:dyDescent="0.2">
      <c r="A1505" s="269">
        <v>45909.650289351855</v>
      </c>
      <c r="B1505" t="s">
        <v>1429</v>
      </c>
      <c r="C1505" t="s">
        <v>14</v>
      </c>
      <c r="D1505" t="s">
        <v>1611</v>
      </c>
      <c r="E1505" t="s">
        <v>350</v>
      </c>
    </row>
    <row r="1506" spans="1:5" x14ac:dyDescent="0.2">
      <c r="A1506" s="269">
        <v>45909.650300925925</v>
      </c>
      <c r="B1506" t="s">
        <v>1429</v>
      </c>
      <c r="C1506" t="s">
        <v>14</v>
      </c>
      <c r="D1506" t="s">
        <v>1612</v>
      </c>
      <c r="E1506" t="s">
        <v>350</v>
      </c>
    </row>
    <row r="1507" spans="1:5" x14ac:dyDescent="0.2">
      <c r="A1507" s="269">
        <v>45909.650312500002</v>
      </c>
      <c r="B1507" t="s">
        <v>1429</v>
      </c>
      <c r="C1507" t="s">
        <v>14</v>
      </c>
      <c r="D1507" t="s">
        <v>1613</v>
      </c>
      <c r="E1507" t="s">
        <v>350</v>
      </c>
    </row>
    <row r="1508" spans="1:5" x14ac:dyDescent="0.2">
      <c r="A1508" s="269">
        <v>45909.650324074071</v>
      </c>
      <c r="B1508" t="s">
        <v>1429</v>
      </c>
      <c r="C1508" t="s">
        <v>14</v>
      </c>
      <c r="D1508" t="s">
        <v>1614</v>
      </c>
      <c r="E1508" t="s">
        <v>350</v>
      </c>
    </row>
    <row r="1509" spans="1:5" x14ac:dyDescent="0.2">
      <c r="A1509" s="269">
        <v>45909.65042824074</v>
      </c>
      <c r="B1509" t="s">
        <v>1429</v>
      </c>
      <c r="C1509" t="s">
        <v>14</v>
      </c>
      <c r="D1509" t="s">
        <v>1679</v>
      </c>
      <c r="E1509" t="s">
        <v>1678</v>
      </c>
    </row>
    <row r="1510" spans="1:5" x14ac:dyDescent="0.2">
      <c r="A1510" s="269">
        <v>45909.650462962964</v>
      </c>
      <c r="B1510" t="s">
        <v>1429</v>
      </c>
      <c r="C1510" t="s">
        <v>14</v>
      </c>
      <c r="D1510" t="s">
        <v>1680</v>
      </c>
      <c r="E1510" t="s">
        <v>198</v>
      </c>
    </row>
    <row r="1511" spans="1:5" x14ac:dyDescent="0.2">
      <c r="A1511" s="269">
        <v>45909.65048611111</v>
      </c>
      <c r="B1511" t="s">
        <v>1429</v>
      </c>
      <c r="C1511" t="s">
        <v>14</v>
      </c>
      <c r="D1511" t="s">
        <v>1681</v>
      </c>
      <c r="E1511">
        <v>1</v>
      </c>
    </row>
    <row r="1512" spans="1:5" x14ac:dyDescent="0.2">
      <c r="A1512" s="269">
        <v>45909.650520833333</v>
      </c>
      <c r="B1512" t="s">
        <v>1429</v>
      </c>
      <c r="C1512" t="s">
        <v>14</v>
      </c>
      <c r="D1512" t="s">
        <v>1682</v>
      </c>
      <c r="E1512" t="s">
        <v>370</v>
      </c>
    </row>
    <row r="1513" spans="1:5" x14ac:dyDescent="0.2">
      <c r="A1513" s="269">
        <v>45909.650555555556</v>
      </c>
      <c r="B1513" t="s">
        <v>1429</v>
      </c>
      <c r="C1513" t="s">
        <v>14</v>
      </c>
      <c r="D1513" t="s">
        <v>1683</v>
      </c>
      <c r="E1513" t="s">
        <v>350</v>
      </c>
    </row>
    <row r="1514" spans="1:5" x14ac:dyDescent="0.2">
      <c r="A1514" s="269">
        <v>45909.650949074072</v>
      </c>
      <c r="B1514" t="s">
        <v>1429</v>
      </c>
      <c r="C1514" t="s">
        <v>14</v>
      </c>
      <c r="D1514" t="s">
        <v>1684</v>
      </c>
      <c r="E1514" t="s">
        <v>1630</v>
      </c>
    </row>
    <row r="1515" spans="1:5" x14ac:dyDescent="0.2">
      <c r="A1515" s="269">
        <v>45909.650960648149</v>
      </c>
      <c r="B1515" t="s">
        <v>1429</v>
      </c>
      <c r="C1515" t="s">
        <v>14</v>
      </c>
      <c r="D1515" t="s">
        <v>1685</v>
      </c>
      <c r="E1515" t="s">
        <v>1630</v>
      </c>
    </row>
    <row r="1516" spans="1:5" x14ac:dyDescent="0.2">
      <c r="A1516" s="269">
        <v>45909.650972222225</v>
      </c>
      <c r="B1516" t="s">
        <v>1429</v>
      </c>
      <c r="C1516" t="s">
        <v>14</v>
      </c>
      <c r="D1516" t="s">
        <v>1686</v>
      </c>
      <c r="E1516" t="s">
        <v>1630</v>
      </c>
    </row>
    <row r="1517" spans="1:5" x14ac:dyDescent="0.2">
      <c r="A1517" s="269">
        <v>45909.651018518518</v>
      </c>
      <c r="B1517" t="s">
        <v>1429</v>
      </c>
      <c r="C1517" t="s">
        <v>14</v>
      </c>
      <c r="D1517" t="s">
        <v>1687</v>
      </c>
      <c r="E1517" t="s">
        <v>1630</v>
      </c>
    </row>
    <row r="1518" spans="1:5" x14ac:dyDescent="0.2">
      <c r="A1518" s="269">
        <v>45909.65116898148</v>
      </c>
      <c r="B1518" t="s">
        <v>1429</v>
      </c>
      <c r="C1518" t="s">
        <v>14</v>
      </c>
      <c r="D1518" t="s">
        <v>980</v>
      </c>
      <c r="E1518" t="s">
        <v>1688</v>
      </c>
    </row>
    <row r="1519" spans="1:5" x14ac:dyDescent="0.2">
      <c r="A1519" s="269">
        <v>45909.651342592595</v>
      </c>
      <c r="B1519" t="s">
        <v>1429</v>
      </c>
      <c r="C1519" t="s">
        <v>14</v>
      </c>
      <c r="D1519" t="s">
        <v>1684</v>
      </c>
      <c r="E1519" t="s">
        <v>1689</v>
      </c>
    </row>
    <row r="1520" spans="1:5" x14ac:dyDescent="0.2">
      <c r="A1520" s="269">
        <v>45909.651458333334</v>
      </c>
      <c r="B1520" t="s">
        <v>1429</v>
      </c>
      <c r="C1520" t="s">
        <v>14</v>
      </c>
      <c r="D1520" t="s">
        <v>1685</v>
      </c>
      <c r="E1520" t="s">
        <v>1690</v>
      </c>
    </row>
    <row r="1521" spans="1:5" x14ac:dyDescent="0.2">
      <c r="A1521" s="269">
        <v>45909.652384259258</v>
      </c>
      <c r="B1521" t="s">
        <v>1429</v>
      </c>
      <c r="C1521" t="s">
        <v>14</v>
      </c>
      <c r="D1521" t="s">
        <v>1685</v>
      </c>
      <c r="E1521" t="s">
        <v>1690</v>
      </c>
    </row>
    <row r="1522" spans="1:5" x14ac:dyDescent="0.2">
      <c r="A1522" s="269">
        <v>45909.652627314812</v>
      </c>
      <c r="B1522" t="s">
        <v>1429</v>
      </c>
      <c r="C1522" t="s">
        <v>14</v>
      </c>
      <c r="D1522" t="s">
        <v>1685</v>
      </c>
      <c r="E1522" t="s">
        <v>1691</v>
      </c>
    </row>
    <row r="1523" spans="1:5" x14ac:dyDescent="0.2">
      <c r="A1523" s="269">
        <v>45909.652650462966</v>
      </c>
      <c r="B1523" t="s">
        <v>1429</v>
      </c>
      <c r="C1523" t="s">
        <v>14</v>
      </c>
      <c r="D1523" t="s">
        <v>1684</v>
      </c>
      <c r="E1523" t="s">
        <v>1692</v>
      </c>
    </row>
    <row r="1524" spans="1:5" x14ac:dyDescent="0.2">
      <c r="A1524" s="269">
        <v>45909.652789351851</v>
      </c>
      <c r="B1524" t="s">
        <v>1429</v>
      </c>
      <c r="C1524" t="s">
        <v>14</v>
      </c>
      <c r="D1524" t="s">
        <v>1686</v>
      </c>
      <c r="E1524" t="s">
        <v>1692</v>
      </c>
    </row>
    <row r="1525" spans="1:5" x14ac:dyDescent="0.2">
      <c r="A1525" s="269">
        <v>45909.652928240743</v>
      </c>
      <c r="B1525" t="s">
        <v>1429</v>
      </c>
      <c r="C1525" t="s">
        <v>14</v>
      </c>
      <c r="D1525" t="s">
        <v>1687</v>
      </c>
      <c r="E1525" t="s">
        <v>1693</v>
      </c>
    </row>
    <row r="1526" spans="1:5" x14ac:dyDescent="0.2">
      <c r="A1526" s="269">
        <v>45909.653171296297</v>
      </c>
      <c r="B1526" t="s">
        <v>1429</v>
      </c>
      <c r="C1526" t="s">
        <v>14</v>
      </c>
      <c r="D1526" t="s">
        <v>1694</v>
      </c>
      <c r="E1526" t="s">
        <v>1691</v>
      </c>
    </row>
    <row r="1527" spans="1:5" x14ac:dyDescent="0.2">
      <c r="A1527" s="269">
        <v>45909.653391203705</v>
      </c>
      <c r="B1527" t="s">
        <v>1429</v>
      </c>
      <c r="C1527" t="s">
        <v>14</v>
      </c>
      <c r="D1527" t="s">
        <v>1695</v>
      </c>
      <c r="E1527" t="s">
        <v>1692</v>
      </c>
    </row>
    <row r="1528" spans="1:5" x14ac:dyDescent="0.2">
      <c r="A1528" s="269">
        <v>45909.653460648151</v>
      </c>
      <c r="B1528" t="s">
        <v>1429</v>
      </c>
      <c r="C1528" t="s">
        <v>14</v>
      </c>
      <c r="D1528" t="s">
        <v>1696</v>
      </c>
    </row>
    <row r="1529" spans="1:5" x14ac:dyDescent="0.2">
      <c r="A1529" s="269">
        <v>45909.653483796297</v>
      </c>
      <c r="B1529" t="s">
        <v>1429</v>
      </c>
      <c r="C1529" t="s">
        <v>14</v>
      </c>
      <c r="D1529" t="s">
        <v>1696</v>
      </c>
      <c r="E1529" t="s">
        <v>1692</v>
      </c>
    </row>
    <row r="1530" spans="1:5" x14ac:dyDescent="0.2">
      <c r="A1530" s="269">
        <v>45909.653587962966</v>
      </c>
      <c r="B1530" t="s">
        <v>1429</v>
      </c>
      <c r="C1530" t="s">
        <v>14</v>
      </c>
      <c r="D1530" t="s">
        <v>1697</v>
      </c>
      <c r="E1530" t="s">
        <v>1691</v>
      </c>
    </row>
    <row r="1531" spans="1:5" x14ac:dyDescent="0.2">
      <c r="A1531" s="269">
        <v>45909.653611111113</v>
      </c>
      <c r="B1531" t="s">
        <v>1429</v>
      </c>
      <c r="C1531" t="s">
        <v>14</v>
      </c>
      <c r="D1531" t="s">
        <v>1698</v>
      </c>
      <c r="E1531" t="s">
        <v>1691</v>
      </c>
    </row>
    <row r="1532" spans="1:5" x14ac:dyDescent="0.2">
      <c r="A1532" s="269">
        <v>45909.653668981482</v>
      </c>
      <c r="B1532" t="s">
        <v>1429</v>
      </c>
      <c r="C1532" t="s">
        <v>14</v>
      </c>
      <c r="D1532" t="s">
        <v>1699</v>
      </c>
      <c r="E1532" t="s">
        <v>1692</v>
      </c>
    </row>
    <row r="1533" spans="1:5" x14ac:dyDescent="0.2">
      <c r="A1533" s="269">
        <v>45909.653738425928</v>
      </c>
      <c r="B1533" t="s">
        <v>1429</v>
      </c>
      <c r="C1533" t="s">
        <v>14</v>
      </c>
      <c r="D1533" t="s">
        <v>1700</v>
      </c>
      <c r="E1533" t="s">
        <v>1691</v>
      </c>
    </row>
    <row r="1534" spans="1:5" x14ac:dyDescent="0.2">
      <c r="A1534" s="269">
        <v>45909.653761574074</v>
      </c>
      <c r="B1534" t="s">
        <v>1429</v>
      </c>
      <c r="C1534" t="s">
        <v>14</v>
      </c>
      <c r="D1534" t="s">
        <v>1701</v>
      </c>
      <c r="E1534" t="s">
        <v>1691</v>
      </c>
    </row>
    <row r="1535" spans="1:5" x14ac:dyDescent="0.2">
      <c r="A1535" s="269">
        <v>45909.653773148151</v>
      </c>
      <c r="B1535" t="s">
        <v>1429</v>
      </c>
      <c r="C1535" t="s">
        <v>14</v>
      </c>
      <c r="D1535" t="s">
        <v>1702</v>
      </c>
      <c r="E1535" t="s">
        <v>1691</v>
      </c>
    </row>
    <row r="1536" spans="1:5" x14ac:dyDescent="0.2">
      <c r="A1536" s="269">
        <v>45909.653819444444</v>
      </c>
      <c r="B1536" t="s">
        <v>1429</v>
      </c>
      <c r="C1536" t="s">
        <v>14</v>
      </c>
      <c r="D1536" t="s">
        <v>1703</v>
      </c>
      <c r="E1536" t="s">
        <v>1691</v>
      </c>
    </row>
    <row r="1537" spans="1:5" x14ac:dyDescent="0.2">
      <c r="A1537" s="269">
        <v>45909.653900462959</v>
      </c>
      <c r="B1537" t="s">
        <v>1429</v>
      </c>
      <c r="C1537" t="s">
        <v>14</v>
      </c>
      <c r="D1537" t="s">
        <v>1704</v>
      </c>
      <c r="E1537" t="s">
        <v>1692</v>
      </c>
    </row>
    <row r="1538" spans="1:5" x14ac:dyDescent="0.2">
      <c r="A1538" s="269">
        <v>45909.653958333336</v>
      </c>
      <c r="B1538" t="s">
        <v>1429</v>
      </c>
      <c r="C1538" t="s">
        <v>14</v>
      </c>
      <c r="D1538" t="s">
        <v>1705</v>
      </c>
      <c r="E1538" t="s">
        <v>1692</v>
      </c>
    </row>
    <row r="1539" spans="1:5" x14ac:dyDescent="0.2">
      <c r="A1539" s="269">
        <v>45909.654085648152</v>
      </c>
      <c r="B1539" t="s">
        <v>1429</v>
      </c>
      <c r="C1539" t="s">
        <v>14</v>
      </c>
      <c r="D1539" t="s">
        <v>1706</v>
      </c>
      <c r="E1539" t="s">
        <v>1691</v>
      </c>
    </row>
    <row r="1540" spans="1:5" x14ac:dyDescent="0.2">
      <c r="A1540" s="269">
        <v>45909.654108796298</v>
      </c>
      <c r="B1540" t="s">
        <v>1429</v>
      </c>
      <c r="C1540" t="s">
        <v>14</v>
      </c>
      <c r="D1540" t="s">
        <v>1705</v>
      </c>
      <c r="E1540" t="s">
        <v>1691</v>
      </c>
    </row>
    <row r="1541" spans="1:5" x14ac:dyDescent="0.2">
      <c r="A1541" s="269">
        <v>45909.654386574075</v>
      </c>
      <c r="B1541" t="s">
        <v>1429</v>
      </c>
      <c r="C1541" t="s">
        <v>14</v>
      </c>
      <c r="D1541" t="s">
        <v>1707</v>
      </c>
      <c r="E1541" t="s">
        <v>1692</v>
      </c>
    </row>
    <row r="1542" spans="1:5" x14ac:dyDescent="0.2">
      <c r="A1542" s="269">
        <v>45909.654502314814</v>
      </c>
      <c r="B1542" t="s">
        <v>1429</v>
      </c>
      <c r="C1542" t="s">
        <v>14</v>
      </c>
      <c r="D1542" t="s">
        <v>1708</v>
      </c>
      <c r="E1542" t="s">
        <v>1692</v>
      </c>
    </row>
    <row r="1543" spans="1:5" x14ac:dyDescent="0.2">
      <c r="A1543" s="269">
        <v>45909.654537037037</v>
      </c>
      <c r="B1543" t="s">
        <v>1429</v>
      </c>
      <c r="C1543" t="s">
        <v>14</v>
      </c>
      <c r="D1543" t="s">
        <v>1709</v>
      </c>
    </row>
    <row r="1544" spans="1:5" x14ac:dyDescent="0.2">
      <c r="A1544" s="269">
        <v>45909.655069444445</v>
      </c>
      <c r="B1544" t="s">
        <v>1429</v>
      </c>
      <c r="C1544" t="s">
        <v>14</v>
      </c>
      <c r="D1544" t="s">
        <v>1711</v>
      </c>
      <c r="E1544" t="s">
        <v>1710</v>
      </c>
    </row>
    <row r="1545" spans="1:5" x14ac:dyDescent="0.2">
      <c r="A1545" s="269">
        <v>45909.655393518522</v>
      </c>
      <c r="B1545" t="s">
        <v>1429</v>
      </c>
      <c r="C1545" t="s">
        <v>14</v>
      </c>
      <c r="D1545" t="s">
        <v>1713</v>
      </c>
      <c r="E1545" t="s">
        <v>1712</v>
      </c>
    </row>
    <row r="1546" spans="1:5" x14ac:dyDescent="0.2">
      <c r="A1546" s="269">
        <v>45909.656041666669</v>
      </c>
      <c r="B1546" t="s">
        <v>1429</v>
      </c>
      <c r="C1546" t="s">
        <v>14</v>
      </c>
      <c r="D1546" t="s">
        <v>1709</v>
      </c>
      <c r="E1546" t="s">
        <v>1714</v>
      </c>
    </row>
    <row r="1547" spans="1:5" x14ac:dyDescent="0.2">
      <c r="A1547" s="269">
        <v>45909.657951388886</v>
      </c>
      <c r="B1547" t="s">
        <v>1429</v>
      </c>
      <c r="C1547" t="s">
        <v>14</v>
      </c>
      <c r="D1547" t="s">
        <v>1529</v>
      </c>
      <c r="E1547" t="s">
        <v>360</v>
      </c>
    </row>
    <row r="1548" spans="1:5" x14ac:dyDescent="0.2">
      <c r="A1548" s="269">
        <v>45909.658009259256</v>
      </c>
      <c r="B1548" t="s">
        <v>1429</v>
      </c>
      <c r="C1548" t="s">
        <v>14</v>
      </c>
      <c r="D1548" t="s">
        <v>1530</v>
      </c>
      <c r="E1548" t="s">
        <v>360</v>
      </c>
    </row>
    <row r="1549" spans="1:5" x14ac:dyDescent="0.2">
      <c r="A1549" s="269">
        <v>45909.658020833333</v>
      </c>
      <c r="B1549" t="s">
        <v>1429</v>
      </c>
      <c r="C1549" t="s">
        <v>14</v>
      </c>
      <c r="D1549" t="s">
        <v>1531</v>
      </c>
      <c r="E1549" t="s">
        <v>360</v>
      </c>
    </row>
    <row r="1550" spans="1:5" x14ac:dyDescent="0.2">
      <c r="A1550" s="269">
        <v>45909.658032407409</v>
      </c>
      <c r="B1550" t="s">
        <v>1429</v>
      </c>
      <c r="C1550" t="s">
        <v>14</v>
      </c>
      <c r="D1550" t="s">
        <v>1532</v>
      </c>
      <c r="E1550" t="s">
        <v>360</v>
      </c>
    </row>
    <row r="1551" spans="1:5" x14ac:dyDescent="0.2">
      <c r="A1551" s="269">
        <v>45909.658055555556</v>
      </c>
      <c r="B1551" t="s">
        <v>1429</v>
      </c>
      <c r="C1551" t="s">
        <v>14</v>
      </c>
      <c r="D1551" t="s">
        <v>1533</v>
      </c>
      <c r="E1551" t="s">
        <v>360</v>
      </c>
    </row>
    <row r="1552" spans="1:5" x14ac:dyDescent="0.2">
      <c r="A1552" s="269">
        <v>45909.658067129632</v>
      </c>
      <c r="B1552" t="s">
        <v>1429</v>
      </c>
      <c r="C1552" t="s">
        <v>14</v>
      </c>
      <c r="D1552" t="s">
        <v>1534</v>
      </c>
      <c r="E1552" t="s">
        <v>360</v>
      </c>
    </row>
    <row r="1553" spans="1:5" x14ac:dyDescent="0.2">
      <c r="A1553" s="269">
        <v>45909.658078703702</v>
      </c>
      <c r="B1553" t="s">
        <v>1429</v>
      </c>
      <c r="C1553" t="s">
        <v>14</v>
      </c>
      <c r="D1553" t="s">
        <v>1535</v>
      </c>
      <c r="E1553" t="s">
        <v>360</v>
      </c>
    </row>
    <row r="1554" spans="1:5" x14ac:dyDescent="0.2">
      <c r="A1554" s="269">
        <v>45909.658090277779</v>
      </c>
      <c r="B1554" t="s">
        <v>1429</v>
      </c>
      <c r="C1554" t="s">
        <v>14</v>
      </c>
      <c r="D1554" t="s">
        <v>1536</v>
      </c>
      <c r="E1554" t="s">
        <v>360</v>
      </c>
    </row>
    <row r="1555" spans="1:5" x14ac:dyDescent="0.2">
      <c r="A1555" s="269">
        <v>45909.658113425925</v>
      </c>
      <c r="B1555" t="s">
        <v>1429</v>
      </c>
      <c r="C1555" t="s">
        <v>14</v>
      </c>
      <c r="D1555" t="s">
        <v>1537</v>
      </c>
      <c r="E1555" t="s">
        <v>360</v>
      </c>
    </row>
    <row r="1556" spans="1:5" x14ac:dyDescent="0.2">
      <c r="A1556" s="269">
        <v>45909.658148148148</v>
      </c>
      <c r="B1556" t="s">
        <v>1429</v>
      </c>
      <c r="C1556" t="s">
        <v>14</v>
      </c>
      <c r="D1556" t="s">
        <v>1538</v>
      </c>
      <c r="E1556" t="s">
        <v>360</v>
      </c>
    </row>
    <row r="1557" spans="1:5" x14ac:dyDescent="0.2">
      <c r="A1557" s="269">
        <v>45909.658159722225</v>
      </c>
      <c r="B1557" t="s">
        <v>1429</v>
      </c>
      <c r="C1557" t="s">
        <v>14</v>
      </c>
      <c r="D1557" t="s">
        <v>1539</v>
      </c>
      <c r="E1557" t="s">
        <v>1715</v>
      </c>
    </row>
    <row r="1558" spans="1:5" x14ac:dyDescent="0.2">
      <c r="A1558" s="269">
        <v>45909.658206018517</v>
      </c>
      <c r="B1558" t="s">
        <v>1429</v>
      </c>
      <c r="C1558" t="s">
        <v>14</v>
      </c>
      <c r="D1558" t="s">
        <v>1716</v>
      </c>
      <c r="E1558" t="s">
        <v>360</v>
      </c>
    </row>
    <row r="1559" spans="1:5" x14ac:dyDescent="0.2">
      <c r="A1559" s="269">
        <v>45909.658252314817</v>
      </c>
      <c r="B1559" t="s">
        <v>1429</v>
      </c>
      <c r="C1559" t="s">
        <v>14</v>
      </c>
      <c r="D1559" t="s">
        <v>1539</v>
      </c>
      <c r="E1559" t="s">
        <v>360</v>
      </c>
    </row>
    <row r="1560" spans="1:5" x14ac:dyDescent="0.2">
      <c r="A1560" s="269">
        <v>45909.658599537041</v>
      </c>
      <c r="B1560" t="s">
        <v>1429</v>
      </c>
      <c r="C1560" t="s">
        <v>14</v>
      </c>
      <c r="D1560" t="s">
        <v>1717</v>
      </c>
      <c r="E1560" t="s">
        <v>360</v>
      </c>
    </row>
    <row r="1561" spans="1:5" x14ac:dyDescent="0.2">
      <c r="A1561" s="269">
        <v>45909.65861111111</v>
      </c>
      <c r="B1561" t="s">
        <v>1429</v>
      </c>
      <c r="C1561" t="s">
        <v>14</v>
      </c>
      <c r="D1561" t="s">
        <v>1718</v>
      </c>
      <c r="E1561" t="s">
        <v>360</v>
      </c>
    </row>
    <row r="1562" spans="1:5" x14ac:dyDescent="0.2">
      <c r="A1562" s="269">
        <v>45909.658634259256</v>
      </c>
      <c r="B1562" t="s">
        <v>1429</v>
      </c>
      <c r="C1562" t="s">
        <v>14</v>
      </c>
      <c r="D1562" t="s">
        <v>1719</v>
      </c>
      <c r="E1562" t="s">
        <v>360</v>
      </c>
    </row>
    <row r="1563" spans="1:5" x14ac:dyDescent="0.2">
      <c r="A1563" s="269">
        <v>45909.65865740741</v>
      </c>
      <c r="B1563" t="s">
        <v>1429</v>
      </c>
      <c r="C1563" t="s">
        <v>14</v>
      </c>
      <c r="D1563" t="s">
        <v>1720</v>
      </c>
      <c r="E1563" t="s">
        <v>360</v>
      </c>
    </row>
    <row r="1564" spans="1:5" x14ac:dyDescent="0.2">
      <c r="A1564" s="269">
        <v>45909.658796296295</v>
      </c>
      <c r="B1564" t="s">
        <v>1429</v>
      </c>
      <c r="C1564" t="s">
        <v>14</v>
      </c>
      <c r="D1564" t="s">
        <v>1721</v>
      </c>
      <c r="E1564" t="s">
        <v>360</v>
      </c>
    </row>
    <row r="1565" spans="1:5" x14ac:dyDescent="0.2">
      <c r="A1565" s="269">
        <v>45909.658842592595</v>
      </c>
      <c r="B1565" t="s">
        <v>1429</v>
      </c>
      <c r="C1565" t="s">
        <v>14</v>
      </c>
      <c r="D1565" t="s">
        <v>1722</v>
      </c>
      <c r="E1565" t="s">
        <v>360</v>
      </c>
    </row>
    <row r="1566" spans="1:5" x14ac:dyDescent="0.2">
      <c r="A1566" s="269">
        <v>45909.65898148148</v>
      </c>
      <c r="B1566" t="s">
        <v>1429</v>
      </c>
      <c r="C1566" t="s">
        <v>14</v>
      </c>
      <c r="D1566" t="s">
        <v>1723</v>
      </c>
      <c r="E1566" t="s">
        <v>360</v>
      </c>
    </row>
    <row r="1567" spans="1:5" x14ac:dyDescent="0.2">
      <c r="A1567" s="269">
        <v>45909.669699074075</v>
      </c>
      <c r="B1567" t="s">
        <v>1429</v>
      </c>
      <c r="C1567" t="s">
        <v>609</v>
      </c>
      <c r="D1567" t="s">
        <v>1072</v>
      </c>
      <c r="E1567" t="s">
        <v>87</v>
      </c>
    </row>
    <row r="1568" spans="1:5" x14ac:dyDescent="0.2">
      <c r="A1568" s="269">
        <v>45909.669756944444</v>
      </c>
      <c r="B1568" t="s">
        <v>1429</v>
      </c>
      <c r="C1568" t="s">
        <v>609</v>
      </c>
      <c r="D1568" t="s">
        <v>1072</v>
      </c>
      <c r="E1568" t="s">
        <v>336</v>
      </c>
    </row>
    <row r="1569" spans="1:5" x14ac:dyDescent="0.2">
      <c r="A1569" s="269">
        <v>45909.676168981481</v>
      </c>
      <c r="B1569" t="s">
        <v>1429</v>
      </c>
      <c r="C1569" t="s">
        <v>14</v>
      </c>
      <c r="D1569" t="s">
        <v>1189</v>
      </c>
      <c r="E1569" t="s">
        <v>1724</v>
      </c>
    </row>
    <row r="1570" spans="1:5" x14ac:dyDescent="0.2">
      <c r="A1570" s="269">
        <v>45909.676319444443</v>
      </c>
      <c r="B1570" t="s">
        <v>1429</v>
      </c>
      <c r="C1570" t="s">
        <v>14</v>
      </c>
      <c r="D1570" t="s">
        <v>1189</v>
      </c>
      <c r="E1570" t="s">
        <v>1725</v>
      </c>
    </row>
    <row r="1571" spans="1:5" x14ac:dyDescent="0.2">
      <c r="A1571" s="269">
        <v>45909.677685185183</v>
      </c>
      <c r="B1571" t="s">
        <v>1429</v>
      </c>
      <c r="C1571" t="s">
        <v>14</v>
      </c>
      <c r="D1571" t="s">
        <v>1726</v>
      </c>
      <c r="E1571" t="s">
        <v>1725</v>
      </c>
    </row>
    <row r="1572" spans="1:5" x14ac:dyDescent="0.2">
      <c r="A1572" s="269">
        <v>45909.677824074075</v>
      </c>
      <c r="B1572" t="s">
        <v>1429</v>
      </c>
      <c r="C1572" t="s">
        <v>14</v>
      </c>
      <c r="D1572" t="s">
        <v>1727</v>
      </c>
      <c r="E1572">
        <v>2</v>
      </c>
    </row>
    <row r="1573" spans="1:5" x14ac:dyDescent="0.2">
      <c r="A1573" s="269">
        <v>45909.677986111114</v>
      </c>
      <c r="B1573" t="s">
        <v>1429</v>
      </c>
      <c r="C1573" t="s">
        <v>14</v>
      </c>
      <c r="D1573" t="s">
        <v>1728</v>
      </c>
      <c r="E1573" t="s">
        <v>378</v>
      </c>
    </row>
    <row r="1574" spans="1:5" x14ac:dyDescent="0.2">
      <c r="A1574" s="269">
        <v>45909.678043981483</v>
      </c>
      <c r="B1574" t="s">
        <v>1429</v>
      </c>
      <c r="C1574" t="s">
        <v>14</v>
      </c>
      <c r="D1574" t="s">
        <v>1729</v>
      </c>
      <c r="E1574" t="s">
        <v>350</v>
      </c>
    </row>
    <row r="1575" spans="1:5" x14ac:dyDescent="0.2">
      <c r="A1575" s="269">
        <v>45909.678124999999</v>
      </c>
      <c r="B1575" t="s">
        <v>1429</v>
      </c>
      <c r="C1575" t="s">
        <v>14</v>
      </c>
      <c r="D1575" t="s">
        <v>1730</v>
      </c>
      <c r="E1575" t="s">
        <v>198</v>
      </c>
    </row>
    <row r="1576" spans="1:5" x14ac:dyDescent="0.2">
      <c r="A1576" s="269">
        <v>45909.678159722222</v>
      </c>
      <c r="B1576" t="s">
        <v>1429</v>
      </c>
      <c r="C1576" t="s">
        <v>14</v>
      </c>
      <c r="D1576" t="s">
        <v>1731</v>
      </c>
      <c r="E1576" t="s">
        <v>198</v>
      </c>
    </row>
    <row r="1577" spans="1:5" x14ac:dyDescent="0.2">
      <c r="A1577" s="269">
        <v>45909.678182870368</v>
      </c>
      <c r="B1577" t="s">
        <v>1429</v>
      </c>
      <c r="C1577" t="s">
        <v>14</v>
      </c>
      <c r="D1577" t="s">
        <v>1732</v>
      </c>
      <c r="E1577" t="s">
        <v>198</v>
      </c>
    </row>
    <row r="1578" spans="1:5" x14ac:dyDescent="0.2">
      <c r="A1578" s="269">
        <v>45909.678206018521</v>
      </c>
      <c r="B1578" t="s">
        <v>1429</v>
      </c>
      <c r="C1578" t="s">
        <v>14</v>
      </c>
      <c r="D1578" t="s">
        <v>1733</v>
      </c>
      <c r="E1578" t="s">
        <v>198</v>
      </c>
    </row>
    <row r="1579" spans="1:5" x14ac:dyDescent="0.2">
      <c r="A1579" s="269">
        <v>45909.678229166668</v>
      </c>
      <c r="B1579" t="s">
        <v>1429</v>
      </c>
      <c r="C1579" t="s">
        <v>14</v>
      </c>
      <c r="D1579" t="s">
        <v>1734</v>
      </c>
      <c r="E1579" t="s">
        <v>198</v>
      </c>
    </row>
    <row r="1580" spans="1:5" x14ac:dyDescent="0.2">
      <c r="A1580" s="269">
        <v>45909.678252314814</v>
      </c>
      <c r="B1580" t="s">
        <v>1429</v>
      </c>
      <c r="C1580" t="s">
        <v>14</v>
      </c>
      <c r="D1580" t="s">
        <v>1735</v>
      </c>
      <c r="E1580" t="s">
        <v>198</v>
      </c>
    </row>
    <row r="1581" spans="1:5" x14ac:dyDescent="0.2">
      <c r="A1581" s="269">
        <v>45909.678287037037</v>
      </c>
      <c r="B1581" t="s">
        <v>1429</v>
      </c>
      <c r="C1581" t="s">
        <v>14</v>
      </c>
      <c r="D1581" t="s">
        <v>1736</v>
      </c>
      <c r="E1581" t="s">
        <v>198</v>
      </c>
    </row>
    <row r="1582" spans="1:5" x14ac:dyDescent="0.2">
      <c r="A1582" s="269">
        <v>45909.67832175926</v>
      </c>
      <c r="B1582" t="s">
        <v>1429</v>
      </c>
      <c r="C1582" t="s">
        <v>14</v>
      </c>
      <c r="D1582" t="s">
        <v>1737</v>
      </c>
      <c r="E1582" t="s">
        <v>198</v>
      </c>
    </row>
    <row r="1583" spans="1:5" x14ac:dyDescent="0.2">
      <c r="A1583" s="269">
        <v>45909.678356481483</v>
      </c>
      <c r="B1583" t="s">
        <v>1429</v>
      </c>
      <c r="C1583" t="s">
        <v>14</v>
      </c>
      <c r="D1583" t="s">
        <v>1737</v>
      </c>
      <c r="E1583" t="s">
        <v>198</v>
      </c>
    </row>
    <row r="1584" spans="1:5" x14ac:dyDescent="0.2">
      <c r="A1584" s="269">
        <v>45909.678391203706</v>
      </c>
      <c r="B1584" t="s">
        <v>1429</v>
      </c>
      <c r="C1584" t="s">
        <v>14</v>
      </c>
      <c r="D1584" t="s">
        <v>637</v>
      </c>
      <c r="E1584" t="s">
        <v>198</v>
      </c>
    </row>
    <row r="1585" spans="1:5" x14ac:dyDescent="0.2">
      <c r="A1585" s="269">
        <v>45909.678414351853</v>
      </c>
      <c r="B1585" t="s">
        <v>1429</v>
      </c>
      <c r="C1585" t="s">
        <v>14</v>
      </c>
      <c r="D1585" t="s">
        <v>1738</v>
      </c>
      <c r="E1585" t="s">
        <v>198</v>
      </c>
    </row>
    <row r="1586" spans="1:5" x14ac:dyDescent="0.2">
      <c r="A1586" s="269">
        <v>45909.678437499999</v>
      </c>
      <c r="B1586" t="s">
        <v>1429</v>
      </c>
      <c r="C1586" t="s">
        <v>14</v>
      </c>
      <c r="D1586" t="s">
        <v>1739</v>
      </c>
      <c r="E1586" t="s">
        <v>198</v>
      </c>
    </row>
    <row r="1587" spans="1:5" x14ac:dyDescent="0.2">
      <c r="A1587" s="269">
        <v>45909.678449074076</v>
      </c>
      <c r="B1587" t="s">
        <v>1429</v>
      </c>
      <c r="C1587" t="s">
        <v>14</v>
      </c>
      <c r="D1587" t="s">
        <v>1739</v>
      </c>
      <c r="E1587" t="s">
        <v>192</v>
      </c>
    </row>
    <row r="1588" spans="1:5" x14ac:dyDescent="0.2">
      <c r="A1588" s="269">
        <v>45909.678472222222</v>
      </c>
      <c r="B1588" t="s">
        <v>1429</v>
      </c>
      <c r="C1588" t="s">
        <v>14</v>
      </c>
      <c r="D1588" t="s">
        <v>1739</v>
      </c>
      <c r="E1588" t="s">
        <v>198</v>
      </c>
    </row>
    <row r="1589" spans="1:5" x14ac:dyDescent="0.2">
      <c r="A1589" s="269">
        <v>45909.678506944445</v>
      </c>
      <c r="B1589" t="s">
        <v>1429</v>
      </c>
      <c r="C1589" t="s">
        <v>14</v>
      </c>
      <c r="D1589" t="s">
        <v>1740</v>
      </c>
      <c r="E1589" t="s">
        <v>198</v>
      </c>
    </row>
    <row r="1590" spans="1:5" x14ac:dyDescent="0.2">
      <c r="A1590" s="269">
        <v>45909.678530092591</v>
      </c>
      <c r="B1590" t="s">
        <v>1429</v>
      </c>
      <c r="C1590" t="s">
        <v>14</v>
      </c>
      <c r="D1590" t="s">
        <v>1741</v>
      </c>
      <c r="E1590" t="s">
        <v>198</v>
      </c>
    </row>
    <row r="1591" spans="1:5" x14ac:dyDescent="0.2">
      <c r="A1591" s="269">
        <v>45909.678553240738</v>
      </c>
      <c r="B1591" t="s">
        <v>1429</v>
      </c>
      <c r="C1591" t="s">
        <v>14</v>
      </c>
      <c r="D1591" t="s">
        <v>1742</v>
      </c>
      <c r="E1591" t="s">
        <v>198</v>
      </c>
    </row>
    <row r="1592" spans="1:5" x14ac:dyDescent="0.2">
      <c r="A1592" s="269">
        <v>45909.678576388891</v>
      </c>
      <c r="B1592" t="s">
        <v>1429</v>
      </c>
      <c r="C1592" t="s">
        <v>14</v>
      </c>
      <c r="D1592" t="s">
        <v>1743</v>
      </c>
      <c r="E1592" t="s">
        <v>198</v>
      </c>
    </row>
    <row r="1593" spans="1:5" x14ac:dyDescent="0.2">
      <c r="A1593" s="269">
        <v>45909.678599537037</v>
      </c>
      <c r="B1593" t="s">
        <v>1429</v>
      </c>
      <c r="C1593" t="s">
        <v>14</v>
      </c>
      <c r="D1593" t="s">
        <v>1744</v>
      </c>
      <c r="E1593" t="s">
        <v>198</v>
      </c>
    </row>
    <row r="1594" spans="1:5" x14ac:dyDescent="0.2">
      <c r="A1594" s="269">
        <v>45909.678622685184</v>
      </c>
      <c r="B1594" t="s">
        <v>1429</v>
      </c>
      <c r="C1594" t="s">
        <v>14</v>
      </c>
      <c r="D1594" t="s">
        <v>1745</v>
      </c>
      <c r="E1594" t="s">
        <v>198</v>
      </c>
    </row>
    <row r="1595" spans="1:5" x14ac:dyDescent="0.2">
      <c r="A1595" s="269">
        <v>45909.67864583333</v>
      </c>
      <c r="B1595" t="s">
        <v>1429</v>
      </c>
      <c r="C1595" t="s">
        <v>14</v>
      </c>
      <c r="D1595" t="s">
        <v>1746</v>
      </c>
      <c r="E1595" t="s">
        <v>198</v>
      </c>
    </row>
    <row r="1596" spans="1:5" x14ac:dyDescent="0.2">
      <c r="A1596" s="269">
        <v>45909.678668981483</v>
      </c>
      <c r="B1596" t="s">
        <v>1429</v>
      </c>
      <c r="C1596" t="s">
        <v>14</v>
      </c>
      <c r="D1596" t="s">
        <v>1747</v>
      </c>
      <c r="E1596" t="s">
        <v>198</v>
      </c>
    </row>
    <row r="1597" spans="1:5" x14ac:dyDescent="0.2">
      <c r="A1597" s="269">
        <v>45909.678842592592</v>
      </c>
      <c r="B1597" t="s">
        <v>1429</v>
      </c>
      <c r="C1597" t="s">
        <v>14</v>
      </c>
      <c r="D1597" t="s">
        <v>1748</v>
      </c>
      <c r="E1597" t="s">
        <v>402</v>
      </c>
    </row>
    <row r="1598" spans="1:5" x14ac:dyDescent="0.2">
      <c r="A1598" s="269">
        <v>45909.678912037038</v>
      </c>
      <c r="B1598" t="s">
        <v>1429</v>
      </c>
      <c r="C1598" t="s">
        <v>14</v>
      </c>
      <c r="D1598" t="s">
        <v>1749</v>
      </c>
      <c r="E1598" t="s">
        <v>402</v>
      </c>
    </row>
    <row r="1599" spans="1:5" x14ac:dyDescent="0.2">
      <c r="A1599" s="269">
        <v>45909.678946759261</v>
      </c>
      <c r="B1599" t="s">
        <v>1429</v>
      </c>
      <c r="C1599" t="s">
        <v>14</v>
      </c>
      <c r="D1599" t="s">
        <v>1750</v>
      </c>
      <c r="E1599" t="s">
        <v>402</v>
      </c>
    </row>
    <row r="1600" spans="1:5" x14ac:dyDescent="0.2">
      <c r="A1600" s="269">
        <v>45909.67895833333</v>
      </c>
      <c r="B1600" t="s">
        <v>1429</v>
      </c>
      <c r="C1600" t="s">
        <v>14</v>
      </c>
      <c r="D1600" t="s">
        <v>1750</v>
      </c>
      <c r="E1600" t="s">
        <v>377</v>
      </c>
    </row>
    <row r="1601" spans="1:5" x14ac:dyDescent="0.2">
      <c r="A1601" s="269">
        <v>45909.679027777776</v>
      </c>
      <c r="B1601" t="s">
        <v>1429</v>
      </c>
      <c r="C1601" t="s">
        <v>14</v>
      </c>
      <c r="D1601" t="s">
        <v>1750</v>
      </c>
      <c r="E1601" t="s">
        <v>402</v>
      </c>
    </row>
    <row r="1602" spans="1:5" x14ac:dyDescent="0.2">
      <c r="A1602" s="269">
        <v>45909.679050925923</v>
      </c>
      <c r="B1602" t="s">
        <v>1429</v>
      </c>
      <c r="C1602" t="s">
        <v>14</v>
      </c>
      <c r="D1602" t="s">
        <v>1751</v>
      </c>
      <c r="E1602" t="s">
        <v>402</v>
      </c>
    </row>
    <row r="1603" spans="1:5" x14ac:dyDescent="0.2">
      <c r="A1603" s="269">
        <v>45909.679062499999</v>
      </c>
      <c r="B1603" t="s">
        <v>1429</v>
      </c>
      <c r="C1603" t="s">
        <v>14</v>
      </c>
      <c r="D1603" t="s">
        <v>1752</v>
      </c>
      <c r="E1603" t="s">
        <v>402</v>
      </c>
    </row>
    <row r="1604" spans="1:5" x14ac:dyDescent="0.2">
      <c r="A1604" s="269">
        <v>45909.679074074076</v>
      </c>
      <c r="B1604" t="s">
        <v>1429</v>
      </c>
      <c r="C1604" t="s">
        <v>14</v>
      </c>
      <c r="D1604" t="s">
        <v>1753</v>
      </c>
      <c r="E1604" t="s">
        <v>402</v>
      </c>
    </row>
    <row r="1605" spans="1:5" x14ac:dyDescent="0.2">
      <c r="A1605" s="269">
        <v>45909.679097222222</v>
      </c>
      <c r="B1605" t="s">
        <v>1429</v>
      </c>
      <c r="C1605" t="s">
        <v>14</v>
      </c>
      <c r="D1605" t="s">
        <v>1755</v>
      </c>
      <c r="E1605" t="s">
        <v>1754</v>
      </c>
    </row>
    <row r="1606" spans="1:5" x14ac:dyDescent="0.2">
      <c r="A1606" s="269">
        <v>45909.679131944446</v>
      </c>
      <c r="B1606" t="s">
        <v>1429</v>
      </c>
      <c r="C1606" t="s">
        <v>14</v>
      </c>
      <c r="D1606" t="s">
        <v>1755</v>
      </c>
      <c r="E1606" t="s">
        <v>402</v>
      </c>
    </row>
    <row r="1607" spans="1:5" x14ac:dyDescent="0.2">
      <c r="A1607" s="269">
        <v>45909.679155092592</v>
      </c>
      <c r="B1607" t="s">
        <v>1429</v>
      </c>
      <c r="C1607" t="s">
        <v>14</v>
      </c>
      <c r="D1607" t="s">
        <v>1756</v>
      </c>
      <c r="E1607" t="s">
        <v>402</v>
      </c>
    </row>
    <row r="1608" spans="1:5" x14ac:dyDescent="0.2">
      <c r="A1608" s="269">
        <v>45909.679178240738</v>
      </c>
      <c r="B1608" t="s">
        <v>1429</v>
      </c>
      <c r="C1608" t="s">
        <v>14</v>
      </c>
      <c r="D1608" t="s">
        <v>1757</v>
      </c>
      <c r="E1608" t="s">
        <v>402</v>
      </c>
    </row>
    <row r="1609" spans="1:5" x14ac:dyDescent="0.2">
      <c r="A1609" s="269">
        <v>45909.679189814815</v>
      </c>
      <c r="B1609" t="s">
        <v>1429</v>
      </c>
      <c r="C1609" t="s">
        <v>14</v>
      </c>
      <c r="D1609" t="s">
        <v>1758</v>
      </c>
      <c r="E1609" t="s">
        <v>402</v>
      </c>
    </row>
    <row r="1610" spans="1:5" x14ac:dyDescent="0.2">
      <c r="A1610" s="269">
        <v>45909.679201388892</v>
      </c>
      <c r="B1610" t="s">
        <v>1429</v>
      </c>
      <c r="C1610" t="s">
        <v>14</v>
      </c>
      <c r="D1610" t="s">
        <v>1759</v>
      </c>
      <c r="E1610" t="s">
        <v>402</v>
      </c>
    </row>
    <row r="1611" spans="1:5" x14ac:dyDescent="0.2">
      <c r="A1611" s="269">
        <v>45909.679224537038</v>
      </c>
      <c r="B1611" t="s">
        <v>1429</v>
      </c>
      <c r="C1611" t="s">
        <v>14</v>
      </c>
      <c r="D1611" t="s">
        <v>1760</v>
      </c>
      <c r="E1611" t="s">
        <v>402</v>
      </c>
    </row>
    <row r="1612" spans="1:5" x14ac:dyDescent="0.2">
      <c r="A1612" s="269">
        <v>45909.679247685184</v>
      </c>
      <c r="B1612" t="s">
        <v>1429</v>
      </c>
      <c r="C1612" t="s">
        <v>14</v>
      </c>
      <c r="D1612" t="s">
        <v>1761</v>
      </c>
      <c r="E1612" t="s">
        <v>402</v>
      </c>
    </row>
    <row r="1613" spans="1:5" x14ac:dyDescent="0.2">
      <c r="A1613" s="269">
        <v>45909.679270833331</v>
      </c>
      <c r="B1613" t="s">
        <v>1429</v>
      </c>
      <c r="C1613" t="s">
        <v>14</v>
      </c>
      <c r="D1613" t="s">
        <v>1762</v>
      </c>
      <c r="E1613" t="s">
        <v>402</v>
      </c>
    </row>
    <row r="1614" spans="1:5" x14ac:dyDescent="0.2">
      <c r="A1614" s="269">
        <v>45909.679282407407</v>
      </c>
      <c r="B1614" t="s">
        <v>1429</v>
      </c>
      <c r="C1614" t="s">
        <v>14</v>
      </c>
      <c r="D1614" t="s">
        <v>1763</v>
      </c>
      <c r="E1614" t="s">
        <v>402</v>
      </c>
    </row>
    <row r="1615" spans="1:5" x14ac:dyDescent="0.2">
      <c r="A1615" s="269">
        <v>45909.679293981484</v>
      </c>
      <c r="B1615" t="s">
        <v>1429</v>
      </c>
      <c r="C1615" t="s">
        <v>14</v>
      </c>
      <c r="D1615" t="s">
        <v>1764</v>
      </c>
      <c r="E1615" t="s">
        <v>402</v>
      </c>
    </row>
    <row r="1616" spans="1:5" x14ac:dyDescent="0.2">
      <c r="A1616" s="269">
        <v>45909.67931712963</v>
      </c>
      <c r="B1616" t="s">
        <v>1429</v>
      </c>
      <c r="C1616" t="s">
        <v>14</v>
      </c>
      <c r="D1616" t="s">
        <v>1765</v>
      </c>
      <c r="E1616" t="s">
        <v>402</v>
      </c>
    </row>
    <row r="1617" spans="1:5" x14ac:dyDescent="0.2">
      <c r="A1617" s="269">
        <v>45909.679328703707</v>
      </c>
      <c r="B1617" t="s">
        <v>1429</v>
      </c>
      <c r="C1617" t="s">
        <v>14</v>
      </c>
      <c r="D1617" t="s">
        <v>1766</v>
      </c>
      <c r="E1617" t="s">
        <v>402</v>
      </c>
    </row>
    <row r="1618" spans="1:5" x14ac:dyDescent="0.2">
      <c r="A1618" s="269">
        <v>45909.679351851853</v>
      </c>
      <c r="B1618" t="s">
        <v>1429</v>
      </c>
      <c r="C1618" t="s">
        <v>14</v>
      </c>
      <c r="D1618" t="s">
        <v>1767</v>
      </c>
      <c r="E1618" t="s">
        <v>1754</v>
      </c>
    </row>
    <row r="1619" spans="1:5" x14ac:dyDescent="0.2">
      <c r="A1619" s="269">
        <v>45909.68072916667</v>
      </c>
      <c r="B1619" t="s">
        <v>1429</v>
      </c>
      <c r="C1619" t="s">
        <v>14</v>
      </c>
      <c r="D1619" t="s">
        <v>970</v>
      </c>
      <c r="E1619">
        <v>11</v>
      </c>
    </row>
    <row r="1620" spans="1:5" x14ac:dyDescent="0.2">
      <c r="A1620" s="269">
        <v>45909.680775462963</v>
      </c>
      <c r="B1620" t="s">
        <v>1429</v>
      </c>
      <c r="C1620" t="s">
        <v>14</v>
      </c>
      <c r="D1620" t="s">
        <v>1768</v>
      </c>
      <c r="E1620">
        <v>11</v>
      </c>
    </row>
    <row r="1621" spans="1:5" x14ac:dyDescent="0.2">
      <c r="A1621" s="269">
        <v>45909.691238425927</v>
      </c>
      <c r="B1621" t="s">
        <v>1429</v>
      </c>
      <c r="C1621" t="s">
        <v>27</v>
      </c>
      <c r="D1621" t="s">
        <v>981</v>
      </c>
      <c r="E1621" t="s">
        <v>316</v>
      </c>
    </row>
    <row r="1622" spans="1:5" x14ac:dyDescent="0.2">
      <c r="A1622" s="269">
        <v>45909.691284722219</v>
      </c>
      <c r="B1622" t="s">
        <v>1429</v>
      </c>
      <c r="C1622" t="s">
        <v>27</v>
      </c>
      <c r="D1622" t="s">
        <v>1064</v>
      </c>
      <c r="E1622" t="s">
        <v>316</v>
      </c>
    </row>
    <row r="1623" spans="1:5" x14ac:dyDescent="0.2">
      <c r="A1623" s="269">
        <v>45909.691319444442</v>
      </c>
      <c r="B1623" t="s">
        <v>1429</v>
      </c>
      <c r="C1623" t="s">
        <v>27</v>
      </c>
      <c r="D1623" t="s">
        <v>992</v>
      </c>
      <c r="E1623" t="s">
        <v>316</v>
      </c>
    </row>
    <row r="1624" spans="1:5" x14ac:dyDescent="0.2">
      <c r="A1624" s="269">
        <v>45909.69159722222</v>
      </c>
      <c r="B1624" t="s">
        <v>1429</v>
      </c>
      <c r="C1624" t="s">
        <v>27</v>
      </c>
      <c r="D1624" t="s">
        <v>1011</v>
      </c>
      <c r="E1624" t="s">
        <v>336</v>
      </c>
    </row>
    <row r="1625" spans="1:5" x14ac:dyDescent="0.2">
      <c r="A1625" s="269">
        <v>45909.691643518519</v>
      </c>
      <c r="B1625" t="s">
        <v>1429</v>
      </c>
      <c r="C1625" t="s">
        <v>27</v>
      </c>
      <c r="D1625" t="s">
        <v>745</v>
      </c>
      <c r="E1625" t="s">
        <v>87</v>
      </c>
    </row>
    <row r="1626" spans="1:5" x14ac:dyDescent="0.2">
      <c r="A1626" s="269">
        <v>45909.691678240742</v>
      </c>
      <c r="B1626" t="s">
        <v>1429</v>
      </c>
      <c r="C1626" t="s">
        <v>27</v>
      </c>
      <c r="D1626" t="s">
        <v>1468</v>
      </c>
      <c r="E1626" t="s">
        <v>360</v>
      </c>
    </row>
    <row r="1627" spans="1:5" x14ac:dyDescent="0.2">
      <c r="A1627" s="269">
        <v>45909.691736111112</v>
      </c>
      <c r="B1627" t="s">
        <v>1429</v>
      </c>
      <c r="C1627" t="s">
        <v>27</v>
      </c>
      <c r="D1627" t="s">
        <v>1469</v>
      </c>
      <c r="E1627" t="s">
        <v>336</v>
      </c>
    </row>
    <row r="1628" spans="1:5" x14ac:dyDescent="0.2">
      <c r="A1628" s="269">
        <v>45909.691817129627</v>
      </c>
      <c r="B1628" t="s">
        <v>1429</v>
      </c>
      <c r="C1628" t="s">
        <v>27</v>
      </c>
      <c r="D1628" t="s">
        <v>1769</v>
      </c>
      <c r="E1628" t="s">
        <v>336</v>
      </c>
    </row>
    <row r="1629" spans="1:5" x14ac:dyDescent="0.2">
      <c r="A1629" s="269">
        <v>45909.691840277781</v>
      </c>
      <c r="B1629" t="s">
        <v>1429</v>
      </c>
      <c r="C1629" t="s">
        <v>27</v>
      </c>
      <c r="D1629" t="s">
        <v>1770</v>
      </c>
      <c r="E1629" t="s">
        <v>336</v>
      </c>
    </row>
    <row r="1630" spans="1:5" x14ac:dyDescent="0.2">
      <c r="A1630" s="269">
        <v>45909.691932870373</v>
      </c>
      <c r="B1630" t="s">
        <v>1429</v>
      </c>
      <c r="C1630" t="s">
        <v>27</v>
      </c>
      <c r="D1630" t="s">
        <v>1013</v>
      </c>
      <c r="E1630" t="s">
        <v>137</v>
      </c>
    </row>
    <row r="1631" spans="1:5" x14ac:dyDescent="0.2">
      <c r="A1631" s="269">
        <v>45909.69195601852</v>
      </c>
      <c r="B1631" t="s">
        <v>1429</v>
      </c>
      <c r="C1631" t="s">
        <v>27</v>
      </c>
      <c r="D1631" t="s">
        <v>1016</v>
      </c>
      <c r="E1631" t="s">
        <v>137</v>
      </c>
    </row>
    <row r="1632" spans="1:5" x14ac:dyDescent="0.2">
      <c r="A1632" s="269">
        <v>45909.691979166666</v>
      </c>
      <c r="B1632" t="s">
        <v>1429</v>
      </c>
      <c r="C1632" t="s">
        <v>27</v>
      </c>
      <c r="D1632" t="s">
        <v>1066</v>
      </c>
      <c r="E1632" t="s">
        <v>137</v>
      </c>
    </row>
    <row r="1633" spans="1:5" x14ac:dyDescent="0.2">
      <c r="A1633" s="269">
        <v>45909.692037037035</v>
      </c>
      <c r="B1633" t="s">
        <v>1429</v>
      </c>
      <c r="C1633" t="s">
        <v>27</v>
      </c>
      <c r="D1633" t="s">
        <v>1067</v>
      </c>
      <c r="E1633" t="s">
        <v>381</v>
      </c>
    </row>
    <row r="1634" spans="1:5" x14ac:dyDescent="0.2">
      <c r="A1634" s="269">
        <v>45909.692083333335</v>
      </c>
      <c r="B1634" t="s">
        <v>1429</v>
      </c>
      <c r="C1634" t="s">
        <v>27</v>
      </c>
      <c r="D1634" t="s">
        <v>1471</v>
      </c>
    </row>
    <row r="1635" spans="1:5" x14ac:dyDescent="0.2">
      <c r="A1635" s="269">
        <v>45909.692083333335</v>
      </c>
      <c r="B1635" t="s">
        <v>1429</v>
      </c>
      <c r="C1635" t="s">
        <v>27</v>
      </c>
      <c r="D1635" t="s">
        <v>1471</v>
      </c>
    </row>
    <row r="1636" spans="1:5" x14ac:dyDescent="0.2">
      <c r="A1636" s="269">
        <v>45909.692118055558</v>
      </c>
      <c r="B1636" t="s">
        <v>1429</v>
      </c>
      <c r="C1636" t="s">
        <v>27</v>
      </c>
      <c r="D1636" t="s">
        <v>1471</v>
      </c>
      <c r="E1636" t="s">
        <v>381</v>
      </c>
    </row>
    <row r="1637" spans="1:5" x14ac:dyDescent="0.2">
      <c r="A1637" s="269">
        <v>45909.692141203705</v>
      </c>
      <c r="B1637" t="s">
        <v>1429</v>
      </c>
      <c r="C1637" t="s">
        <v>27</v>
      </c>
      <c r="D1637" t="s">
        <v>1472</v>
      </c>
      <c r="E1637" t="s">
        <v>381</v>
      </c>
    </row>
    <row r="1638" spans="1:5" x14ac:dyDescent="0.2">
      <c r="A1638" s="269">
        <v>45909.692569444444</v>
      </c>
      <c r="B1638" t="s">
        <v>1429</v>
      </c>
      <c r="C1638" t="s">
        <v>27</v>
      </c>
      <c r="D1638" t="s">
        <v>1470</v>
      </c>
      <c r="E1638" t="s">
        <v>87</v>
      </c>
    </row>
    <row r="1639" spans="1:5" x14ac:dyDescent="0.2">
      <c r="A1639" s="269">
        <v>45909.692685185182</v>
      </c>
      <c r="B1639" t="s">
        <v>1429</v>
      </c>
      <c r="C1639" t="s">
        <v>27</v>
      </c>
      <c r="D1639" t="s">
        <v>672</v>
      </c>
    </row>
    <row r="1640" spans="1:5" x14ac:dyDescent="0.2">
      <c r="A1640" s="269">
        <v>45909.692719907405</v>
      </c>
      <c r="B1640" t="s">
        <v>1429</v>
      </c>
      <c r="C1640" t="s">
        <v>27</v>
      </c>
      <c r="D1640" t="s">
        <v>672</v>
      </c>
      <c r="E1640" t="s">
        <v>398</v>
      </c>
    </row>
    <row r="1641" spans="1:5" x14ac:dyDescent="0.2">
      <c r="A1641" s="269">
        <v>45909.692812499998</v>
      </c>
      <c r="B1641" t="s">
        <v>1429</v>
      </c>
      <c r="C1641" t="s">
        <v>27</v>
      </c>
      <c r="D1641" t="s">
        <v>672</v>
      </c>
      <c r="E1641" t="s">
        <v>369</v>
      </c>
    </row>
    <row r="1642" spans="1:5" x14ac:dyDescent="0.2">
      <c r="A1642" s="269">
        <v>45909.692847222221</v>
      </c>
      <c r="B1642" t="s">
        <v>1429</v>
      </c>
      <c r="C1642" t="s">
        <v>27</v>
      </c>
      <c r="D1642" t="s">
        <v>673</v>
      </c>
      <c r="E1642" t="s">
        <v>377</v>
      </c>
    </row>
    <row r="1643" spans="1:5" x14ac:dyDescent="0.2">
      <c r="A1643" s="269">
        <v>45909.692893518521</v>
      </c>
      <c r="B1643" t="s">
        <v>1429</v>
      </c>
      <c r="C1643" t="s">
        <v>27</v>
      </c>
      <c r="D1643" t="s">
        <v>674</v>
      </c>
      <c r="E1643" t="s">
        <v>384</v>
      </c>
    </row>
    <row r="1644" spans="1:5" x14ac:dyDescent="0.2">
      <c r="A1644" s="269">
        <v>45909.69295138889</v>
      </c>
      <c r="B1644" t="s">
        <v>1429</v>
      </c>
      <c r="C1644" t="s">
        <v>27</v>
      </c>
      <c r="D1644" t="s">
        <v>1771</v>
      </c>
      <c r="E1644" t="s">
        <v>369</v>
      </c>
    </row>
    <row r="1645" spans="1:5" x14ac:dyDescent="0.2">
      <c r="A1645" s="269">
        <v>45909.692962962959</v>
      </c>
      <c r="B1645" t="s">
        <v>1429</v>
      </c>
      <c r="C1645" t="s">
        <v>27</v>
      </c>
      <c r="D1645" t="s">
        <v>1772</v>
      </c>
      <c r="E1645" t="s">
        <v>369</v>
      </c>
    </row>
    <row r="1646" spans="1:5" x14ac:dyDescent="0.2">
      <c r="A1646" s="269">
        <v>45909.693043981482</v>
      </c>
      <c r="B1646" t="s">
        <v>1429</v>
      </c>
      <c r="C1646" t="s">
        <v>27</v>
      </c>
      <c r="D1646" t="s">
        <v>1576</v>
      </c>
      <c r="E1646" t="s">
        <v>388</v>
      </c>
    </row>
    <row r="1647" spans="1:5" x14ac:dyDescent="0.2">
      <c r="A1647" s="269">
        <v>45909.693078703705</v>
      </c>
      <c r="B1647" t="s">
        <v>1429</v>
      </c>
      <c r="C1647" t="s">
        <v>27</v>
      </c>
      <c r="D1647" t="s">
        <v>1577</v>
      </c>
      <c r="E1647" t="s">
        <v>40</v>
      </c>
    </row>
    <row r="1648" spans="1:5" x14ac:dyDescent="0.2">
      <c r="A1648" s="269">
        <v>45909.693124999998</v>
      </c>
      <c r="B1648" t="s">
        <v>1429</v>
      </c>
      <c r="C1648" t="s">
        <v>27</v>
      </c>
      <c r="D1648" t="s">
        <v>1578</v>
      </c>
      <c r="E1648" t="s">
        <v>395</v>
      </c>
    </row>
    <row r="1649" spans="1:5" x14ac:dyDescent="0.2">
      <c r="A1649" s="269">
        <v>45909.693159722221</v>
      </c>
      <c r="B1649" t="s">
        <v>1429</v>
      </c>
      <c r="C1649" t="s">
        <v>27</v>
      </c>
      <c r="D1649" t="s">
        <v>1773</v>
      </c>
      <c r="E1649" t="s">
        <v>388</v>
      </c>
    </row>
    <row r="1650" spans="1:5" x14ac:dyDescent="0.2">
      <c r="A1650" s="269">
        <v>45909.693194444444</v>
      </c>
      <c r="B1650" t="s">
        <v>1429</v>
      </c>
      <c r="C1650" t="s">
        <v>27</v>
      </c>
      <c r="D1650" t="s">
        <v>1774</v>
      </c>
      <c r="E1650" t="s">
        <v>388</v>
      </c>
    </row>
    <row r="1651" spans="1:5" x14ac:dyDescent="0.2">
      <c r="A1651" s="269">
        <v>45909.69327546296</v>
      </c>
      <c r="B1651" t="s">
        <v>1429</v>
      </c>
      <c r="C1651" t="s">
        <v>27</v>
      </c>
      <c r="D1651" t="s">
        <v>1775</v>
      </c>
      <c r="E1651" t="s">
        <v>398</v>
      </c>
    </row>
    <row r="1652" spans="1:5" x14ac:dyDescent="0.2">
      <c r="A1652" s="269">
        <v>45909.69332175926</v>
      </c>
      <c r="B1652" t="s">
        <v>1429</v>
      </c>
      <c r="C1652" t="s">
        <v>27</v>
      </c>
      <c r="D1652" t="s">
        <v>1776</v>
      </c>
      <c r="E1652" t="s">
        <v>402</v>
      </c>
    </row>
    <row r="1653" spans="1:5" x14ac:dyDescent="0.2">
      <c r="A1653" s="269">
        <v>45909.693379629629</v>
      </c>
      <c r="B1653" t="s">
        <v>1429</v>
      </c>
      <c r="C1653" t="s">
        <v>27</v>
      </c>
      <c r="D1653" t="s">
        <v>1777</v>
      </c>
      <c r="E1653" t="s">
        <v>405</v>
      </c>
    </row>
    <row r="1654" spans="1:5" x14ac:dyDescent="0.2">
      <c r="A1654" s="269">
        <v>45909.693425925929</v>
      </c>
      <c r="B1654" t="s">
        <v>1429</v>
      </c>
      <c r="C1654" t="s">
        <v>27</v>
      </c>
      <c r="D1654" t="s">
        <v>1778</v>
      </c>
      <c r="E1654" t="s">
        <v>398</v>
      </c>
    </row>
    <row r="1655" spans="1:5" x14ac:dyDescent="0.2">
      <c r="A1655" s="269">
        <v>45909.693460648145</v>
      </c>
      <c r="B1655" t="s">
        <v>1429</v>
      </c>
      <c r="C1655" t="s">
        <v>27</v>
      </c>
      <c r="D1655" t="s">
        <v>1779</v>
      </c>
      <c r="E1655" t="s">
        <v>398</v>
      </c>
    </row>
    <row r="1656" spans="1:5" x14ac:dyDescent="0.2">
      <c r="A1656" s="269">
        <v>45909.69358796296</v>
      </c>
      <c r="B1656" t="s">
        <v>1429</v>
      </c>
      <c r="C1656" t="s">
        <v>27</v>
      </c>
      <c r="D1656" t="s">
        <v>1780</v>
      </c>
      <c r="E1656" t="s">
        <v>316</v>
      </c>
    </row>
    <row r="1657" spans="1:5" x14ac:dyDescent="0.2">
      <c r="A1657" s="269">
        <v>45909.693726851852</v>
      </c>
      <c r="B1657" t="s">
        <v>1429</v>
      </c>
      <c r="C1657" t="s">
        <v>27</v>
      </c>
      <c r="D1657" t="s">
        <v>1781</v>
      </c>
      <c r="E1657" t="s">
        <v>316</v>
      </c>
    </row>
    <row r="1658" spans="1:5" x14ac:dyDescent="0.2">
      <c r="A1658" s="269">
        <v>45909.693807870368</v>
      </c>
      <c r="B1658" t="s">
        <v>1429</v>
      </c>
      <c r="C1658" t="s">
        <v>27</v>
      </c>
      <c r="D1658" t="s">
        <v>1782</v>
      </c>
      <c r="E1658" t="s">
        <v>316</v>
      </c>
    </row>
    <row r="1659" spans="1:5" x14ac:dyDescent="0.2">
      <c r="A1659" s="269">
        <v>45909.693912037037</v>
      </c>
      <c r="B1659" t="s">
        <v>1429</v>
      </c>
      <c r="C1659" t="s">
        <v>27</v>
      </c>
      <c r="D1659" t="s">
        <v>1783</v>
      </c>
      <c r="E1659" t="s">
        <v>137</v>
      </c>
    </row>
    <row r="1660" spans="1:5" x14ac:dyDescent="0.2">
      <c r="A1660" s="269">
        <v>45909.693923611114</v>
      </c>
      <c r="B1660" t="s">
        <v>1429</v>
      </c>
      <c r="C1660" t="s">
        <v>27</v>
      </c>
      <c r="D1660" t="s">
        <v>1784</v>
      </c>
      <c r="E1660" t="s">
        <v>137</v>
      </c>
    </row>
    <row r="1661" spans="1:5" x14ac:dyDescent="0.2">
      <c r="A1661" s="269">
        <v>45909.69394675926</v>
      </c>
      <c r="B1661" t="s">
        <v>1429</v>
      </c>
      <c r="C1661" t="s">
        <v>27</v>
      </c>
      <c r="D1661" t="s">
        <v>1785</v>
      </c>
      <c r="E1661" t="s">
        <v>137</v>
      </c>
    </row>
    <row r="1662" spans="1:5" x14ac:dyDescent="0.2">
      <c r="A1662" s="269">
        <v>45909.694004629629</v>
      </c>
      <c r="B1662" t="s">
        <v>1429</v>
      </c>
      <c r="C1662" t="s">
        <v>27</v>
      </c>
      <c r="D1662" t="s">
        <v>1786</v>
      </c>
      <c r="E1662" t="s">
        <v>381</v>
      </c>
    </row>
    <row r="1663" spans="1:5" x14ac:dyDescent="0.2">
      <c r="A1663" s="269">
        <v>45909.694027777776</v>
      </c>
      <c r="B1663" t="s">
        <v>1429</v>
      </c>
      <c r="C1663" t="s">
        <v>27</v>
      </c>
      <c r="D1663" t="s">
        <v>1787</v>
      </c>
      <c r="E1663" t="s">
        <v>381</v>
      </c>
    </row>
    <row r="1664" spans="1:5" x14ac:dyDescent="0.2">
      <c r="A1664" s="269">
        <v>45909.694039351853</v>
      </c>
      <c r="B1664" t="s">
        <v>1429</v>
      </c>
      <c r="C1664" t="s">
        <v>27</v>
      </c>
      <c r="D1664" t="s">
        <v>1788</v>
      </c>
      <c r="E1664" t="s">
        <v>381</v>
      </c>
    </row>
    <row r="1665" spans="1:5" x14ac:dyDescent="0.2">
      <c r="A1665" s="269">
        <v>45909.694166666668</v>
      </c>
      <c r="B1665" t="s">
        <v>1429</v>
      </c>
      <c r="C1665" t="s">
        <v>27</v>
      </c>
      <c r="D1665" t="s">
        <v>1789</v>
      </c>
      <c r="E1665" t="s">
        <v>311</v>
      </c>
    </row>
    <row r="1666" spans="1:5" x14ac:dyDescent="0.2">
      <c r="A1666" s="269">
        <v>45909.694189814814</v>
      </c>
      <c r="B1666" t="s">
        <v>1429</v>
      </c>
      <c r="C1666" t="s">
        <v>27</v>
      </c>
      <c r="D1666" t="s">
        <v>1790</v>
      </c>
      <c r="E1666" t="s">
        <v>311</v>
      </c>
    </row>
    <row r="1667" spans="1:5" x14ac:dyDescent="0.2">
      <c r="A1667" s="269">
        <v>45909.701747685183</v>
      </c>
      <c r="B1667" t="s">
        <v>1429</v>
      </c>
      <c r="C1667" t="s">
        <v>27</v>
      </c>
      <c r="D1667" t="s">
        <v>1476</v>
      </c>
      <c r="E1667">
        <v>16</v>
      </c>
    </row>
    <row r="1668" spans="1:5" x14ac:dyDescent="0.2">
      <c r="A1668" s="269">
        <v>45909.701770833337</v>
      </c>
      <c r="B1668" t="s">
        <v>1429</v>
      </c>
      <c r="C1668" t="s">
        <v>27</v>
      </c>
      <c r="D1668" t="s">
        <v>971</v>
      </c>
      <c r="E1668">
        <v>16</v>
      </c>
    </row>
    <row r="1669" spans="1:5" x14ac:dyDescent="0.2">
      <c r="A1669" s="269">
        <v>45909.701817129629</v>
      </c>
      <c r="B1669" t="s">
        <v>1429</v>
      </c>
      <c r="C1669" t="s">
        <v>27</v>
      </c>
      <c r="D1669" t="s">
        <v>974</v>
      </c>
      <c r="E1669">
        <v>16</v>
      </c>
    </row>
    <row r="1670" spans="1:5" x14ac:dyDescent="0.2">
      <c r="A1670" s="269">
        <v>45910.324687499997</v>
      </c>
      <c r="B1670" t="s">
        <v>1429</v>
      </c>
      <c r="C1670" t="s">
        <v>595</v>
      </c>
      <c r="D1670" t="s">
        <v>1791</v>
      </c>
      <c r="E1670" t="s">
        <v>38</v>
      </c>
    </row>
    <row r="1671" spans="1:5" x14ac:dyDescent="0.2">
      <c r="A1671" s="269">
        <v>45910.326504629629</v>
      </c>
      <c r="B1671" t="s">
        <v>1429</v>
      </c>
      <c r="C1671" t="s">
        <v>14</v>
      </c>
      <c r="D1671" t="s">
        <v>1676</v>
      </c>
      <c r="E1671" t="s">
        <v>378</v>
      </c>
    </row>
    <row r="1672" spans="1:5" x14ac:dyDescent="0.2">
      <c r="A1672" s="269">
        <v>45910.326747685183</v>
      </c>
      <c r="B1672" t="s">
        <v>1429</v>
      </c>
      <c r="C1672" t="s">
        <v>14</v>
      </c>
      <c r="D1672" t="s">
        <v>1792</v>
      </c>
      <c r="E1672" t="s">
        <v>1674</v>
      </c>
    </row>
    <row r="1673" spans="1:5" x14ac:dyDescent="0.2">
      <c r="A1673" s="269">
        <v>45910.326805555553</v>
      </c>
      <c r="B1673" t="s">
        <v>1429</v>
      </c>
      <c r="C1673" t="s">
        <v>14</v>
      </c>
      <c r="D1673" t="s">
        <v>1793</v>
      </c>
      <c r="E1673" t="s">
        <v>198</v>
      </c>
    </row>
    <row r="1674" spans="1:5" x14ac:dyDescent="0.2">
      <c r="A1674" s="269">
        <v>45910.326851851853</v>
      </c>
      <c r="B1674" t="s">
        <v>1429</v>
      </c>
      <c r="C1674" t="s">
        <v>14</v>
      </c>
      <c r="D1674" t="s">
        <v>1794</v>
      </c>
      <c r="E1674">
        <v>1</v>
      </c>
    </row>
    <row r="1675" spans="1:5" x14ac:dyDescent="0.2">
      <c r="A1675" s="269">
        <v>45910.326886574076</v>
      </c>
      <c r="B1675" t="s">
        <v>1429</v>
      </c>
      <c r="C1675" t="s">
        <v>14</v>
      </c>
      <c r="D1675" t="s">
        <v>1795</v>
      </c>
      <c r="E1675" t="s">
        <v>378</v>
      </c>
    </row>
    <row r="1676" spans="1:5" x14ac:dyDescent="0.2">
      <c r="A1676" s="269">
        <v>45910.326921296299</v>
      </c>
      <c r="B1676" t="s">
        <v>1429</v>
      </c>
      <c r="C1676" t="s">
        <v>14</v>
      </c>
      <c r="D1676" t="s">
        <v>1796</v>
      </c>
      <c r="E1676" t="s">
        <v>350</v>
      </c>
    </row>
    <row r="1677" spans="1:5" x14ac:dyDescent="0.2">
      <c r="A1677" s="269">
        <v>45910.327037037037</v>
      </c>
      <c r="B1677" t="s">
        <v>1429</v>
      </c>
      <c r="C1677" t="s">
        <v>14</v>
      </c>
      <c r="D1677" t="s">
        <v>1767</v>
      </c>
      <c r="E1677" t="s">
        <v>402</v>
      </c>
    </row>
    <row r="1678" spans="1:5" x14ac:dyDescent="0.2">
      <c r="A1678" s="269">
        <v>45910.327048611114</v>
      </c>
      <c r="B1678" t="s">
        <v>1429</v>
      </c>
      <c r="C1678" t="s">
        <v>14</v>
      </c>
      <c r="D1678" t="s">
        <v>1767</v>
      </c>
      <c r="E1678" t="s">
        <v>377</v>
      </c>
    </row>
    <row r="1679" spans="1:5" x14ac:dyDescent="0.2">
      <c r="A1679" s="269">
        <v>45910.32708333333</v>
      </c>
      <c r="B1679" t="s">
        <v>1429</v>
      </c>
      <c r="C1679" t="s">
        <v>14</v>
      </c>
      <c r="D1679" t="s">
        <v>1767</v>
      </c>
      <c r="E1679" t="s">
        <v>402</v>
      </c>
    </row>
    <row r="1680" spans="1:5" x14ac:dyDescent="0.2">
      <c r="A1680" s="269">
        <v>45910.327164351853</v>
      </c>
      <c r="B1680" t="s">
        <v>1429</v>
      </c>
      <c r="C1680" t="s">
        <v>14</v>
      </c>
      <c r="D1680" t="s">
        <v>1797</v>
      </c>
      <c r="E1680" t="s">
        <v>402</v>
      </c>
    </row>
    <row r="1681" spans="1:5" x14ac:dyDescent="0.2">
      <c r="A1681" s="269">
        <v>45910.327928240738</v>
      </c>
      <c r="B1681" t="s">
        <v>1429</v>
      </c>
      <c r="C1681" t="s">
        <v>14</v>
      </c>
      <c r="D1681" t="s">
        <v>1798</v>
      </c>
      <c r="E1681" t="s">
        <v>1688</v>
      </c>
    </row>
    <row r="1682" spans="1:5" x14ac:dyDescent="0.2">
      <c r="A1682" s="269">
        <v>45910.328344907408</v>
      </c>
      <c r="B1682" t="s">
        <v>1429</v>
      </c>
      <c r="C1682" t="s">
        <v>14</v>
      </c>
      <c r="D1682" t="s">
        <v>1798</v>
      </c>
    </row>
    <row r="1683" spans="1:5" x14ac:dyDescent="0.2">
      <c r="A1683" s="269">
        <v>45910.335069444445</v>
      </c>
      <c r="B1683" t="s">
        <v>1429</v>
      </c>
      <c r="C1683" t="s">
        <v>14</v>
      </c>
      <c r="D1683" t="s">
        <v>1578</v>
      </c>
    </row>
    <row r="1684" spans="1:5" x14ac:dyDescent="0.2">
      <c r="A1684" s="269">
        <v>45910.335081018522</v>
      </c>
      <c r="B1684" t="s">
        <v>1429</v>
      </c>
      <c r="C1684" t="s">
        <v>14</v>
      </c>
      <c r="D1684" t="s">
        <v>1675</v>
      </c>
    </row>
    <row r="1685" spans="1:5" x14ac:dyDescent="0.2">
      <c r="A1685" s="269">
        <v>45910.335092592592</v>
      </c>
      <c r="B1685" t="s">
        <v>1429</v>
      </c>
      <c r="C1685" t="s">
        <v>14</v>
      </c>
      <c r="D1685" t="s">
        <v>1601</v>
      </c>
    </row>
    <row r="1686" spans="1:5" x14ac:dyDescent="0.2">
      <c r="A1686" s="269">
        <v>45910.335150462961</v>
      </c>
      <c r="B1686" t="s">
        <v>1429</v>
      </c>
      <c r="C1686" t="s">
        <v>14</v>
      </c>
      <c r="D1686" t="s">
        <v>1578</v>
      </c>
      <c r="E1686" t="s">
        <v>1661</v>
      </c>
    </row>
    <row r="1687" spans="1:5" x14ac:dyDescent="0.2">
      <c r="A1687" s="269">
        <v>45910.335173611114</v>
      </c>
      <c r="B1687" t="s">
        <v>1429</v>
      </c>
      <c r="C1687" t="s">
        <v>14</v>
      </c>
      <c r="D1687" t="s">
        <v>1579</v>
      </c>
    </row>
    <row r="1688" spans="1:5" x14ac:dyDescent="0.2">
      <c r="A1688" s="269">
        <v>45910.335219907407</v>
      </c>
      <c r="B1688" t="s">
        <v>1429</v>
      </c>
      <c r="C1688" t="s">
        <v>14</v>
      </c>
      <c r="D1688" t="s">
        <v>1601</v>
      </c>
      <c r="E1688">
        <v>2</v>
      </c>
    </row>
    <row r="1689" spans="1:5" x14ac:dyDescent="0.2">
      <c r="A1689" s="269">
        <v>45910.335300925923</v>
      </c>
      <c r="B1689" t="s">
        <v>1429</v>
      </c>
      <c r="C1689" t="s">
        <v>14</v>
      </c>
      <c r="D1689" t="s">
        <v>1675</v>
      </c>
      <c r="E1689" t="s">
        <v>370</v>
      </c>
    </row>
    <row r="1690" spans="1:5" x14ac:dyDescent="0.2">
      <c r="A1690" s="269">
        <v>45910.335324074076</v>
      </c>
      <c r="B1690" t="s">
        <v>1429</v>
      </c>
      <c r="C1690" t="s">
        <v>14</v>
      </c>
      <c r="D1690" t="s">
        <v>1677</v>
      </c>
    </row>
    <row r="1691" spans="1:5" x14ac:dyDescent="0.2">
      <c r="A1691" s="269">
        <v>45910.335335648146</v>
      </c>
      <c r="B1691" t="s">
        <v>1429</v>
      </c>
      <c r="C1691" t="s">
        <v>14</v>
      </c>
      <c r="D1691" t="s">
        <v>1602</v>
      </c>
    </row>
    <row r="1692" spans="1:5" x14ac:dyDescent="0.2">
      <c r="A1692" s="269">
        <v>45910.335405092592</v>
      </c>
      <c r="B1692" t="s">
        <v>1429</v>
      </c>
      <c r="C1692" t="s">
        <v>14</v>
      </c>
      <c r="D1692" t="s">
        <v>1579</v>
      </c>
      <c r="E1692" t="s">
        <v>1674</v>
      </c>
    </row>
    <row r="1693" spans="1:5" x14ac:dyDescent="0.2">
      <c r="A1693" s="269">
        <v>45910.335451388892</v>
      </c>
      <c r="B1693" t="s">
        <v>1429</v>
      </c>
      <c r="C1693" t="s">
        <v>14</v>
      </c>
      <c r="D1693" t="s">
        <v>1677</v>
      </c>
      <c r="E1693" t="s">
        <v>378</v>
      </c>
    </row>
    <row r="1694" spans="1:5" x14ac:dyDescent="0.2">
      <c r="A1694" s="269">
        <v>45910.335486111115</v>
      </c>
      <c r="B1694" t="s">
        <v>1429</v>
      </c>
      <c r="C1694" t="s">
        <v>14</v>
      </c>
      <c r="D1694" t="s">
        <v>1580</v>
      </c>
    </row>
    <row r="1695" spans="1:5" x14ac:dyDescent="0.2">
      <c r="A1695" s="269">
        <v>45910.335497685184</v>
      </c>
      <c r="B1695" t="s">
        <v>1429</v>
      </c>
      <c r="C1695" t="s">
        <v>14</v>
      </c>
      <c r="D1695" t="s">
        <v>1676</v>
      </c>
    </row>
    <row r="1696" spans="1:5" x14ac:dyDescent="0.2">
      <c r="A1696" s="269">
        <v>45910.335520833331</v>
      </c>
      <c r="B1696" t="s">
        <v>1429</v>
      </c>
      <c r="C1696" t="s">
        <v>14</v>
      </c>
      <c r="D1696" t="s">
        <v>1602</v>
      </c>
      <c r="E1696">
        <v>1</v>
      </c>
    </row>
    <row r="1697" spans="1:5" x14ac:dyDescent="0.2">
      <c r="A1697" s="269">
        <v>45910.335590277777</v>
      </c>
      <c r="B1697" t="s">
        <v>1429</v>
      </c>
      <c r="C1697" t="s">
        <v>14</v>
      </c>
      <c r="D1697" t="s">
        <v>1676</v>
      </c>
      <c r="E1697" t="s">
        <v>370</v>
      </c>
    </row>
    <row r="1698" spans="1:5" x14ac:dyDescent="0.2">
      <c r="A1698" s="269">
        <v>45910.335613425923</v>
      </c>
      <c r="B1698" t="s">
        <v>1429</v>
      </c>
      <c r="C1698" t="s">
        <v>14</v>
      </c>
      <c r="D1698" t="s">
        <v>1682</v>
      </c>
    </row>
    <row r="1699" spans="1:5" x14ac:dyDescent="0.2">
      <c r="A1699" s="269">
        <v>45910.335625</v>
      </c>
      <c r="B1699" t="s">
        <v>1429</v>
      </c>
      <c r="C1699" t="s">
        <v>14</v>
      </c>
      <c r="D1699" t="s">
        <v>1681</v>
      </c>
    </row>
    <row r="1700" spans="1:5" x14ac:dyDescent="0.2">
      <c r="A1700" s="269">
        <v>45910.3356712963</v>
      </c>
      <c r="B1700" t="s">
        <v>1429</v>
      </c>
      <c r="C1700" t="s">
        <v>14</v>
      </c>
      <c r="D1700" t="s">
        <v>1580</v>
      </c>
      <c r="E1700" t="s">
        <v>1678</v>
      </c>
    </row>
    <row r="1701" spans="1:5" x14ac:dyDescent="0.2">
      <c r="A1701" s="269">
        <v>45910.335706018515</v>
      </c>
      <c r="B1701" t="s">
        <v>1429</v>
      </c>
      <c r="C1701" t="s">
        <v>14</v>
      </c>
      <c r="D1701" t="s">
        <v>1680</v>
      </c>
    </row>
    <row r="1702" spans="1:5" x14ac:dyDescent="0.2">
      <c r="A1702" s="269">
        <v>45910.335763888892</v>
      </c>
      <c r="B1702" t="s">
        <v>1429</v>
      </c>
      <c r="C1702" t="s">
        <v>14</v>
      </c>
      <c r="D1702" t="s">
        <v>1799</v>
      </c>
    </row>
    <row r="1703" spans="1:5" x14ac:dyDescent="0.2">
      <c r="A1703" s="269">
        <v>45910.335787037038</v>
      </c>
      <c r="B1703" t="s">
        <v>1429</v>
      </c>
      <c r="C1703" t="s">
        <v>14</v>
      </c>
      <c r="D1703" t="s">
        <v>1800</v>
      </c>
    </row>
    <row r="1704" spans="1:5" x14ac:dyDescent="0.2">
      <c r="A1704" s="269">
        <v>45910.335856481484</v>
      </c>
      <c r="B1704" t="s">
        <v>1429</v>
      </c>
      <c r="C1704" t="s">
        <v>14</v>
      </c>
      <c r="D1704" t="s">
        <v>1801</v>
      </c>
    </row>
    <row r="1705" spans="1:5" x14ac:dyDescent="0.2">
      <c r="A1705" s="269">
        <v>45910.336076388892</v>
      </c>
      <c r="B1705" t="s">
        <v>1429</v>
      </c>
      <c r="C1705" t="s">
        <v>14</v>
      </c>
      <c r="D1705" t="s">
        <v>1726</v>
      </c>
      <c r="E1705" t="s">
        <v>1725</v>
      </c>
    </row>
    <row r="1706" spans="1:5" x14ac:dyDescent="0.2">
      <c r="A1706" s="269">
        <v>45910.336145833331</v>
      </c>
      <c r="B1706" t="s">
        <v>1429</v>
      </c>
      <c r="C1706" t="s">
        <v>14</v>
      </c>
      <c r="D1706" t="s">
        <v>1679</v>
      </c>
    </row>
    <row r="1707" spans="1:5" x14ac:dyDescent="0.2">
      <c r="A1707" s="269">
        <v>45910.336192129631</v>
      </c>
      <c r="B1707" t="s">
        <v>1429</v>
      </c>
      <c r="C1707" t="s">
        <v>14</v>
      </c>
      <c r="D1707" t="s">
        <v>1730</v>
      </c>
      <c r="E1707" t="s">
        <v>198</v>
      </c>
    </row>
    <row r="1708" spans="1:5" x14ac:dyDescent="0.2">
      <c r="A1708" s="269">
        <v>45910.336215277777</v>
      </c>
      <c r="B1708" t="s">
        <v>1429</v>
      </c>
      <c r="C1708" t="s">
        <v>14</v>
      </c>
      <c r="D1708" t="s">
        <v>1730</v>
      </c>
    </row>
    <row r="1709" spans="1:5" x14ac:dyDescent="0.2">
      <c r="A1709" s="269">
        <v>45910.336226851854</v>
      </c>
      <c r="B1709" t="s">
        <v>1429</v>
      </c>
      <c r="C1709" t="s">
        <v>14</v>
      </c>
      <c r="D1709" t="s">
        <v>1679</v>
      </c>
      <c r="E1709" t="s">
        <v>1678</v>
      </c>
    </row>
    <row r="1710" spans="1:5" x14ac:dyDescent="0.2">
      <c r="A1710" s="269">
        <v>45910.336226851854</v>
      </c>
      <c r="B1710" t="s">
        <v>1429</v>
      </c>
      <c r="C1710" t="s">
        <v>14</v>
      </c>
      <c r="D1710" t="s">
        <v>1726</v>
      </c>
    </row>
    <row r="1711" spans="1:5" x14ac:dyDescent="0.2">
      <c r="A1711" s="269">
        <v>45910.336273148147</v>
      </c>
      <c r="B1711" t="s">
        <v>1429</v>
      </c>
      <c r="C1711" t="s">
        <v>14</v>
      </c>
      <c r="D1711" t="s">
        <v>1679</v>
      </c>
    </row>
    <row r="1712" spans="1:5" x14ac:dyDescent="0.2">
      <c r="A1712" s="269">
        <v>45910.336469907408</v>
      </c>
      <c r="B1712" t="s">
        <v>1429</v>
      </c>
      <c r="C1712" t="s">
        <v>14</v>
      </c>
      <c r="D1712" t="s">
        <v>1802</v>
      </c>
      <c r="E1712" t="s">
        <v>1725</v>
      </c>
    </row>
    <row r="1713" spans="1:5" x14ac:dyDescent="0.2">
      <c r="A1713" s="269">
        <v>45910.336527777778</v>
      </c>
      <c r="B1713" t="s">
        <v>1429</v>
      </c>
      <c r="C1713" t="s">
        <v>14</v>
      </c>
      <c r="D1713" t="s">
        <v>1680</v>
      </c>
      <c r="E1713" t="s">
        <v>198</v>
      </c>
    </row>
    <row r="1714" spans="1:5" x14ac:dyDescent="0.2">
      <c r="A1714" s="269">
        <v>45910.336562500001</v>
      </c>
      <c r="B1714" t="s">
        <v>1429</v>
      </c>
      <c r="C1714" t="s">
        <v>14</v>
      </c>
      <c r="D1714" t="s">
        <v>1730</v>
      </c>
      <c r="E1714" t="s">
        <v>198</v>
      </c>
    </row>
    <row r="1715" spans="1:5" x14ac:dyDescent="0.2">
      <c r="A1715" s="269">
        <v>45910.336597222224</v>
      </c>
      <c r="B1715" t="s">
        <v>1429</v>
      </c>
      <c r="C1715" t="s">
        <v>14</v>
      </c>
      <c r="D1715" t="s">
        <v>1731</v>
      </c>
      <c r="E1715" t="s">
        <v>198</v>
      </c>
    </row>
    <row r="1716" spans="1:5" x14ac:dyDescent="0.2">
      <c r="A1716" s="269">
        <v>45910.33662037037</v>
      </c>
      <c r="B1716" t="s">
        <v>1429</v>
      </c>
      <c r="C1716" t="s">
        <v>14</v>
      </c>
      <c r="D1716" t="s">
        <v>1732</v>
      </c>
      <c r="E1716" t="s">
        <v>198</v>
      </c>
    </row>
    <row r="1717" spans="1:5" x14ac:dyDescent="0.2">
      <c r="A1717" s="269">
        <v>45910.336643518516</v>
      </c>
      <c r="B1717" t="s">
        <v>1429</v>
      </c>
      <c r="C1717" t="s">
        <v>14</v>
      </c>
      <c r="D1717" t="s">
        <v>1733</v>
      </c>
      <c r="E1717" t="s">
        <v>198</v>
      </c>
    </row>
    <row r="1718" spans="1:5" x14ac:dyDescent="0.2">
      <c r="A1718" s="269">
        <v>45910.33666666667</v>
      </c>
      <c r="B1718" t="s">
        <v>1429</v>
      </c>
      <c r="C1718" t="s">
        <v>14</v>
      </c>
      <c r="D1718" t="s">
        <v>1734</v>
      </c>
      <c r="E1718" t="s">
        <v>198</v>
      </c>
    </row>
    <row r="1719" spans="1:5" x14ac:dyDescent="0.2">
      <c r="A1719" s="269">
        <v>45910.336701388886</v>
      </c>
      <c r="B1719" t="s">
        <v>1429</v>
      </c>
      <c r="C1719" t="s">
        <v>14</v>
      </c>
      <c r="D1719" t="s">
        <v>1735</v>
      </c>
      <c r="E1719" t="s">
        <v>198</v>
      </c>
    </row>
    <row r="1720" spans="1:5" x14ac:dyDescent="0.2">
      <c r="A1720" s="269">
        <v>45910.336724537039</v>
      </c>
      <c r="B1720" t="s">
        <v>1429</v>
      </c>
      <c r="C1720" t="s">
        <v>14</v>
      </c>
      <c r="D1720" t="s">
        <v>1736</v>
      </c>
      <c r="E1720" t="s">
        <v>198</v>
      </c>
    </row>
    <row r="1721" spans="1:5" x14ac:dyDescent="0.2">
      <c r="A1721" s="269">
        <v>45910.336736111109</v>
      </c>
      <c r="B1721" t="s">
        <v>1429</v>
      </c>
      <c r="C1721" t="s">
        <v>14</v>
      </c>
      <c r="D1721" t="s">
        <v>1737</v>
      </c>
      <c r="E1721" t="s">
        <v>198</v>
      </c>
    </row>
    <row r="1722" spans="1:5" x14ac:dyDescent="0.2">
      <c r="A1722" s="269">
        <v>45910.336759259262</v>
      </c>
      <c r="B1722" t="s">
        <v>1429</v>
      </c>
      <c r="C1722" t="s">
        <v>14</v>
      </c>
      <c r="D1722" t="s">
        <v>637</v>
      </c>
      <c r="E1722" t="s">
        <v>198</v>
      </c>
    </row>
    <row r="1723" spans="1:5" x14ac:dyDescent="0.2">
      <c r="A1723" s="269">
        <v>45910.336782407408</v>
      </c>
      <c r="B1723" t="s">
        <v>1429</v>
      </c>
      <c r="C1723" t="s">
        <v>14</v>
      </c>
      <c r="D1723" t="s">
        <v>1738</v>
      </c>
      <c r="E1723" t="s">
        <v>198</v>
      </c>
    </row>
    <row r="1724" spans="1:5" x14ac:dyDescent="0.2">
      <c r="A1724" s="269">
        <v>45910.336793981478</v>
      </c>
      <c r="B1724" t="s">
        <v>1429</v>
      </c>
      <c r="C1724" t="s">
        <v>14</v>
      </c>
      <c r="D1724" t="s">
        <v>1738</v>
      </c>
      <c r="E1724" t="s">
        <v>192</v>
      </c>
    </row>
    <row r="1725" spans="1:5" x14ac:dyDescent="0.2">
      <c r="A1725" s="269">
        <v>45910.336828703701</v>
      </c>
      <c r="B1725" t="s">
        <v>1429</v>
      </c>
      <c r="C1725" t="s">
        <v>14</v>
      </c>
      <c r="D1725" t="s">
        <v>1738</v>
      </c>
      <c r="E1725" t="s">
        <v>198</v>
      </c>
    </row>
    <row r="1726" spans="1:5" x14ac:dyDescent="0.2">
      <c r="A1726" s="269">
        <v>45910.336863425924</v>
      </c>
      <c r="B1726" t="s">
        <v>1429</v>
      </c>
      <c r="C1726" t="s">
        <v>14</v>
      </c>
      <c r="D1726" t="s">
        <v>1739</v>
      </c>
      <c r="E1726" t="s">
        <v>198</v>
      </c>
    </row>
    <row r="1727" spans="1:5" x14ac:dyDescent="0.2">
      <c r="A1727" s="269">
        <v>45910.336886574078</v>
      </c>
      <c r="B1727" t="s">
        <v>1429</v>
      </c>
      <c r="C1727" t="s">
        <v>14</v>
      </c>
      <c r="D1727" t="s">
        <v>1740</v>
      </c>
      <c r="E1727" t="s">
        <v>198</v>
      </c>
    </row>
    <row r="1728" spans="1:5" x14ac:dyDescent="0.2">
      <c r="A1728" s="269">
        <v>45910.336921296293</v>
      </c>
      <c r="B1728" t="s">
        <v>1429</v>
      </c>
      <c r="C1728" t="s">
        <v>14</v>
      </c>
      <c r="D1728" t="s">
        <v>1741</v>
      </c>
      <c r="E1728" t="s">
        <v>198</v>
      </c>
    </row>
    <row r="1729" spans="1:5" x14ac:dyDescent="0.2">
      <c r="A1729" s="269">
        <v>45910.336944444447</v>
      </c>
      <c r="B1729" t="s">
        <v>1429</v>
      </c>
      <c r="C1729" t="s">
        <v>14</v>
      </c>
      <c r="D1729" t="s">
        <v>1742</v>
      </c>
      <c r="E1729" t="s">
        <v>198</v>
      </c>
    </row>
    <row r="1730" spans="1:5" x14ac:dyDescent="0.2">
      <c r="A1730" s="269">
        <v>45910.336967592593</v>
      </c>
      <c r="B1730" t="s">
        <v>1429</v>
      </c>
      <c r="C1730" t="s">
        <v>14</v>
      </c>
      <c r="D1730" t="s">
        <v>1743</v>
      </c>
      <c r="E1730" t="s">
        <v>198</v>
      </c>
    </row>
    <row r="1731" spans="1:5" x14ac:dyDescent="0.2">
      <c r="A1731" s="269">
        <v>45910.33699074074</v>
      </c>
      <c r="B1731" t="s">
        <v>1429</v>
      </c>
      <c r="C1731" t="s">
        <v>14</v>
      </c>
      <c r="D1731" t="s">
        <v>1744</v>
      </c>
      <c r="E1731" t="s">
        <v>198</v>
      </c>
    </row>
    <row r="1732" spans="1:5" x14ac:dyDescent="0.2">
      <c r="A1732" s="269">
        <v>45910.337013888886</v>
      </c>
      <c r="B1732" t="s">
        <v>1429</v>
      </c>
      <c r="C1732" t="s">
        <v>14</v>
      </c>
      <c r="D1732" t="s">
        <v>1745</v>
      </c>
      <c r="E1732" t="s">
        <v>198</v>
      </c>
    </row>
    <row r="1733" spans="1:5" x14ac:dyDescent="0.2">
      <c r="A1733" s="269">
        <v>45910.337048611109</v>
      </c>
      <c r="B1733" t="s">
        <v>1429</v>
      </c>
      <c r="C1733" t="s">
        <v>14</v>
      </c>
      <c r="D1733" t="s">
        <v>1746</v>
      </c>
      <c r="E1733" t="s">
        <v>198</v>
      </c>
    </row>
    <row r="1734" spans="1:5" x14ac:dyDescent="0.2">
      <c r="A1734" s="269">
        <v>45910.337141203701</v>
      </c>
      <c r="B1734" t="s">
        <v>1429</v>
      </c>
      <c r="C1734" t="s">
        <v>14</v>
      </c>
      <c r="D1734" t="s">
        <v>1681</v>
      </c>
      <c r="E1734">
        <v>2</v>
      </c>
    </row>
    <row r="1735" spans="1:5" x14ac:dyDescent="0.2">
      <c r="A1735" s="269">
        <v>45910.337164351855</v>
      </c>
      <c r="B1735" t="s">
        <v>1429</v>
      </c>
      <c r="C1735" t="s">
        <v>14</v>
      </c>
      <c r="D1735" t="s">
        <v>1803</v>
      </c>
      <c r="E1735">
        <v>2</v>
      </c>
    </row>
    <row r="1736" spans="1:5" x14ac:dyDescent="0.2">
      <c r="A1736" s="269">
        <v>45910.337175925924</v>
      </c>
      <c r="B1736" t="s">
        <v>1429</v>
      </c>
      <c r="C1736" t="s">
        <v>14</v>
      </c>
      <c r="D1736" t="s">
        <v>1804</v>
      </c>
      <c r="E1736">
        <v>2</v>
      </c>
    </row>
    <row r="1737" spans="1:5" x14ac:dyDescent="0.2">
      <c r="A1737" s="269">
        <v>45910.337233796294</v>
      </c>
      <c r="B1737" t="s">
        <v>1429</v>
      </c>
      <c r="C1737" t="s">
        <v>14</v>
      </c>
      <c r="D1737" t="s">
        <v>1805</v>
      </c>
      <c r="E1737">
        <v>1</v>
      </c>
    </row>
    <row r="1738" spans="1:5" x14ac:dyDescent="0.2">
      <c r="A1738" s="269">
        <v>45910.337280092594</v>
      </c>
      <c r="B1738" t="s">
        <v>1429</v>
      </c>
      <c r="C1738" t="s">
        <v>14</v>
      </c>
      <c r="D1738" t="s">
        <v>1806</v>
      </c>
      <c r="E1738">
        <v>1</v>
      </c>
    </row>
    <row r="1739" spans="1:5" x14ac:dyDescent="0.2">
      <c r="A1739" s="269">
        <v>45910.337291666663</v>
      </c>
      <c r="B1739" t="s">
        <v>1429</v>
      </c>
      <c r="C1739" t="s">
        <v>14</v>
      </c>
      <c r="D1739" t="s">
        <v>1807</v>
      </c>
      <c r="E1739">
        <v>1</v>
      </c>
    </row>
    <row r="1740" spans="1:5" x14ac:dyDescent="0.2">
      <c r="A1740" s="269">
        <v>45910.33730324074</v>
      </c>
      <c r="B1740" t="s">
        <v>1429</v>
      </c>
      <c r="C1740" t="s">
        <v>14</v>
      </c>
      <c r="D1740" t="s">
        <v>1808</v>
      </c>
      <c r="E1740">
        <v>1</v>
      </c>
    </row>
    <row r="1741" spans="1:5" x14ac:dyDescent="0.2">
      <c r="A1741" s="269">
        <v>45910.337326388886</v>
      </c>
      <c r="B1741" t="s">
        <v>1429</v>
      </c>
      <c r="C1741" t="s">
        <v>14</v>
      </c>
      <c r="D1741" t="s">
        <v>1809</v>
      </c>
      <c r="E1741">
        <v>1</v>
      </c>
    </row>
    <row r="1742" spans="1:5" x14ac:dyDescent="0.2">
      <c r="A1742" s="269">
        <v>45910.337361111109</v>
      </c>
      <c r="B1742" t="s">
        <v>1429</v>
      </c>
      <c r="C1742" t="s">
        <v>14</v>
      </c>
      <c r="D1742" t="s">
        <v>1810</v>
      </c>
      <c r="E1742">
        <v>2</v>
      </c>
    </row>
    <row r="1743" spans="1:5" x14ac:dyDescent="0.2">
      <c r="A1743" s="269">
        <v>45910.337384259263</v>
      </c>
      <c r="B1743" t="s">
        <v>1429</v>
      </c>
      <c r="C1743" t="s">
        <v>14</v>
      </c>
      <c r="D1743" t="s">
        <v>1811</v>
      </c>
      <c r="E1743">
        <v>2</v>
      </c>
    </row>
    <row r="1744" spans="1:5" x14ac:dyDescent="0.2">
      <c r="A1744" s="269">
        <v>45910.337395833332</v>
      </c>
      <c r="B1744" t="s">
        <v>1429</v>
      </c>
      <c r="C1744" t="s">
        <v>14</v>
      </c>
      <c r="D1744" t="s">
        <v>1812</v>
      </c>
      <c r="E1744">
        <v>1</v>
      </c>
    </row>
    <row r="1745" spans="1:5" x14ac:dyDescent="0.2">
      <c r="A1745" s="269">
        <v>45910.337442129632</v>
      </c>
      <c r="B1745" t="s">
        <v>1429</v>
      </c>
      <c r="C1745" t="s">
        <v>14</v>
      </c>
      <c r="D1745" t="s">
        <v>1813</v>
      </c>
      <c r="E1745">
        <v>2</v>
      </c>
    </row>
    <row r="1746" spans="1:5" x14ac:dyDescent="0.2">
      <c r="A1746" s="269">
        <v>45910.337465277778</v>
      </c>
      <c r="B1746" t="s">
        <v>1429</v>
      </c>
      <c r="C1746" t="s">
        <v>14</v>
      </c>
      <c r="D1746" t="s">
        <v>1814</v>
      </c>
      <c r="E1746">
        <v>1</v>
      </c>
    </row>
    <row r="1747" spans="1:5" x14ac:dyDescent="0.2">
      <c r="A1747" s="269">
        <v>45910.337488425925</v>
      </c>
      <c r="B1747" t="s">
        <v>1429</v>
      </c>
      <c r="C1747" t="s">
        <v>14</v>
      </c>
      <c r="D1747" t="s">
        <v>1815</v>
      </c>
      <c r="E1747">
        <v>1</v>
      </c>
    </row>
    <row r="1748" spans="1:5" x14ac:dyDescent="0.2">
      <c r="A1748" s="269">
        <v>45910.337511574071</v>
      </c>
      <c r="B1748" t="s">
        <v>1429</v>
      </c>
      <c r="C1748" t="s">
        <v>14</v>
      </c>
      <c r="D1748" t="s">
        <v>1816</v>
      </c>
      <c r="E1748">
        <v>1</v>
      </c>
    </row>
    <row r="1749" spans="1:5" x14ac:dyDescent="0.2">
      <c r="A1749" s="269">
        <v>45910.337534722225</v>
      </c>
      <c r="B1749" t="s">
        <v>1429</v>
      </c>
      <c r="C1749" t="s">
        <v>14</v>
      </c>
      <c r="D1749" t="s">
        <v>1817</v>
      </c>
      <c r="E1749">
        <v>2</v>
      </c>
    </row>
    <row r="1750" spans="1:5" x14ac:dyDescent="0.2">
      <c r="A1750" s="269">
        <v>45910.337557870371</v>
      </c>
      <c r="B1750" t="s">
        <v>1429</v>
      </c>
      <c r="C1750" t="s">
        <v>14</v>
      </c>
      <c r="D1750" t="s">
        <v>1818</v>
      </c>
      <c r="E1750">
        <v>2</v>
      </c>
    </row>
    <row r="1751" spans="1:5" x14ac:dyDescent="0.2">
      <c r="A1751" s="269">
        <v>45910.337592592594</v>
      </c>
      <c r="B1751" t="s">
        <v>1429</v>
      </c>
      <c r="C1751" t="s">
        <v>14</v>
      </c>
      <c r="D1751" t="s">
        <v>1819</v>
      </c>
      <c r="E1751">
        <v>1</v>
      </c>
    </row>
    <row r="1752" spans="1:5" x14ac:dyDescent="0.2">
      <c r="A1752" s="269">
        <v>45910.337627314817</v>
      </c>
      <c r="B1752" t="s">
        <v>1429</v>
      </c>
      <c r="C1752" t="s">
        <v>14</v>
      </c>
      <c r="D1752" t="s">
        <v>1820</v>
      </c>
      <c r="E1752">
        <v>1</v>
      </c>
    </row>
    <row r="1753" spans="1:5" x14ac:dyDescent="0.2">
      <c r="A1753" s="269">
        <v>45910.337685185186</v>
      </c>
      <c r="B1753" t="s">
        <v>1429</v>
      </c>
      <c r="C1753" t="s">
        <v>14</v>
      </c>
      <c r="D1753" t="s">
        <v>1682</v>
      </c>
      <c r="E1753" t="s">
        <v>378</v>
      </c>
    </row>
    <row r="1754" spans="1:5" x14ac:dyDescent="0.2">
      <c r="A1754" s="269">
        <v>45910.337719907409</v>
      </c>
      <c r="B1754" t="s">
        <v>1429</v>
      </c>
      <c r="C1754" t="s">
        <v>14</v>
      </c>
      <c r="D1754" t="s">
        <v>1821</v>
      </c>
      <c r="E1754" t="s">
        <v>378</v>
      </c>
    </row>
    <row r="1755" spans="1:5" x14ac:dyDescent="0.2">
      <c r="A1755" s="269">
        <v>45910.337743055556</v>
      </c>
      <c r="B1755" t="s">
        <v>1429</v>
      </c>
      <c r="C1755" t="s">
        <v>14</v>
      </c>
      <c r="D1755" t="s">
        <v>1822</v>
      </c>
      <c r="E1755" t="s">
        <v>378</v>
      </c>
    </row>
    <row r="1756" spans="1:5" x14ac:dyDescent="0.2">
      <c r="A1756" s="269">
        <v>45910.337766203702</v>
      </c>
      <c r="B1756" t="s">
        <v>1429</v>
      </c>
      <c r="C1756" t="s">
        <v>14</v>
      </c>
      <c r="D1756" t="s">
        <v>1823</v>
      </c>
      <c r="E1756" t="s">
        <v>378</v>
      </c>
    </row>
    <row r="1757" spans="1:5" x14ac:dyDescent="0.2">
      <c r="A1757" s="269">
        <v>45910.337800925925</v>
      </c>
      <c r="B1757" t="s">
        <v>1429</v>
      </c>
      <c r="C1757" t="s">
        <v>14</v>
      </c>
      <c r="D1757" t="s">
        <v>1824</v>
      </c>
      <c r="E1757" t="s">
        <v>378</v>
      </c>
    </row>
    <row r="1758" spans="1:5" x14ac:dyDescent="0.2">
      <c r="A1758" s="269">
        <v>45910.337824074071</v>
      </c>
      <c r="B1758" t="s">
        <v>1429</v>
      </c>
      <c r="C1758" t="s">
        <v>14</v>
      </c>
      <c r="D1758" t="s">
        <v>1825</v>
      </c>
      <c r="E1758" t="s">
        <v>378</v>
      </c>
    </row>
    <row r="1759" spans="1:5" x14ac:dyDescent="0.2">
      <c r="A1759" s="269">
        <v>45910.337847222225</v>
      </c>
      <c r="B1759" t="s">
        <v>1429</v>
      </c>
      <c r="C1759" t="s">
        <v>14</v>
      </c>
      <c r="D1759" t="s">
        <v>1826</v>
      </c>
      <c r="E1759" t="s">
        <v>378</v>
      </c>
    </row>
    <row r="1760" spans="1:5" x14ac:dyDescent="0.2">
      <c r="A1760" s="269">
        <v>45910.337881944448</v>
      </c>
      <c r="B1760" t="s">
        <v>1429</v>
      </c>
      <c r="C1760" t="s">
        <v>14</v>
      </c>
      <c r="D1760" t="s">
        <v>1827</v>
      </c>
      <c r="E1760" t="s">
        <v>378</v>
      </c>
    </row>
    <row r="1761" spans="1:5" x14ac:dyDescent="0.2">
      <c r="A1761" s="269">
        <v>45910.337916666664</v>
      </c>
      <c r="B1761" t="s">
        <v>1429</v>
      </c>
      <c r="C1761" t="s">
        <v>14</v>
      </c>
      <c r="D1761" t="s">
        <v>1828</v>
      </c>
      <c r="E1761" t="s">
        <v>378</v>
      </c>
    </row>
    <row r="1762" spans="1:5" x14ac:dyDescent="0.2">
      <c r="A1762" s="269">
        <v>45910.337939814817</v>
      </c>
      <c r="B1762" t="s">
        <v>1429</v>
      </c>
      <c r="C1762" t="s">
        <v>14</v>
      </c>
      <c r="D1762" t="s">
        <v>1829</v>
      </c>
      <c r="E1762" t="s">
        <v>378</v>
      </c>
    </row>
    <row r="1763" spans="1:5" x14ac:dyDescent="0.2">
      <c r="A1763" s="269">
        <v>45910.337962962964</v>
      </c>
      <c r="B1763" t="s">
        <v>1429</v>
      </c>
      <c r="C1763" t="s">
        <v>14</v>
      </c>
      <c r="D1763" t="s">
        <v>1830</v>
      </c>
      <c r="E1763" t="s">
        <v>378</v>
      </c>
    </row>
    <row r="1764" spans="1:5" x14ac:dyDescent="0.2">
      <c r="A1764" s="269">
        <v>45910.337997685187</v>
      </c>
      <c r="B1764" t="s">
        <v>1429</v>
      </c>
      <c r="C1764" t="s">
        <v>14</v>
      </c>
      <c r="D1764" t="s">
        <v>1831</v>
      </c>
      <c r="E1764" t="s">
        <v>378</v>
      </c>
    </row>
    <row r="1765" spans="1:5" x14ac:dyDescent="0.2">
      <c r="A1765" s="269">
        <v>45910.338020833333</v>
      </c>
      <c r="B1765" t="s">
        <v>1429</v>
      </c>
      <c r="C1765" t="s">
        <v>14</v>
      </c>
      <c r="D1765" t="s">
        <v>1832</v>
      </c>
      <c r="E1765" t="s">
        <v>378</v>
      </c>
    </row>
    <row r="1766" spans="1:5" x14ac:dyDescent="0.2">
      <c r="A1766" s="269">
        <v>45910.338043981479</v>
      </c>
      <c r="B1766" t="s">
        <v>1429</v>
      </c>
      <c r="C1766" t="s">
        <v>14</v>
      </c>
      <c r="D1766" t="s">
        <v>1833</v>
      </c>
      <c r="E1766" t="s">
        <v>378</v>
      </c>
    </row>
    <row r="1767" spans="1:5" x14ac:dyDescent="0.2">
      <c r="A1767" s="269">
        <v>45910.338067129633</v>
      </c>
      <c r="B1767" t="s">
        <v>1429</v>
      </c>
      <c r="C1767" t="s">
        <v>14</v>
      </c>
      <c r="D1767" t="s">
        <v>1834</v>
      </c>
      <c r="E1767" t="s">
        <v>378</v>
      </c>
    </row>
    <row r="1768" spans="1:5" x14ac:dyDescent="0.2">
      <c r="A1768" s="269">
        <v>45910.338090277779</v>
      </c>
      <c r="B1768" t="s">
        <v>1429</v>
      </c>
      <c r="C1768" t="s">
        <v>14</v>
      </c>
      <c r="D1768" t="s">
        <v>1835</v>
      </c>
      <c r="E1768" t="s">
        <v>378</v>
      </c>
    </row>
    <row r="1769" spans="1:5" x14ac:dyDescent="0.2">
      <c r="A1769" s="269">
        <v>45910.338113425925</v>
      </c>
      <c r="B1769" t="s">
        <v>1429</v>
      </c>
      <c r="C1769" t="s">
        <v>14</v>
      </c>
      <c r="D1769" t="s">
        <v>1836</v>
      </c>
      <c r="E1769" t="s">
        <v>378</v>
      </c>
    </row>
    <row r="1770" spans="1:5" x14ac:dyDescent="0.2">
      <c r="A1770" s="269">
        <v>45910.338136574072</v>
      </c>
      <c r="B1770" t="s">
        <v>1429</v>
      </c>
      <c r="C1770" t="s">
        <v>14</v>
      </c>
      <c r="D1770" t="s">
        <v>1837</v>
      </c>
      <c r="E1770" t="s">
        <v>378</v>
      </c>
    </row>
    <row r="1771" spans="1:5" x14ac:dyDescent="0.2">
      <c r="A1771" s="269">
        <v>45910.338159722225</v>
      </c>
      <c r="B1771" t="s">
        <v>1429</v>
      </c>
      <c r="C1771" t="s">
        <v>14</v>
      </c>
      <c r="D1771" t="s">
        <v>1838</v>
      </c>
      <c r="E1771" t="s">
        <v>378</v>
      </c>
    </row>
    <row r="1772" spans="1:5" x14ac:dyDescent="0.2">
      <c r="A1772" s="269">
        <v>45910.338287037041</v>
      </c>
      <c r="B1772" t="s">
        <v>1429</v>
      </c>
      <c r="C1772" t="s">
        <v>14</v>
      </c>
      <c r="D1772" t="s">
        <v>1839</v>
      </c>
    </row>
    <row r="1773" spans="1:5" x14ac:dyDescent="0.2">
      <c r="A1773" s="269">
        <v>45910.338287037041</v>
      </c>
      <c r="B1773" t="s">
        <v>1429</v>
      </c>
      <c r="C1773" t="s">
        <v>14</v>
      </c>
      <c r="D1773" t="s">
        <v>1840</v>
      </c>
    </row>
    <row r="1774" spans="1:5" x14ac:dyDescent="0.2">
      <c r="A1774" s="269">
        <v>45910.33829861111</v>
      </c>
      <c r="B1774" t="s">
        <v>1429</v>
      </c>
      <c r="C1774" t="s">
        <v>14</v>
      </c>
      <c r="D1774" t="s">
        <v>1840</v>
      </c>
      <c r="E1774" t="s">
        <v>186</v>
      </c>
    </row>
    <row r="1775" spans="1:5" x14ac:dyDescent="0.2">
      <c r="A1775" s="269">
        <v>45910.33829861111</v>
      </c>
      <c r="B1775" t="s">
        <v>1429</v>
      </c>
      <c r="C1775" t="s">
        <v>14</v>
      </c>
      <c r="D1775" t="s">
        <v>1840</v>
      </c>
    </row>
    <row r="1776" spans="1:5" x14ac:dyDescent="0.2">
      <c r="A1776" s="269">
        <v>45910.338321759256</v>
      </c>
      <c r="B1776" t="s">
        <v>1429</v>
      </c>
      <c r="C1776" t="s">
        <v>14</v>
      </c>
      <c r="D1776" t="s">
        <v>1796</v>
      </c>
    </row>
    <row r="1777" spans="1:5" x14ac:dyDescent="0.2">
      <c r="A1777" s="269">
        <v>45910.33834490741</v>
      </c>
      <c r="B1777" t="s">
        <v>1429</v>
      </c>
      <c r="C1777" t="s">
        <v>14</v>
      </c>
      <c r="D1777" t="s">
        <v>1766</v>
      </c>
    </row>
    <row r="1778" spans="1:5" x14ac:dyDescent="0.2">
      <c r="A1778" s="269">
        <v>45910.33834490741</v>
      </c>
      <c r="B1778" t="s">
        <v>1429</v>
      </c>
      <c r="C1778" t="s">
        <v>14</v>
      </c>
      <c r="D1778" t="s">
        <v>1767</v>
      </c>
    </row>
    <row r="1779" spans="1:5" x14ac:dyDescent="0.2">
      <c r="A1779" s="269">
        <v>45910.338356481479</v>
      </c>
      <c r="B1779" t="s">
        <v>1429</v>
      </c>
      <c r="C1779" t="s">
        <v>14</v>
      </c>
      <c r="D1779" t="s">
        <v>1767</v>
      </c>
      <c r="E1779" t="s">
        <v>336</v>
      </c>
    </row>
    <row r="1780" spans="1:5" x14ac:dyDescent="0.2">
      <c r="A1780" s="269">
        <v>45910.338368055556</v>
      </c>
      <c r="B1780" t="s">
        <v>1429</v>
      </c>
      <c r="C1780" t="s">
        <v>14</v>
      </c>
      <c r="D1780" t="s">
        <v>1797</v>
      </c>
    </row>
    <row r="1781" spans="1:5" x14ac:dyDescent="0.2">
      <c r="A1781" s="269">
        <v>45910.338379629633</v>
      </c>
      <c r="B1781" t="s">
        <v>1429</v>
      </c>
      <c r="C1781" t="s">
        <v>14</v>
      </c>
      <c r="D1781" t="s">
        <v>1767</v>
      </c>
    </row>
    <row r="1782" spans="1:5" x14ac:dyDescent="0.2">
      <c r="A1782" s="269">
        <v>45910.338425925926</v>
      </c>
      <c r="B1782" t="s">
        <v>1429</v>
      </c>
      <c r="C1782" t="s">
        <v>14</v>
      </c>
      <c r="D1782" t="s">
        <v>1839</v>
      </c>
      <c r="E1782" t="s">
        <v>350</v>
      </c>
    </row>
    <row r="1783" spans="1:5" x14ac:dyDescent="0.2">
      <c r="A1783" s="269">
        <v>45910.338483796295</v>
      </c>
      <c r="B1783" t="s">
        <v>1429</v>
      </c>
      <c r="C1783" t="s">
        <v>14</v>
      </c>
      <c r="D1783" t="s">
        <v>1766</v>
      </c>
      <c r="E1783" t="s">
        <v>402</v>
      </c>
    </row>
    <row r="1784" spans="1:5" x14ac:dyDescent="0.2">
      <c r="A1784" s="269">
        <v>45910.338599537034</v>
      </c>
      <c r="B1784" t="s">
        <v>1429</v>
      </c>
      <c r="C1784" t="s">
        <v>14</v>
      </c>
      <c r="D1784" t="s">
        <v>1841</v>
      </c>
      <c r="E1784" t="s">
        <v>1674</v>
      </c>
    </row>
    <row r="1785" spans="1:5" x14ac:dyDescent="0.2">
      <c r="A1785" s="269">
        <v>45910.338645833333</v>
      </c>
      <c r="B1785" t="s">
        <v>1429</v>
      </c>
      <c r="C1785" t="s">
        <v>14</v>
      </c>
      <c r="D1785" t="s">
        <v>1747</v>
      </c>
      <c r="E1785" t="s">
        <v>198</v>
      </c>
    </row>
    <row r="1786" spans="1:5" x14ac:dyDescent="0.2">
      <c r="A1786" s="269">
        <v>45910.33865740741</v>
      </c>
      <c r="B1786" t="s">
        <v>1429</v>
      </c>
      <c r="C1786" t="s">
        <v>14</v>
      </c>
      <c r="D1786" t="s">
        <v>1842</v>
      </c>
      <c r="E1786">
        <v>1</v>
      </c>
    </row>
    <row r="1787" spans="1:5" x14ac:dyDescent="0.2">
      <c r="A1787" s="269">
        <v>45910.338692129626</v>
      </c>
      <c r="B1787" t="s">
        <v>1429</v>
      </c>
      <c r="C1787" t="s">
        <v>14</v>
      </c>
      <c r="D1787" t="s">
        <v>1843</v>
      </c>
      <c r="E1787" t="s">
        <v>378</v>
      </c>
    </row>
    <row r="1788" spans="1:5" x14ac:dyDescent="0.2">
      <c r="A1788" s="269">
        <v>45910.338726851849</v>
      </c>
      <c r="B1788" t="s">
        <v>1429</v>
      </c>
      <c r="C1788" t="s">
        <v>14</v>
      </c>
      <c r="D1788" t="s">
        <v>1840</v>
      </c>
      <c r="E1788" t="s">
        <v>350</v>
      </c>
    </row>
    <row r="1789" spans="1:5" x14ac:dyDescent="0.2">
      <c r="A1789" s="269">
        <v>45910.338784722226</v>
      </c>
      <c r="B1789" t="s">
        <v>1429</v>
      </c>
      <c r="C1789" t="s">
        <v>14</v>
      </c>
      <c r="D1789" t="s">
        <v>1767</v>
      </c>
      <c r="E1789" t="s">
        <v>402</v>
      </c>
    </row>
    <row r="1790" spans="1:5" x14ac:dyDescent="0.2">
      <c r="A1790" s="269">
        <v>45910.339166666665</v>
      </c>
      <c r="B1790" t="s">
        <v>1429</v>
      </c>
      <c r="C1790" t="s">
        <v>14</v>
      </c>
      <c r="D1790" t="s">
        <v>1844</v>
      </c>
      <c r="E1790" t="s">
        <v>1688</v>
      </c>
    </row>
    <row r="1791" spans="1:5" x14ac:dyDescent="0.2">
      <c r="A1791" s="269">
        <v>45910.339490740742</v>
      </c>
      <c r="B1791" t="s">
        <v>1429</v>
      </c>
      <c r="C1791" t="s">
        <v>14</v>
      </c>
      <c r="D1791" t="s">
        <v>1845</v>
      </c>
      <c r="E1791" t="s">
        <v>1691</v>
      </c>
    </row>
    <row r="1792" spans="1:5" x14ac:dyDescent="0.2">
      <c r="A1792" s="269">
        <v>45910.339560185188</v>
      </c>
      <c r="B1792" t="s">
        <v>1429</v>
      </c>
      <c r="C1792" t="s">
        <v>14</v>
      </c>
      <c r="D1792" t="s">
        <v>1708</v>
      </c>
    </row>
    <row r="1793" spans="1:5" x14ac:dyDescent="0.2">
      <c r="A1793" s="269">
        <v>45910.33966435185</v>
      </c>
      <c r="B1793" t="s">
        <v>1429</v>
      </c>
      <c r="C1793" t="s">
        <v>14</v>
      </c>
      <c r="D1793" t="s">
        <v>1708</v>
      </c>
      <c r="E1793" t="s">
        <v>1714</v>
      </c>
    </row>
    <row r="1794" spans="1:5" x14ac:dyDescent="0.2">
      <c r="A1794" s="269">
        <v>45910.339675925927</v>
      </c>
      <c r="B1794" t="s">
        <v>1429</v>
      </c>
      <c r="C1794" t="s">
        <v>14</v>
      </c>
      <c r="D1794" t="s">
        <v>1709</v>
      </c>
    </row>
    <row r="1795" spans="1:5" x14ac:dyDescent="0.2">
      <c r="A1795" s="269">
        <v>45910.339722222219</v>
      </c>
      <c r="B1795" t="s">
        <v>1429</v>
      </c>
      <c r="C1795" t="s">
        <v>14</v>
      </c>
      <c r="D1795" t="s">
        <v>1709</v>
      </c>
      <c r="E1795" t="s">
        <v>1712</v>
      </c>
    </row>
    <row r="1796" spans="1:5" x14ac:dyDescent="0.2">
      <c r="A1796" s="269">
        <v>45910.339756944442</v>
      </c>
      <c r="B1796" t="s">
        <v>1429</v>
      </c>
      <c r="C1796" t="s">
        <v>14</v>
      </c>
      <c r="D1796" t="s">
        <v>1713</v>
      </c>
      <c r="E1796" t="s">
        <v>1710</v>
      </c>
    </row>
    <row r="1797" spans="1:5" x14ac:dyDescent="0.2">
      <c r="A1797" s="269">
        <v>45910.339768518519</v>
      </c>
      <c r="B1797" t="s">
        <v>1429</v>
      </c>
      <c r="C1797" t="s">
        <v>14</v>
      </c>
      <c r="D1797" t="s">
        <v>1711</v>
      </c>
    </row>
    <row r="1798" spans="1:5" x14ac:dyDescent="0.2">
      <c r="A1798" s="269">
        <v>45910.340254629627</v>
      </c>
      <c r="B1798" t="s">
        <v>1429</v>
      </c>
      <c r="C1798" t="s">
        <v>14</v>
      </c>
      <c r="D1798" t="s">
        <v>1723</v>
      </c>
      <c r="E1798" t="s">
        <v>360</v>
      </c>
    </row>
    <row r="1799" spans="1:5" x14ac:dyDescent="0.2">
      <c r="A1799" s="269">
        <v>45910.34065972222</v>
      </c>
      <c r="B1799" t="s">
        <v>1429</v>
      </c>
      <c r="C1799" t="s">
        <v>14</v>
      </c>
      <c r="D1799" t="s">
        <v>1846</v>
      </c>
      <c r="E1799" t="s">
        <v>402</v>
      </c>
    </row>
    <row r="1800" spans="1:5" x14ac:dyDescent="0.2">
      <c r="A1800" s="269">
        <v>45910.340868055559</v>
      </c>
      <c r="B1800" t="s">
        <v>1429</v>
      </c>
      <c r="C1800" t="s">
        <v>14</v>
      </c>
      <c r="D1800" t="s">
        <v>1847</v>
      </c>
    </row>
    <row r="1801" spans="1:5" x14ac:dyDescent="0.2">
      <c r="A1801" s="269">
        <v>45910.341064814813</v>
      </c>
      <c r="B1801" t="s">
        <v>1429</v>
      </c>
      <c r="C1801" t="s">
        <v>14</v>
      </c>
      <c r="D1801" t="s">
        <v>1848</v>
      </c>
      <c r="E1801" t="s">
        <v>1688</v>
      </c>
    </row>
    <row r="1802" spans="1:5" x14ac:dyDescent="0.2">
      <c r="A1802" s="269">
        <v>45910.341157407405</v>
      </c>
      <c r="B1802" t="s">
        <v>1429</v>
      </c>
      <c r="C1802" t="s">
        <v>14</v>
      </c>
      <c r="D1802" t="s">
        <v>1849</v>
      </c>
      <c r="E1802" t="s">
        <v>1712</v>
      </c>
    </row>
    <row r="1803" spans="1:5" x14ac:dyDescent="0.2">
      <c r="A1803" s="269">
        <v>45910.345532407409</v>
      </c>
      <c r="B1803" t="s">
        <v>1429</v>
      </c>
      <c r="C1803" t="s">
        <v>27</v>
      </c>
      <c r="D1803" t="s">
        <v>1013</v>
      </c>
      <c r="E1803" t="s">
        <v>365</v>
      </c>
    </row>
    <row r="1804" spans="1:5" x14ac:dyDescent="0.2">
      <c r="A1804" s="269">
        <v>45910.345567129632</v>
      </c>
      <c r="B1804" t="s">
        <v>1429</v>
      </c>
      <c r="C1804" t="s">
        <v>27</v>
      </c>
      <c r="D1804" t="s">
        <v>1016</v>
      </c>
      <c r="E1804" t="s">
        <v>365</v>
      </c>
    </row>
    <row r="1805" spans="1:5" x14ac:dyDescent="0.2">
      <c r="A1805" s="269">
        <v>45910.345590277779</v>
      </c>
      <c r="B1805" t="s">
        <v>1429</v>
      </c>
      <c r="C1805" t="s">
        <v>27</v>
      </c>
      <c r="D1805" t="s">
        <v>1066</v>
      </c>
      <c r="E1805" t="s">
        <v>365</v>
      </c>
    </row>
    <row r="1806" spans="1:5" x14ac:dyDescent="0.2">
      <c r="A1806" s="269">
        <v>45910.345960648148</v>
      </c>
      <c r="B1806" t="s">
        <v>1429</v>
      </c>
      <c r="C1806" t="s">
        <v>27</v>
      </c>
      <c r="D1806" t="s">
        <v>1499</v>
      </c>
      <c r="E1806" t="s">
        <v>1850</v>
      </c>
    </row>
    <row r="1807" spans="1:5" x14ac:dyDescent="0.2">
      <c r="A1807" s="269">
        <v>45910.345995370371</v>
      </c>
      <c r="B1807" t="s">
        <v>1429</v>
      </c>
      <c r="C1807" t="s">
        <v>27</v>
      </c>
      <c r="D1807" t="s">
        <v>1851</v>
      </c>
      <c r="E1807" t="s">
        <v>1850</v>
      </c>
    </row>
    <row r="1808" spans="1:5" x14ac:dyDescent="0.2">
      <c r="A1808" s="269">
        <v>45910.346458333333</v>
      </c>
      <c r="B1808" t="s">
        <v>1429</v>
      </c>
      <c r="C1808" t="s">
        <v>27</v>
      </c>
      <c r="D1808" t="s">
        <v>975</v>
      </c>
      <c r="E1808">
        <v>1230</v>
      </c>
    </row>
    <row r="1809" spans="1:5" x14ac:dyDescent="0.2">
      <c r="A1809" s="269">
        <v>45910.34648148148</v>
      </c>
      <c r="B1809" t="s">
        <v>1429</v>
      </c>
      <c r="C1809" t="s">
        <v>27</v>
      </c>
      <c r="D1809" t="s">
        <v>921</v>
      </c>
      <c r="E1809">
        <v>1230</v>
      </c>
    </row>
    <row r="1810" spans="1:5" x14ac:dyDescent="0.2">
      <c r="A1810" s="269">
        <v>45910.34652777778</v>
      </c>
      <c r="B1810" t="s">
        <v>1429</v>
      </c>
      <c r="C1810" t="s">
        <v>27</v>
      </c>
      <c r="D1810" t="s">
        <v>916</v>
      </c>
      <c r="E1810">
        <v>1230</v>
      </c>
    </row>
    <row r="1811" spans="1:5" x14ac:dyDescent="0.2">
      <c r="A1811" s="269">
        <v>45910.346608796295</v>
      </c>
      <c r="B1811" t="s">
        <v>1429</v>
      </c>
      <c r="C1811" t="s">
        <v>27</v>
      </c>
      <c r="D1811" t="s">
        <v>975</v>
      </c>
      <c r="E1811">
        <v>1200</v>
      </c>
    </row>
    <row r="1812" spans="1:5" x14ac:dyDescent="0.2">
      <c r="A1812" s="269">
        <v>45910.346736111111</v>
      </c>
      <c r="B1812" t="s">
        <v>1429</v>
      </c>
      <c r="C1812" t="s">
        <v>27</v>
      </c>
      <c r="D1812" t="s">
        <v>921</v>
      </c>
      <c r="E1812">
        <v>1240</v>
      </c>
    </row>
    <row r="1813" spans="1:5" x14ac:dyDescent="0.2">
      <c r="A1813" s="269">
        <v>45910.347071759257</v>
      </c>
      <c r="B1813" t="s">
        <v>1429</v>
      </c>
      <c r="C1813" t="s">
        <v>27</v>
      </c>
      <c r="D1813" t="s">
        <v>975</v>
      </c>
      <c r="E1813">
        <v>1210</v>
      </c>
    </row>
    <row r="1814" spans="1:5" x14ac:dyDescent="0.2">
      <c r="A1814" s="269">
        <v>45910.347280092596</v>
      </c>
      <c r="B1814" t="s">
        <v>1429</v>
      </c>
      <c r="C1814" t="s">
        <v>27</v>
      </c>
      <c r="D1814" t="s">
        <v>916</v>
      </c>
      <c r="E1814">
        <v>1250</v>
      </c>
    </row>
    <row r="1815" spans="1:5" x14ac:dyDescent="0.2">
      <c r="A1815" s="269">
        <v>45910.347303240742</v>
      </c>
      <c r="B1815" t="s">
        <v>1429</v>
      </c>
      <c r="C1815" t="s">
        <v>27</v>
      </c>
      <c r="D1815" t="s">
        <v>921</v>
      </c>
      <c r="E1815">
        <v>1230</v>
      </c>
    </row>
    <row r="1816" spans="1:5" x14ac:dyDescent="0.2">
      <c r="A1816" s="269">
        <v>45910.347395833334</v>
      </c>
      <c r="B1816" t="s">
        <v>1429</v>
      </c>
      <c r="C1816" t="s">
        <v>27</v>
      </c>
      <c r="D1816" t="s">
        <v>975</v>
      </c>
      <c r="E1816">
        <v>1230</v>
      </c>
    </row>
    <row r="1817" spans="1:5" x14ac:dyDescent="0.2">
      <c r="A1817" s="269">
        <v>45910.347430555557</v>
      </c>
      <c r="B1817" t="s">
        <v>1429</v>
      </c>
      <c r="C1817" t="s">
        <v>27</v>
      </c>
      <c r="D1817" t="s">
        <v>921</v>
      </c>
      <c r="E1817">
        <v>1210</v>
      </c>
    </row>
    <row r="1818" spans="1:5" x14ac:dyDescent="0.2">
      <c r="A1818" s="269">
        <v>45910.347893518519</v>
      </c>
      <c r="B1818" t="s">
        <v>1429</v>
      </c>
      <c r="C1818" t="s">
        <v>27</v>
      </c>
      <c r="D1818" t="s">
        <v>1486</v>
      </c>
      <c r="E1818" t="s">
        <v>311</v>
      </c>
    </row>
    <row r="1819" spans="1:5" x14ac:dyDescent="0.2">
      <c r="A1819" s="269">
        <v>45910.347962962966</v>
      </c>
      <c r="B1819" t="s">
        <v>1429</v>
      </c>
      <c r="C1819" t="s">
        <v>27</v>
      </c>
      <c r="D1819" t="s">
        <v>922</v>
      </c>
      <c r="E1819">
        <v>20</v>
      </c>
    </row>
    <row r="1820" spans="1:5" x14ac:dyDescent="0.2">
      <c r="A1820" s="269">
        <v>45910.347974537035</v>
      </c>
      <c r="B1820" t="s">
        <v>1429</v>
      </c>
      <c r="C1820" t="s">
        <v>27</v>
      </c>
      <c r="D1820" t="s">
        <v>1477</v>
      </c>
      <c r="E1820">
        <v>22</v>
      </c>
    </row>
    <row r="1821" spans="1:5" x14ac:dyDescent="0.2">
      <c r="A1821" s="269">
        <v>45910.348043981481</v>
      </c>
      <c r="B1821" t="s">
        <v>1429</v>
      </c>
      <c r="C1821" t="s">
        <v>27</v>
      </c>
      <c r="D1821" t="s">
        <v>979</v>
      </c>
      <c r="E1821">
        <v>25</v>
      </c>
    </row>
    <row r="1822" spans="1:5" x14ac:dyDescent="0.2">
      <c r="A1822" s="269">
        <v>45910.348090277781</v>
      </c>
      <c r="B1822" t="s">
        <v>1429</v>
      </c>
      <c r="C1822" t="s">
        <v>27</v>
      </c>
      <c r="D1822" t="s">
        <v>979</v>
      </c>
      <c r="E1822">
        <v>24</v>
      </c>
    </row>
    <row r="1823" spans="1:5" x14ac:dyDescent="0.2">
      <c r="A1823" s="269">
        <v>45910.34815972222</v>
      </c>
      <c r="B1823" t="s">
        <v>1429</v>
      </c>
      <c r="C1823" t="s">
        <v>27</v>
      </c>
      <c r="D1823" t="s">
        <v>1477</v>
      </c>
      <c r="E1823">
        <v>20</v>
      </c>
    </row>
    <row r="1824" spans="1:5" x14ac:dyDescent="0.2">
      <c r="A1824" s="269">
        <v>45910.348182870373</v>
      </c>
      <c r="B1824" t="s">
        <v>1429</v>
      </c>
      <c r="C1824" t="s">
        <v>27</v>
      </c>
      <c r="D1824" t="s">
        <v>922</v>
      </c>
      <c r="E1824">
        <v>21</v>
      </c>
    </row>
    <row r="1825" spans="1:5" x14ac:dyDescent="0.2">
      <c r="A1825" s="269">
        <v>45910.348460648151</v>
      </c>
      <c r="B1825" t="s">
        <v>1429</v>
      </c>
      <c r="C1825" t="s">
        <v>27</v>
      </c>
      <c r="D1825" t="s">
        <v>1473</v>
      </c>
    </row>
    <row r="1826" spans="1:5" x14ac:dyDescent="0.2">
      <c r="A1826" s="269">
        <v>45910.34847222222</v>
      </c>
      <c r="B1826" t="s">
        <v>1429</v>
      </c>
      <c r="C1826" t="s">
        <v>27</v>
      </c>
      <c r="D1826" t="s">
        <v>1852</v>
      </c>
    </row>
    <row r="1827" spans="1:5" x14ac:dyDescent="0.2">
      <c r="A1827" s="269">
        <v>45910.348495370374</v>
      </c>
      <c r="B1827" t="s">
        <v>1429</v>
      </c>
      <c r="C1827" t="s">
        <v>27</v>
      </c>
      <c r="D1827" t="s">
        <v>1853</v>
      </c>
    </row>
    <row r="1828" spans="1:5" x14ac:dyDescent="0.2">
      <c r="A1828" s="269">
        <v>45910.348611111112</v>
      </c>
      <c r="B1828" t="s">
        <v>1429</v>
      </c>
      <c r="C1828" t="s">
        <v>27</v>
      </c>
      <c r="D1828" t="s">
        <v>1854</v>
      </c>
    </row>
    <row r="1829" spans="1:5" x14ac:dyDescent="0.2">
      <c r="A1829" s="269">
        <v>45910.348657407405</v>
      </c>
      <c r="B1829" t="s">
        <v>1429</v>
      </c>
      <c r="C1829" t="s">
        <v>27</v>
      </c>
      <c r="D1829" t="s">
        <v>1855</v>
      </c>
    </row>
    <row r="1830" spans="1:5" x14ac:dyDescent="0.2">
      <c r="A1830" s="269">
        <v>45910.348668981482</v>
      </c>
      <c r="B1830" t="s">
        <v>1429</v>
      </c>
      <c r="C1830" t="s">
        <v>27</v>
      </c>
      <c r="D1830" t="s">
        <v>1814</v>
      </c>
    </row>
    <row r="1831" spans="1:5" x14ac:dyDescent="0.2">
      <c r="A1831" s="269">
        <v>45910.348726851851</v>
      </c>
      <c r="B1831" t="s">
        <v>1429</v>
      </c>
      <c r="C1831" t="s">
        <v>27</v>
      </c>
      <c r="D1831" t="s">
        <v>1856</v>
      </c>
    </row>
    <row r="1832" spans="1:5" x14ac:dyDescent="0.2">
      <c r="A1832" s="269">
        <v>45910.348749999997</v>
      </c>
      <c r="B1832" t="s">
        <v>1429</v>
      </c>
      <c r="C1832" t="s">
        <v>27</v>
      </c>
      <c r="D1832" t="s">
        <v>1857</v>
      </c>
    </row>
    <row r="1833" spans="1:5" x14ac:dyDescent="0.2">
      <c r="A1833" s="269">
        <v>45910.351944444446</v>
      </c>
      <c r="B1833" t="s">
        <v>1429</v>
      </c>
      <c r="C1833" t="s">
        <v>27</v>
      </c>
      <c r="D1833" t="s">
        <v>1858</v>
      </c>
    </row>
    <row r="1834" spans="1:5" x14ac:dyDescent="0.2">
      <c r="A1834" s="269">
        <v>45910.352268518516</v>
      </c>
      <c r="B1834" t="s">
        <v>1429</v>
      </c>
      <c r="C1834" t="s">
        <v>27</v>
      </c>
      <c r="D1834" t="s">
        <v>656</v>
      </c>
      <c r="E1834" t="s">
        <v>1859</v>
      </c>
    </row>
    <row r="1835" spans="1:5" x14ac:dyDescent="0.2">
      <c r="A1835" s="269">
        <v>45910.352326388886</v>
      </c>
      <c r="B1835" t="s">
        <v>1429</v>
      </c>
      <c r="C1835" t="s">
        <v>27</v>
      </c>
      <c r="D1835" t="s">
        <v>1860</v>
      </c>
      <c r="E1835" t="s">
        <v>1859</v>
      </c>
    </row>
    <row r="1836" spans="1:5" x14ac:dyDescent="0.2">
      <c r="A1836" s="269">
        <v>45910.353460648148</v>
      </c>
      <c r="B1836" t="s">
        <v>1429</v>
      </c>
      <c r="C1836" t="s">
        <v>27</v>
      </c>
      <c r="D1836" t="s">
        <v>1499</v>
      </c>
      <c r="E1836" t="s">
        <v>1861</v>
      </c>
    </row>
    <row r="1837" spans="1:5" x14ac:dyDescent="0.2">
      <c r="A1837" s="269">
        <v>45910.35355324074</v>
      </c>
      <c r="B1837" t="s">
        <v>1429</v>
      </c>
      <c r="C1837" t="s">
        <v>27</v>
      </c>
      <c r="D1837" t="s">
        <v>1851</v>
      </c>
      <c r="E1837" t="s">
        <v>1861</v>
      </c>
    </row>
    <row r="1838" spans="1:5" x14ac:dyDescent="0.2">
      <c r="A1838" s="269">
        <v>45910.354108796295</v>
      </c>
      <c r="B1838" t="s">
        <v>1429</v>
      </c>
      <c r="C1838" t="s">
        <v>27</v>
      </c>
      <c r="D1838" t="s">
        <v>1504</v>
      </c>
      <c r="E1838" t="s">
        <v>1862</v>
      </c>
    </row>
    <row r="1839" spans="1:5" x14ac:dyDescent="0.2">
      <c r="A1839" s="269">
        <v>45910.354131944441</v>
      </c>
      <c r="B1839" t="s">
        <v>1429</v>
      </c>
      <c r="C1839" t="s">
        <v>27</v>
      </c>
      <c r="D1839" t="s">
        <v>1863</v>
      </c>
      <c r="E1839" t="s">
        <v>1862</v>
      </c>
    </row>
    <row r="1840" spans="1:5" x14ac:dyDescent="0.2">
      <c r="A1840" s="269">
        <v>45910.356006944443</v>
      </c>
      <c r="B1840" t="s">
        <v>1429</v>
      </c>
      <c r="C1840" t="s">
        <v>27</v>
      </c>
      <c r="D1840" t="s">
        <v>672</v>
      </c>
      <c r="E1840" t="s">
        <v>369</v>
      </c>
    </row>
    <row r="1841" spans="1:5" x14ac:dyDescent="0.2">
      <c r="A1841" s="269">
        <v>45910.356041666666</v>
      </c>
      <c r="B1841" t="s">
        <v>1429</v>
      </c>
      <c r="C1841" t="s">
        <v>27</v>
      </c>
      <c r="D1841" t="s">
        <v>673</v>
      </c>
      <c r="E1841" t="s">
        <v>377</v>
      </c>
    </row>
    <row r="1842" spans="1:5" x14ac:dyDescent="0.2">
      <c r="A1842" s="269">
        <v>45910.356064814812</v>
      </c>
      <c r="B1842" t="s">
        <v>1429</v>
      </c>
      <c r="C1842" t="s">
        <v>27</v>
      </c>
      <c r="D1842" t="s">
        <v>674</v>
      </c>
      <c r="E1842" t="s">
        <v>384</v>
      </c>
    </row>
    <row r="1843" spans="1:5" x14ac:dyDescent="0.2">
      <c r="A1843" s="269">
        <v>45910.356203703705</v>
      </c>
      <c r="B1843" t="s">
        <v>1429</v>
      </c>
      <c r="C1843" t="s">
        <v>27</v>
      </c>
      <c r="D1843" t="s">
        <v>1473</v>
      </c>
      <c r="E1843" t="s">
        <v>316</v>
      </c>
    </row>
    <row r="1844" spans="1:5" x14ac:dyDescent="0.2">
      <c r="A1844" s="269">
        <v>45910.356238425928</v>
      </c>
      <c r="B1844" t="s">
        <v>1429</v>
      </c>
      <c r="C1844" t="s">
        <v>27</v>
      </c>
      <c r="D1844" t="s">
        <v>1474</v>
      </c>
      <c r="E1844" t="s">
        <v>316</v>
      </c>
    </row>
    <row r="1845" spans="1:5" x14ac:dyDescent="0.2">
      <c r="A1845" s="269">
        <v>45910.356273148151</v>
      </c>
      <c r="B1845" t="s">
        <v>1429</v>
      </c>
      <c r="C1845" t="s">
        <v>27</v>
      </c>
      <c r="D1845" t="s">
        <v>1475</v>
      </c>
      <c r="E1845" t="s">
        <v>316</v>
      </c>
    </row>
    <row r="1846" spans="1:5" x14ac:dyDescent="0.2">
      <c r="A1846" s="269">
        <v>45910.358067129629</v>
      </c>
      <c r="B1846" t="s">
        <v>1429</v>
      </c>
      <c r="C1846" t="s">
        <v>27</v>
      </c>
      <c r="D1846" t="s">
        <v>1478</v>
      </c>
      <c r="E1846">
        <v>9</v>
      </c>
    </row>
    <row r="1847" spans="1:5" x14ac:dyDescent="0.2">
      <c r="A1847" s="269">
        <v>45910.358090277776</v>
      </c>
      <c r="B1847" t="s">
        <v>1429</v>
      </c>
      <c r="C1847" t="s">
        <v>27</v>
      </c>
      <c r="D1847" t="s">
        <v>1479</v>
      </c>
      <c r="E1847">
        <v>7</v>
      </c>
    </row>
    <row r="1848" spans="1:5" x14ac:dyDescent="0.2">
      <c r="A1848" s="269">
        <v>45910.358136574076</v>
      </c>
      <c r="B1848" t="s">
        <v>1429</v>
      </c>
      <c r="C1848" t="s">
        <v>27</v>
      </c>
      <c r="D1848" t="s">
        <v>1480</v>
      </c>
      <c r="E1848">
        <v>8</v>
      </c>
    </row>
    <row r="1849" spans="1:5" x14ac:dyDescent="0.2">
      <c r="A1849" s="269">
        <v>45910.358229166668</v>
      </c>
      <c r="B1849" t="s">
        <v>1429</v>
      </c>
      <c r="C1849" t="s">
        <v>27</v>
      </c>
      <c r="D1849" t="s">
        <v>1510</v>
      </c>
      <c r="E1849" t="s">
        <v>1859</v>
      </c>
    </row>
    <row r="1850" spans="1:5" x14ac:dyDescent="0.2">
      <c r="A1850" s="269">
        <v>45910.358252314814</v>
      </c>
      <c r="B1850" t="s">
        <v>1429</v>
      </c>
      <c r="C1850" t="s">
        <v>27</v>
      </c>
      <c r="D1850" t="s">
        <v>1512</v>
      </c>
      <c r="E1850" t="s">
        <v>1859</v>
      </c>
    </row>
    <row r="1851" spans="1:5" x14ac:dyDescent="0.2">
      <c r="A1851" s="269">
        <v>45910.358263888891</v>
      </c>
      <c r="B1851" t="s">
        <v>1429</v>
      </c>
      <c r="C1851" t="s">
        <v>27</v>
      </c>
      <c r="D1851" t="s">
        <v>1514</v>
      </c>
      <c r="E1851" t="s">
        <v>1859</v>
      </c>
    </row>
    <row r="1852" spans="1:5" x14ac:dyDescent="0.2">
      <c r="A1852" s="269">
        <v>45910.358368055553</v>
      </c>
      <c r="B1852" t="s">
        <v>1429</v>
      </c>
      <c r="C1852" t="s">
        <v>27</v>
      </c>
      <c r="D1852" t="s">
        <v>675</v>
      </c>
      <c r="E1852" t="s">
        <v>369</v>
      </c>
    </row>
    <row r="1853" spans="1:5" x14ac:dyDescent="0.2">
      <c r="A1853" s="269">
        <v>45910.358391203707</v>
      </c>
      <c r="B1853" t="s">
        <v>1429</v>
      </c>
      <c r="C1853" t="s">
        <v>27</v>
      </c>
      <c r="D1853" t="s">
        <v>676</v>
      </c>
      <c r="E1853" t="s">
        <v>377</v>
      </c>
    </row>
    <row r="1854" spans="1:5" x14ac:dyDescent="0.2">
      <c r="A1854" s="269">
        <v>45910.358425925922</v>
      </c>
      <c r="B1854" t="s">
        <v>1429</v>
      </c>
      <c r="C1854" t="s">
        <v>27</v>
      </c>
      <c r="D1854" t="s">
        <v>1572</v>
      </c>
      <c r="E1854" t="s">
        <v>384</v>
      </c>
    </row>
    <row r="1855" spans="1:5" x14ac:dyDescent="0.2">
      <c r="A1855" s="269">
        <v>45910.358460648145</v>
      </c>
      <c r="B1855" t="s">
        <v>1429</v>
      </c>
      <c r="C1855" t="s">
        <v>27</v>
      </c>
      <c r="D1855" t="s">
        <v>1593</v>
      </c>
      <c r="E1855" t="s">
        <v>365</v>
      </c>
    </row>
    <row r="1856" spans="1:5" x14ac:dyDescent="0.2">
      <c r="A1856" s="269">
        <v>45910.358495370368</v>
      </c>
      <c r="B1856" t="s">
        <v>1429</v>
      </c>
      <c r="C1856" t="s">
        <v>27</v>
      </c>
      <c r="D1856" t="s">
        <v>1594</v>
      </c>
      <c r="E1856" t="s">
        <v>365</v>
      </c>
    </row>
    <row r="1857" spans="1:5" x14ac:dyDescent="0.2">
      <c r="A1857" s="269">
        <v>45910.358518518522</v>
      </c>
      <c r="B1857" t="s">
        <v>1429</v>
      </c>
      <c r="C1857" t="s">
        <v>27</v>
      </c>
      <c r="D1857" t="s">
        <v>1595</v>
      </c>
      <c r="E1857" t="s">
        <v>365</v>
      </c>
    </row>
    <row r="1858" spans="1:5" x14ac:dyDescent="0.2">
      <c r="A1858" s="269">
        <v>45910.359097222223</v>
      </c>
      <c r="B1858" t="s">
        <v>1429</v>
      </c>
      <c r="C1858" t="s">
        <v>27</v>
      </c>
      <c r="D1858" t="s">
        <v>672</v>
      </c>
    </row>
    <row r="1859" spans="1:5" x14ac:dyDescent="0.2">
      <c r="A1859" s="269">
        <v>45910.3591087963</v>
      </c>
      <c r="B1859" t="s">
        <v>1429</v>
      </c>
      <c r="C1859" t="s">
        <v>27</v>
      </c>
      <c r="D1859" t="s">
        <v>673</v>
      </c>
    </row>
    <row r="1860" spans="1:5" x14ac:dyDescent="0.2">
      <c r="A1860" s="269">
        <v>45910.3591087963</v>
      </c>
      <c r="B1860" t="s">
        <v>1429</v>
      </c>
      <c r="C1860" t="s">
        <v>27</v>
      </c>
      <c r="D1860" t="s">
        <v>674</v>
      </c>
    </row>
    <row r="1861" spans="1:5" x14ac:dyDescent="0.2">
      <c r="A1861" s="269">
        <v>45910.359120370369</v>
      </c>
      <c r="B1861" t="s">
        <v>1429</v>
      </c>
      <c r="C1861" t="s">
        <v>27</v>
      </c>
      <c r="D1861" t="s">
        <v>676</v>
      </c>
    </row>
    <row r="1862" spans="1:5" x14ac:dyDescent="0.2">
      <c r="A1862" s="269">
        <v>45910.359120370369</v>
      </c>
      <c r="B1862" t="s">
        <v>1429</v>
      </c>
      <c r="C1862" t="s">
        <v>27</v>
      </c>
      <c r="D1862" t="s">
        <v>676</v>
      </c>
      <c r="E1862" t="s">
        <v>336</v>
      </c>
    </row>
    <row r="1863" spans="1:5" x14ac:dyDescent="0.2">
      <c r="A1863" s="269">
        <v>45910.359120370369</v>
      </c>
      <c r="B1863" t="s">
        <v>1429</v>
      </c>
      <c r="C1863" t="s">
        <v>27</v>
      </c>
      <c r="D1863" t="s">
        <v>676</v>
      </c>
    </row>
    <row r="1864" spans="1:5" x14ac:dyDescent="0.2">
      <c r="A1864" s="269">
        <v>45910.359131944446</v>
      </c>
      <c r="B1864" t="s">
        <v>1429</v>
      </c>
      <c r="C1864" t="s">
        <v>27</v>
      </c>
      <c r="D1864" t="s">
        <v>675</v>
      </c>
    </row>
    <row r="1865" spans="1:5" x14ac:dyDescent="0.2">
      <c r="A1865" s="269">
        <v>45910.359143518515</v>
      </c>
      <c r="B1865" t="s">
        <v>1429</v>
      </c>
      <c r="C1865" t="s">
        <v>27</v>
      </c>
      <c r="D1865" t="s">
        <v>1572</v>
      </c>
    </row>
    <row r="1866" spans="1:5" x14ac:dyDescent="0.2">
      <c r="A1866" s="269">
        <v>45910.359155092592</v>
      </c>
      <c r="B1866" t="s">
        <v>1429</v>
      </c>
      <c r="C1866" t="s">
        <v>27</v>
      </c>
      <c r="D1866" t="s">
        <v>1473</v>
      </c>
    </row>
    <row r="1867" spans="1:5" x14ac:dyDescent="0.2">
      <c r="A1867" s="269">
        <v>45910.359155092592</v>
      </c>
      <c r="B1867" t="s">
        <v>1429</v>
      </c>
      <c r="C1867" t="s">
        <v>27</v>
      </c>
      <c r="D1867" t="s">
        <v>1474</v>
      </c>
    </row>
    <row r="1868" spans="1:5" x14ac:dyDescent="0.2">
      <c r="A1868" s="269">
        <v>45910.359166666669</v>
      </c>
      <c r="B1868" t="s">
        <v>1429</v>
      </c>
      <c r="C1868" t="s">
        <v>27</v>
      </c>
      <c r="D1868" t="s">
        <v>1593</v>
      </c>
    </row>
    <row r="1869" spans="1:5" x14ac:dyDescent="0.2">
      <c r="A1869" s="269">
        <v>45910.359178240738</v>
      </c>
      <c r="B1869" t="s">
        <v>1429</v>
      </c>
      <c r="C1869" t="s">
        <v>27</v>
      </c>
      <c r="D1869" t="s">
        <v>1475</v>
      </c>
    </row>
    <row r="1870" spans="1:5" x14ac:dyDescent="0.2">
      <c r="A1870" s="269">
        <v>45910.359178240738</v>
      </c>
      <c r="B1870" t="s">
        <v>1429</v>
      </c>
      <c r="C1870" t="s">
        <v>27</v>
      </c>
      <c r="D1870" t="s">
        <v>1594</v>
      </c>
    </row>
    <row r="1871" spans="1:5" x14ac:dyDescent="0.2">
      <c r="A1871" s="269">
        <v>45910.359178240738</v>
      </c>
      <c r="B1871" t="s">
        <v>1429</v>
      </c>
      <c r="C1871" t="s">
        <v>27</v>
      </c>
      <c r="D1871" t="s">
        <v>1595</v>
      </c>
    </row>
    <row r="1872" spans="1:5" x14ac:dyDescent="0.2">
      <c r="A1872" s="269">
        <v>45910.359201388892</v>
      </c>
      <c r="B1872" t="s">
        <v>1429</v>
      </c>
      <c r="C1872" t="s">
        <v>27</v>
      </c>
      <c r="D1872" t="s">
        <v>1478</v>
      </c>
    </row>
    <row r="1873" spans="1:5" x14ac:dyDescent="0.2">
      <c r="A1873" s="269">
        <v>45910.359212962961</v>
      </c>
      <c r="B1873" t="s">
        <v>1429</v>
      </c>
      <c r="C1873" t="s">
        <v>27</v>
      </c>
      <c r="D1873" t="s">
        <v>1479</v>
      </c>
    </row>
    <row r="1874" spans="1:5" x14ac:dyDescent="0.2">
      <c r="A1874" s="269">
        <v>45910.359212962961</v>
      </c>
      <c r="B1874" t="s">
        <v>1429</v>
      </c>
      <c r="C1874" t="s">
        <v>27</v>
      </c>
      <c r="D1874" t="s">
        <v>1480</v>
      </c>
    </row>
    <row r="1875" spans="1:5" x14ac:dyDescent="0.2">
      <c r="A1875" s="269">
        <v>45910.359629629631</v>
      </c>
      <c r="B1875" t="s">
        <v>1429</v>
      </c>
      <c r="C1875" t="s">
        <v>27</v>
      </c>
      <c r="D1875" t="s">
        <v>672</v>
      </c>
      <c r="E1875" t="s">
        <v>336</v>
      </c>
    </row>
    <row r="1876" spans="1:5" x14ac:dyDescent="0.2">
      <c r="A1876" s="269">
        <v>45910.359652777777</v>
      </c>
      <c r="B1876" t="s">
        <v>1429</v>
      </c>
      <c r="C1876" t="s">
        <v>27</v>
      </c>
      <c r="D1876" t="s">
        <v>673</v>
      </c>
      <c r="E1876" t="s">
        <v>87</v>
      </c>
    </row>
    <row r="1877" spans="1:5" x14ac:dyDescent="0.2">
      <c r="A1877" s="269">
        <v>45910.3596875</v>
      </c>
      <c r="B1877" t="s">
        <v>1429</v>
      </c>
      <c r="C1877" t="s">
        <v>27</v>
      </c>
      <c r="D1877" t="s">
        <v>674</v>
      </c>
      <c r="E1877" t="s">
        <v>360</v>
      </c>
    </row>
    <row r="1878" spans="1:5" x14ac:dyDescent="0.2">
      <c r="A1878" s="269">
        <v>45910.359791666669</v>
      </c>
      <c r="B1878" t="s">
        <v>1429</v>
      </c>
      <c r="C1878" t="s">
        <v>27</v>
      </c>
      <c r="D1878" t="s">
        <v>1473</v>
      </c>
      <c r="E1878" t="s">
        <v>315</v>
      </c>
    </row>
    <row r="1879" spans="1:5" x14ac:dyDescent="0.2">
      <c r="A1879" s="269">
        <v>45910.359826388885</v>
      </c>
      <c r="B1879" t="s">
        <v>1429</v>
      </c>
      <c r="C1879" t="s">
        <v>27</v>
      </c>
      <c r="D1879" t="s">
        <v>1474</v>
      </c>
      <c r="E1879" t="s">
        <v>315</v>
      </c>
    </row>
    <row r="1880" spans="1:5" x14ac:dyDescent="0.2">
      <c r="A1880" s="269">
        <v>45910.359849537039</v>
      </c>
      <c r="B1880" t="s">
        <v>1429</v>
      </c>
      <c r="C1880" t="s">
        <v>27</v>
      </c>
      <c r="D1880" t="s">
        <v>1475</v>
      </c>
      <c r="E1880" t="s">
        <v>315</v>
      </c>
    </row>
    <row r="1881" spans="1:5" x14ac:dyDescent="0.2">
      <c r="A1881" s="269">
        <v>45910.360185185185</v>
      </c>
      <c r="B1881" t="s">
        <v>1429</v>
      </c>
      <c r="C1881" t="s">
        <v>27</v>
      </c>
      <c r="D1881" t="s">
        <v>1510</v>
      </c>
    </row>
    <row r="1882" spans="1:5" x14ac:dyDescent="0.2">
      <c r="A1882" s="269">
        <v>45910.360196759262</v>
      </c>
      <c r="B1882" t="s">
        <v>1429</v>
      </c>
      <c r="C1882" t="s">
        <v>27</v>
      </c>
      <c r="D1882" t="s">
        <v>1512</v>
      </c>
    </row>
    <row r="1883" spans="1:5" x14ac:dyDescent="0.2">
      <c r="A1883" s="269">
        <v>45910.360208333332</v>
      </c>
      <c r="B1883" t="s">
        <v>1429</v>
      </c>
      <c r="C1883" t="s">
        <v>27</v>
      </c>
      <c r="D1883" t="s">
        <v>1514</v>
      </c>
    </row>
    <row r="1884" spans="1:5" x14ac:dyDescent="0.2">
      <c r="A1884" s="269">
        <v>45910.360706018517</v>
      </c>
      <c r="B1884" t="s">
        <v>1429</v>
      </c>
      <c r="C1884" t="s">
        <v>27</v>
      </c>
      <c r="D1884" t="s">
        <v>1487</v>
      </c>
      <c r="E1884" t="s">
        <v>362</v>
      </c>
    </row>
    <row r="1885" spans="1:5" x14ac:dyDescent="0.2">
      <c r="A1885" s="269">
        <v>45910.36074074074</v>
      </c>
      <c r="B1885" t="s">
        <v>1429</v>
      </c>
      <c r="C1885" t="s">
        <v>27</v>
      </c>
      <c r="D1885" t="s">
        <v>1488</v>
      </c>
      <c r="E1885" t="s">
        <v>362</v>
      </c>
    </row>
    <row r="1886" spans="1:5" x14ac:dyDescent="0.2">
      <c r="A1886" s="269">
        <v>45910.360763888886</v>
      </c>
      <c r="B1886" t="s">
        <v>1429</v>
      </c>
      <c r="C1886" t="s">
        <v>27</v>
      </c>
      <c r="D1886" t="s">
        <v>1489</v>
      </c>
      <c r="E1886" t="s">
        <v>362</v>
      </c>
    </row>
    <row r="1887" spans="1:5" x14ac:dyDescent="0.2">
      <c r="A1887" s="269">
        <v>45910.361620370371</v>
      </c>
      <c r="B1887" t="s">
        <v>1429</v>
      </c>
      <c r="C1887" t="s">
        <v>27</v>
      </c>
      <c r="D1887" t="s">
        <v>672</v>
      </c>
      <c r="E1887" t="s">
        <v>87</v>
      </c>
    </row>
    <row r="1888" spans="1:5" x14ac:dyDescent="0.2">
      <c r="A1888" s="269">
        <v>45910.361643518518</v>
      </c>
      <c r="B1888" t="s">
        <v>1429</v>
      </c>
      <c r="C1888" t="s">
        <v>27</v>
      </c>
      <c r="D1888" t="s">
        <v>673</v>
      </c>
      <c r="E1888" t="s">
        <v>360</v>
      </c>
    </row>
    <row r="1889" spans="1:5" x14ac:dyDescent="0.2">
      <c r="A1889" s="269">
        <v>45910.361666666664</v>
      </c>
      <c r="B1889" t="s">
        <v>1429</v>
      </c>
      <c r="C1889" t="s">
        <v>27</v>
      </c>
      <c r="D1889" t="s">
        <v>674</v>
      </c>
    </row>
    <row r="1890" spans="1:5" x14ac:dyDescent="0.2">
      <c r="A1890" s="269">
        <v>45910.361689814818</v>
      </c>
      <c r="B1890" t="s">
        <v>1429</v>
      </c>
      <c r="C1890" t="s">
        <v>27</v>
      </c>
      <c r="D1890" t="s">
        <v>1475</v>
      </c>
    </row>
    <row r="1891" spans="1:5" x14ac:dyDescent="0.2">
      <c r="A1891" s="269">
        <v>45910.36173611111</v>
      </c>
      <c r="B1891" t="s">
        <v>1429</v>
      </c>
      <c r="C1891" t="s">
        <v>27</v>
      </c>
      <c r="D1891" t="s">
        <v>1478</v>
      </c>
      <c r="E1891">
        <v>2.8</v>
      </c>
    </row>
    <row r="1892" spans="1:5" x14ac:dyDescent="0.2">
      <c r="A1892" s="269">
        <v>45910.362013888887</v>
      </c>
      <c r="B1892" t="s">
        <v>1429</v>
      </c>
      <c r="C1892" t="s">
        <v>27</v>
      </c>
      <c r="D1892" t="s">
        <v>1479</v>
      </c>
      <c r="E1892">
        <v>18.3</v>
      </c>
    </row>
    <row r="1893" spans="1:5" x14ac:dyDescent="0.2">
      <c r="A1893" s="269">
        <v>45910.363587962966</v>
      </c>
      <c r="B1893" t="s">
        <v>1429</v>
      </c>
      <c r="C1893" t="s">
        <v>27</v>
      </c>
      <c r="D1893" t="s">
        <v>1510</v>
      </c>
      <c r="E1893" t="s">
        <v>1864</v>
      </c>
    </row>
    <row r="1894" spans="1:5" x14ac:dyDescent="0.2">
      <c r="A1894" s="269">
        <v>45910.363981481481</v>
      </c>
      <c r="B1894" t="s">
        <v>1429</v>
      </c>
      <c r="C1894" t="s">
        <v>27</v>
      </c>
      <c r="D1894" t="s">
        <v>1510</v>
      </c>
      <c r="E1894" t="s">
        <v>1864</v>
      </c>
    </row>
    <row r="1895" spans="1:5" x14ac:dyDescent="0.2">
      <c r="A1895" s="269">
        <v>45910.364247685182</v>
      </c>
      <c r="B1895" t="s">
        <v>1429</v>
      </c>
      <c r="C1895" t="s">
        <v>27</v>
      </c>
      <c r="D1895" t="s">
        <v>1510</v>
      </c>
      <c r="E1895" t="s">
        <v>1865</v>
      </c>
    </row>
    <row r="1896" spans="1:5" x14ac:dyDescent="0.2">
      <c r="A1896" s="269">
        <v>45910.364490740743</v>
      </c>
      <c r="B1896" t="s">
        <v>1429</v>
      </c>
      <c r="C1896" t="s">
        <v>27</v>
      </c>
      <c r="D1896" t="s">
        <v>1512</v>
      </c>
      <c r="E1896" t="s">
        <v>1865</v>
      </c>
    </row>
    <row r="1897" spans="1:5" x14ac:dyDescent="0.2">
      <c r="A1897" s="269">
        <v>45910.364664351851</v>
      </c>
      <c r="B1897" t="s">
        <v>1429</v>
      </c>
      <c r="C1897" t="s">
        <v>27</v>
      </c>
      <c r="D1897" t="s">
        <v>1512</v>
      </c>
      <c r="E1897" t="s">
        <v>1866</v>
      </c>
    </row>
    <row r="1898" spans="1:5" x14ac:dyDescent="0.2">
      <c r="A1898" s="269">
        <v>45910.364710648151</v>
      </c>
      <c r="B1898" t="s">
        <v>1429</v>
      </c>
      <c r="C1898" t="s">
        <v>27</v>
      </c>
      <c r="D1898" t="s">
        <v>1510</v>
      </c>
      <c r="E1898" t="s">
        <v>1867</v>
      </c>
    </row>
    <row r="1899" spans="1:5" x14ac:dyDescent="0.2">
      <c r="A1899" s="269">
        <v>45910.365115740744</v>
      </c>
      <c r="B1899" t="s">
        <v>1429</v>
      </c>
      <c r="C1899" t="s">
        <v>27</v>
      </c>
      <c r="D1899" t="s">
        <v>1510</v>
      </c>
      <c r="E1899" t="s">
        <v>1868</v>
      </c>
    </row>
    <row r="1900" spans="1:5" x14ac:dyDescent="0.2">
      <c r="A1900" s="269">
        <v>45910.365162037036</v>
      </c>
      <c r="B1900" t="s">
        <v>1429</v>
      </c>
      <c r="C1900" t="s">
        <v>27</v>
      </c>
      <c r="D1900" t="s">
        <v>1510</v>
      </c>
      <c r="E1900" t="s">
        <v>1869</v>
      </c>
    </row>
    <row r="1901" spans="1:5" x14ac:dyDescent="0.2">
      <c r="A1901" s="269">
        <v>45910.365208333336</v>
      </c>
      <c r="B1901" t="s">
        <v>1429</v>
      </c>
      <c r="C1901" t="s">
        <v>27</v>
      </c>
      <c r="D1901" t="s">
        <v>1512</v>
      </c>
      <c r="E1901" t="s">
        <v>1870</v>
      </c>
    </row>
    <row r="1902" spans="1:5" x14ac:dyDescent="0.2">
      <c r="A1902" s="269">
        <v>45910.365300925929</v>
      </c>
      <c r="B1902" t="s">
        <v>1429</v>
      </c>
      <c r="C1902" t="s">
        <v>27</v>
      </c>
      <c r="D1902" t="s">
        <v>674</v>
      </c>
      <c r="E1902" t="s">
        <v>336</v>
      </c>
    </row>
    <row r="1903" spans="1:5" x14ac:dyDescent="0.2">
      <c r="A1903" s="269">
        <v>45910.365324074075</v>
      </c>
      <c r="B1903" t="s">
        <v>1429</v>
      </c>
      <c r="C1903" t="s">
        <v>27</v>
      </c>
      <c r="D1903" t="s">
        <v>675</v>
      </c>
      <c r="E1903" t="s">
        <v>87</v>
      </c>
    </row>
    <row r="1904" spans="1:5" x14ac:dyDescent="0.2">
      <c r="A1904" s="269">
        <v>45910.365324074075</v>
      </c>
      <c r="B1904" t="s">
        <v>1429</v>
      </c>
      <c r="C1904" t="s">
        <v>27</v>
      </c>
      <c r="D1904" t="s">
        <v>675</v>
      </c>
      <c r="E1904" t="s">
        <v>87</v>
      </c>
    </row>
    <row r="1905" spans="1:5" x14ac:dyDescent="0.2">
      <c r="A1905" s="269">
        <v>45910.365347222221</v>
      </c>
      <c r="B1905" t="s">
        <v>1429</v>
      </c>
      <c r="C1905" t="s">
        <v>27</v>
      </c>
      <c r="D1905" t="s">
        <v>676</v>
      </c>
      <c r="E1905" t="s">
        <v>360</v>
      </c>
    </row>
    <row r="1906" spans="1:5" x14ac:dyDescent="0.2">
      <c r="A1906" s="269">
        <v>45910.365393518521</v>
      </c>
      <c r="B1906" t="s">
        <v>1429</v>
      </c>
      <c r="C1906" t="s">
        <v>27</v>
      </c>
      <c r="D1906" t="s">
        <v>1475</v>
      </c>
      <c r="E1906" t="s">
        <v>137</v>
      </c>
    </row>
    <row r="1907" spans="1:5" x14ac:dyDescent="0.2">
      <c r="A1907" s="269">
        <v>45910.365416666667</v>
      </c>
      <c r="B1907" t="s">
        <v>1429</v>
      </c>
      <c r="C1907" t="s">
        <v>27</v>
      </c>
      <c r="D1907" t="s">
        <v>1475</v>
      </c>
      <c r="E1907" t="s">
        <v>316</v>
      </c>
    </row>
    <row r="1908" spans="1:5" x14ac:dyDescent="0.2">
      <c r="A1908" s="269">
        <v>45910.365439814814</v>
      </c>
      <c r="B1908" t="s">
        <v>1429</v>
      </c>
      <c r="C1908" t="s">
        <v>27</v>
      </c>
      <c r="D1908" t="s">
        <v>1593</v>
      </c>
      <c r="E1908" t="s">
        <v>316</v>
      </c>
    </row>
    <row r="1909" spans="1:5" x14ac:dyDescent="0.2">
      <c r="A1909" s="269">
        <v>45910.36546296296</v>
      </c>
      <c r="B1909" t="s">
        <v>1429</v>
      </c>
      <c r="C1909" t="s">
        <v>27</v>
      </c>
      <c r="D1909" t="s">
        <v>1594</v>
      </c>
      <c r="E1909" t="s">
        <v>316</v>
      </c>
    </row>
    <row r="1910" spans="1:5" x14ac:dyDescent="0.2">
      <c r="A1910" s="269">
        <v>45910.365520833337</v>
      </c>
      <c r="B1910" t="s">
        <v>1429</v>
      </c>
      <c r="C1910" t="s">
        <v>27</v>
      </c>
      <c r="D1910" t="s">
        <v>1489</v>
      </c>
      <c r="E1910" t="s">
        <v>311</v>
      </c>
    </row>
    <row r="1911" spans="1:5" x14ac:dyDescent="0.2">
      <c r="A1911" s="269">
        <v>45910.365937499999</v>
      </c>
      <c r="B1911" t="s">
        <v>1429</v>
      </c>
      <c r="C1911" t="s">
        <v>27</v>
      </c>
      <c r="D1911" t="s">
        <v>1480</v>
      </c>
      <c r="E1911">
        <v>9</v>
      </c>
    </row>
    <row r="1912" spans="1:5" x14ac:dyDescent="0.2">
      <c r="A1912" s="269">
        <v>45910.366064814814</v>
      </c>
      <c r="B1912" t="s">
        <v>1429</v>
      </c>
      <c r="C1912" t="s">
        <v>27</v>
      </c>
      <c r="D1912" t="s">
        <v>674</v>
      </c>
      <c r="E1912" t="s">
        <v>369</v>
      </c>
    </row>
    <row r="1913" spans="1:5" x14ac:dyDescent="0.2">
      <c r="A1913" s="269">
        <v>45910.366099537037</v>
      </c>
      <c r="B1913" t="s">
        <v>1429</v>
      </c>
      <c r="C1913" t="s">
        <v>27</v>
      </c>
      <c r="D1913" t="s">
        <v>675</v>
      </c>
      <c r="E1913" t="s">
        <v>377</v>
      </c>
    </row>
    <row r="1914" spans="1:5" x14ac:dyDescent="0.2">
      <c r="A1914" s="269">
        <v>45910.366122685184</v>
      </c>
      <c r="B1914" t="s">
        <v>1429</v>
      </c>
      <c r="C1914" t="s">
        <v>27</v>
      </c>
      <c r="D1914" t="s">
        <v>676</v>
      </c>
      <c r="E1914" t="s">
        <v>384</v>
      </c>
    </row>
    <row r="1915" spans="1:5" x14ac:dyDescent="0.2">
      <c r="A1915" s="269">
        <v>45910.366157407407</v>
      </c>
      <c r="B1915" t="s">
        <v>1429</v>
      </c>
      <c r="C1915" t="s">
        <v>27</v>
      </c>
      <c r="D1915" t="s">
        <v>1665</v>
      </c>
      <c r="E1915">
        <v>7</v>
      </c>
    </row>
    <row r="1916" spans="1:5" x14ac:dyDescent="0.2">
      <c r="A1916" s="269">
        <v>45910.366180555553</v>
      </c>
      <c r="B1916" t="s">
        <v>1429</v>
      </c>
      <c r="C1916" t="s">
        <v>27</v>
      </c>
      <c r="D1916" t="s">
        <v>1666</v>
      </c>
      <c r="E1916">
        <v>8</v>
      </c>
    </row>
    <row r="1917" spans="1:5" x14ac:dyDescent="0.2">
      <c r="A1917" s="269">
        <v>45910.366296296299</v>
      </c>
      <c r="B1917" t="s">
        <v>1429</v>
      </c>
      <c r="C1917" t="s">
        <v>27</v>
      </c>
      <c r="D1917" t="s">
        <v>1514</v>
      </c>
      <c r="E1917" t="s">
        <v>1859</v>
      </c>
    </row>
    <row r="1918" spans="1:5" x14ac:dyDescent="0.2">
      <c r="A1918" s="269">
        <v>45910.366307870368</v>
      </c>
      <c r="B1918" t="s">
        <v>1429</v>
      </c>
      <c r="C1918" t="s">
        <v>27</v>
      </c>
      <c r="D1918" t="s">
        <v>1858</v>
      </c>
      <c r="E1918" t="s">
        <v>1859</v>
      </c>
    </row>
    <row r="1919" spans="1:5" x14ac:dyDescent="0.2">
      <c r="A1919" s="269">
        <v>45910.366319444445</v>
      </c>
      <c r="B1919" t="s">
        <v>1429</v>
      </c>
      <c r="C1919" t="s">
        <v>27</v>
      </c>
      <c r="D1919" t="s">
        <v>1871</v>
      </c>
      <c r="E1919" t="s">
        <v>1859</v>
      </c>
    </row>
    <row r="1920" spans="1:5" x14ac:dyDescent="0.2">
      <c r="A1920" s="269">
        <v>45910.366493055553</v>
      </c>
      <c r="B1920" t="s">
        <v>1429</v>
      </c>
      <c r="C1920" t="s">
        <v>27</v>
      </c>
      <c r="D1920" t="s">
        <v>1572</v>
      </c>
      <c r="E1920" t="s">
        <v>369</v>
      </c>
    </row>
    <row r="1921" spans="1:5" x14ac:dyDescent="0.2">
      <c r="A1921" s="269">
        <v>45910.366527777776</v>
      </c>
      <c r="B1921" t="s">
        <v>1429</v>
      </c>
      <c r="C1921" t="s">
        <v>27</v>
      </c>
      <c r="D1921" t="s">
        <v>1573</v>
      </c>
      <c r="E1921" t="s">
        <v>377</v>
      </c>
    </row>
    <row r="1922" spans="1:5" x14ac:dyDescent="0.2">
      <c r="A1922" s="269">
        <v>45910.366550925923</v>
      </c>
      <c r="B1922" t="s">
        <v>1429</v>
      </c>
      <c r="C1922" t="s">
        <v>27</v>
      </c>
      <c r="D1922" t="s">
        <v>1574</v>
      </c>
      <c r="E1922" t="s">
        <v>384</v>
      </c>
    </row>
    <row r="1923" spans="1:5" x14ac:dyDescent="0.2">
      <c r="A1923" s="269">
        <v>45910.366597222222</v>
      </c>
      <c r="B1923" t="s">
        <v>1429</v>
      </c>
      <c r="C1923" t="s">
        <v>27</v>
      </c>
      <c r="D1923" t="s">
        <v>1595</v>
      </c>
      <c r="E1923" t="s">
        <v>365</v>
      </c>
    </row>
    <row r="1924" spans="1:5" x14ac:dyDescent="0.2">
      <c r="A1924" s="269">
        <v>45910.366620370369</v>
      </c>
      <c r="B1924" t="s">
        <v>1429</v>
      </c>
      <c r="C1924" t="s">
        <v>27</v>
      </c>
      <c r="D1924" t="s">
        <v>1596</v>
      </c>
      <c r="E1924" t="s">
        <v>365</v>
      </c>
    </row>
    <row r="1925" spans="1:5" x14ac:dyDescent="0.2">
      <c r="A1925" s="269">
        <v>45910.366666666669</v>
      </c>
      <c r="B1925" t="s">
        <v>1429</v>
      </c>
      <c r="C1925" t="s">
        <v>27</v>
      </c>
      <c r="D1925" t="s">
        <v>1597</v>
      </c>
      <c r="E1925" t="s">
        <v>365</v>
      </c>
    </row>
    <row r="1926" spans="1:5" x14ac:dyDescent="0.2">
      <c r="A1926" s="269">
        <v>45910.371157407404</v>
      </c>
      <c r="B1926" t="s">
        <v>1429</v>
      </c>
      <c r="C1926" t="s">
        <v>27</v>
      </c>
      <c r="D1926" t="s">
        <v>1667</v>
      </c>
      <c r="E1926">
        <v>1486</v>
      </c>
    </row>
    <row r="1927" spans="1:5" x14ac:dyDescent="0.2">
      <c r="A1927" s="269">
        <v>45910.371192129627</v>
      </c>
      <c r="B1927" t="s">
        <v>1429</v>
      </c>
      <c r="C1927" t="s">
        <v>27</v>
      </c>
      <c r="D1927" t="s">
        <v>1668</v>
      </c>
      <c r="E1927">
        <v>1486</v>
      </c>
    </row>
    <row r="1928" spans="1:5" x14ac:dyDescent="0.2">
      <c r="A1928" s="269">
        <v>45910.371215277781</v>
      </c>
      <c r="B1928" t="s">
        <v>1429</v>
      </c>
      <c r="C1928" t="s">
        <v>27</v>
      </c>
      <c r="D1928" t="s">
        <v>1669</v>
      </c>
      <c r="E1928">
        <v>1486</v>
      </c>
    </row>
    <row r="1929" spans="1:5" x14ac:dyDescent="0.2">
      <c r="A1929" s="269">
        <v>45910.371400462966</v>
      </c>
      <c r="B1929" t="s">
        <v>1429</v>
      </c>
      <c r="C1929" t="s">
        <v>27</v>
      </c>
      <c r="D1929" t="s">
        <v>1667</v>
      </c>
      <c r="E1929">
        <v>14700</v>
      </c>
    </row>
    <row r="1930" spans="1:5" x14ac:dyDescent="0.2">
      <c r="A1930" s="269">
        <v>45910.371504629627</v>
      </c>
      <c r="B1930" t="s">
        <v>1429</v>
      </c>
      <c r="C1930" t="s">
        <v>27</v>
      </c>
      <c r="D1930" t="s">
        <v>1667</v>
      </c>
      <c r="E1930">
        <v>1470</v>
      </c>
    </row>
    <row r="1931" spans="1:5" x14ac:dyDescent="0.2">
      <c r="A1931" s="269">
        <v>45910.37903935185</v>
      </c>
      <c r="B1931" t="s">
        <v>1429</v>
      </c>
      <c r="C1931" t="s">
        <v>27</v>
      </c>
      <c r="D1931" t="s">
        <v>975</v>
      </c>
      <c r="E1931">
        <v>3400</v>
      </c>
    </row>
    <row r="1932" spans="1:5" x14ac:dyDescent="0.2">
      <c r="A1932" s="269">
        <v>45910.379513888889</v>
      </c>
      <c r="B1932" t="s">
        <v>1429</v>
      </c>
      <c r="C1932" t="s">
        <v>27</v>
      </c>
      <c r="D1932" t="s">
        <v>921</v>
      </c>
      <c r="E1932">
        <v>4160</v>
      </c>
    </row>
    <row r="1933" spans="1:5" x14ac:dyDescent="0.2">
      <c r="A1933" s="269">
        <v>45910.379699074074</v>
      </c>
      <c r="B1933" t="s">
        <v>1429</v>
      </c>
      <c r="C1933" t="s">
        <v>27</v>
      </c>
      <c r="D1933" t="s">
        <v>916</v>
      </c>
      <c r="E1933">
        <v>1800</v>
      </c>
    </row>
    <row r="1934" spans="1:5" x14ac:dyDescent="0.2">
      <c r="A1934" s="269">
        <v>45910.379861111112</v>
      </c>
      <c r="B1934" t="s">
        <v>1429</v>
      </c>
      <c r="C1934" t="s">
        <v>27</v>
      </c>
      <c r="D1934" t="s">
        <v>1667</v>
      </c>
    </row>
    <row r="1935" spans="1:5" x14ac:dyDescent="0.2">
      <c r="A1935" s="269">
        <v>45910.379872685182</v>
      </c>
      <c r="B1935" t="s">
        <v>1429</v>
      </c>
      <c r="C1935" t="s">
        <v>27</v>
      </c>
      <c r="D1935" t="s">
        <v>1668</v>
      </c>
    </row>
    <row r="1936" spans="1:5" x14ac:dyDescent="0.2">
      <c r="A1936" s="269">
        <v>45910.379872685182</v>
      </c>
      <c r="B1936" t="s">
        <v>1429</v>
      </c>
      <c r="C1936" t="s">
        <v>27</v>
      </c>
      <c r="D1936" t="s">
        <v>1669</v>
      </c>
    </row>
    <row r="1937" spans="1:5" x14ac:dyDescent="0.2">
      <c r="A1937" s="269">
        <v>45910.38040509259</v>
      </c>
      <c r="B1937" t="s">
        <v>1429</v>
      </c>
      <c r="C1937" t="s">
        <v>27</v>
      </c>
      <c r="D1937" t="s">
        <v>921</v>
      </c>
      <c r="E1937">
        <v>5760</v>
      </c>
    </row>
    <row r="1938" spans="1:5" x14ac:dyDescent="0.2">
      <c r="A1938" s="269">
        <v>45910.396145833336</v>
      </c>
      <c r="B1938" t="s">
        <v>1429</v>
      </c>
      <c r="C1938" t="s">
        <v>27</v>
      </c>
      <c r="D1938" t="s">
        <v>1667</v>
      </c>
      <c r="E1938">
        <v>3000</v>
      </c>
    </row>
    <row r="1939" spans="1:5" x14ac:dyDescent="0.2">
      <c r="A1939" s="269">
        <v>45910.396180555559</v>
      </c>
      <c r="B1939" t="s">
        <v>1429</v>
      </c>
      <c r="C1939" t="s">
        <v>27</v>
      </c>
      <c r="D1939" t="s">
        <v>1668</v>
      </c>
      <c r="E1939">
        <v>0</v>
      </c>
    </row>
    <row r="1940" spans="1:5" x14ac:dyDescent="0.2">
      <c r="A1940" s="269">
        <v>45910.396284722221</v>
      </c>
      <c r="B1940" t="s">
        <v>1429</v>
      </c>
      <c r="C1940" t="s">
        <v>27</v>
      </c>
      <c r="D1940" t="s">
        <v>1669</v>
      </c>
      <c r="E1940">
        <v>1460</v>
      </c>
    </row>
    <row r="1941" spans="1:5" x14ac:dyDescent="0.2">
      <c r="A1941" s="269">
        <v>45910.39644675926</v>
      </c>
      <c r="B1941" t="s">
        <v>1429</v>
      </c>
      <c r="C1941" t="s">
        <v>27</v>
      </c>
      <c r="D1941" t="s">
        <v>1575</v>
      </c>
      <c r="E1941" t="s">
        <v>369</v>
      </c>
    </row>
    <row r="1942" spans="1:5" x14ac:dyDescent="0.2">
      <c r="A1942" s="269">
        <v>45910.396469907406</v>
      </c>
      <c r="B1942" t="s">
        <v>1429</v>
      </c>
      <c r="C1942" t="s">
        <v>27</v>
      </c>
      <c r="D1942" t="s">
        <v>1576</v>
      </c>
      <c r="E1942" t="s">
        <v>377</v>
      </c>
    </row>
    <row r="1943" spans="1:5" x14ac:dyDescent="0.2">
      <c r="A1943" s="269">
        <v>45910.396504629629</v>
      </c>
      <c r="B1943" t="s">
        <v>1429</v>
      </c>
      <c r="C1943" t="s">
        <v>27</v>
      </c>
      <c r="D1943" t="s">
        <v>1577</v>
      </c>
      <c r="E1943" t="s">
        <v>384</v>
      </c>
    </row>
    <row r="1944" spans="1:5" x14ac:dyDescent="0.2">
      <c r="A1944" s="269">
        <v>45910.396527777775</v>
      </c>
      <c r="B1944" t="s">
        <v>1429</v>
      </c>
      <c r="C1944" t="s">
        <v>27</v>
      </c>
      <c r="D1944" t="s">
        <v>1598</v>
      </c>
      <c r="E1944" t="s">
        <v>137</v>
      </c>
    </row>
    <row r="1945" spans="1:5" x14ac:dyDescent="0.2">
      <c r="A1945" s="269">
        <v>45910.396562499998</v>
      </c>
      <c r="B1945" t="s">
        <v>1429</v>
      </c>
      <c r="C1945" t="s">
        <v>27</v>
      </c>
      <c r="D1945" t="s">
        <v>1598</v>
      </c>
      <c r="E1945" t="s">
        <v>381</v>
      </c>
    </row>
    <row r="1946" spans="1:5" x14ac:dyDescent="0.2">
      <c r="A1946" s="269">
        <v>45910.396585648145</v>
      </c>
      <c r="B1946" t="s">
        <v>1429</v>
      </c>
      <c r="C1946" t="s">
        <v>27</v>
      </c>
      <c r="D1946" t="s">
        <v>1599</v>
      </c>
      <c r="E1946" t="s">
        <v>381</v>
      </c>
    </row>
    <row r="1947" spans="1:5" x14ac:dyDescent="0.2">
      <c r="A1947" s="269">
        <v>45910.396608796298</v>
      </c>
      <c r="B1947" t="s">
        <v>1429</v>
      </c>
      <c r="C1947" t="s">
        <v>27</v>
      </c>
      <c r="D1947" t="s">
        <v>1600</v>
      </c>
      <c r="E1947" t="s">
        <v>381</v>
      </c>
    </row>
    <row r="1948" spans="1:5" x14ac:dyDescent="0.2">
      <c r="A1948" s="269">
        <v>45910.39702546296</v>
      </c>
      <c r="B1948" t="s">
        <v>1429</v>
      </c>
      <c r="C1948" t="s">
        <v>27</v>
      </c>
      <c r="D1948" t="s">
        <v>1670</v>
      </c>
      <c r="E1948">
        <v>12</v>
      </c>
    </row>
    <row r="1949" spans="1:5" x14ac:dyDescent="0.2">
      <c r="A1949" s="269">
        <v>45910.397106481483</v>
      </c>
      <c r="B1949" t="s">
        <v>1429</v>
      </c>
      <c r="C1949" t="s">
        <v>27</v>
      </c>
      <c r="D1949" t="s">
        <v>1671</v>
      </c>
      <c r="E1949">
        <v>12</v>
      </c>
    </row>
    <row r="1950" spans="1:5" x14ac:dyDescent="0.2">
      <c r="A1950" s="269">
        <v>45910.397118055553</v>
      </c>
      <c r="B1950" t="s">
        <v>1429</v>
      </c>
      <c r="C1950" t="s">
        <v>27</v>
      </c>
      <c r="D1950" t="s">
        <v>1672</v>
      </c>
      <c r="E1950">
        <v>10</v>
      </c>
    </row>
    <row r="1951" spans="1:5" x14ac:dyDescent="0.2">
      <c r="A1951" s="269">
        <v>45910.397199074076</v>
      </c>
      <c r="B1951" t="s">
        <v>1429</v>
      </c>
      <c r="C1951" t="s">
        <v>27</v>
      </c>
      <c r="D1951" t="s">
        <v>1670</v>
      </c>
      <c r="E1951">
        <v>10</v>
      </c>
    </row>
    <row r="1952" spans="1:5" x14ac:dyDescent="0.2">
      <c r="A1952" s="269">
        <v>45910.397256944445</v>
      </c>
      <c r="B1952" t="s">
        <v>1429</v>
      </c>
      <c r="C1952" t="s">
        <v>27</v>
      </c>
      <c r="D1952" t="s">
        <v>1671</v>
      </c>
      <c r="E1952">
        <v>15</v>
      </c>
    </row>
    <row r="1953" spans="1:5" x14ac:dyDescent="0.2">
      <c r="A1953" s="269">
        <v>45910.397280092591</v>
      </c>
      <c r="B1953" t="s">
        <v>1429</v>
      </c>
      <c r="C1953" t="s">
        <v>27</v>
      </c>
      <c r="D1953" t="s">
        <v>1672</v>
      </c>
      <c r="E1953">
        <v>5</v>
      </c>
    </row>
    <row r="1954" spans="1:5" x14ac:dyDescent="0.2">
      <c r="A1954" s="269">
        <v>45910.397326388891</v>
      </c>
      <c r="B1954" t="s">
        <v>1429</v>
      </c>
      <c r="C1954" t="s">
        <v>27</v>
      </c>
      <c r="D1954" t="s">
        <v>1670</v>
      </c>
      <c r="E1954">
        <v>8</v>
      </c>
    </row>
    <row r="1955" spans="1:5" x14ac:dyDescent="0.2">
      <c r="A1955" s="269">
        <v>45910.397349537037</v>
      </c>
      <c r="B1955" t="s">
        <v>1429</v>
      </c>
      <c r="C1955" t="s">
        <v>27</v>
      </c>
      <c r="D1955" t="s">
        <v>1671</v>
      </c>
      <c r="E1955">
        <v>9</v>
      </c>
    </row>
    <row r="1956" spans="1:5" x14ac:dyDescent="0.2">
      <c r="A1956" s="269">
        <v>45910.397650462961</v>
      </c>
      <c r="B1956" t="s">
        <v>1429</v>
      </c>
      <c r="C1956" t="s">
        <v>27</v>
      </c>
      <c r="D1956" t="s">
        <v>1578</v>
      </c>
      <c r="E1956" t="s">
        <v>369</v>
      </c>
    </row>
    <row r="1957" spans="1:5" x14ac:dyDescent="0.2">
      <c r="A1957" s="269">
        <v>45910.397685185184</v>
      </c>
      <c r="B1957" t="s">
        <v>1429</v>
      </c>
      <c r="C1957" t="s">
        <v>27</v>
      </c>
      <c r="D1957" t="s">
        <v>1579</v>
      </c>
      <c r="E1957" t="s">
        <v>377</v>
      </c>
    </row>
    <row r="1958" spans="1:5" x14ac:dyDescent="0.2">
      <c r="A1958" s="269">
        <v>45910.39770833333</v>
      </c>
      <c r="B1958" t="s">
        <v>1429</v>
      </c>
      <c r="C1958" t="s">
        <v>27</v>
      </c>
      <c r="D1958" t="s">
        <v>1580</v>
      </c>
      <c r="E1958" t="s">
        <v>384</v>
      </c>
    </row>
    <row r="1959" spans="1:5" x14ac:dyDescent="0.2">
      <c r="A1959" s="269">
        <v>45910.39775462963</v>
      </c>
      <c r="B1959" t="s">
        <v>1429</v>
      </c>
      <c r="C1959" t="s">
        <v>27</v>
      </c>
      <c r="D1959" t="s">
        <v>1601</v>
      </c>
      <c r="E1959" t="s">
        <v>315</v>
      </c>
    </row>
    <row r="1960" spans="1:5" x14ac:dyDescent="0.2">
      <c r="A1960" s="269">
        <v>45910.397766203707</v>
      </c>
      <c r="B1960" t="s">
        <v>1429</v>
      </c>
      <c r="C1960" t="s">
        <v>27</v>
      </c>
      <c r="D1960" t="s">
        <v>1602</v>
      </c>
      <c r="E1960" t="s">
        <v>315</v>
      </c>
    </row>
    <row r="1961" spans="1:5" x14ac:dyDescent="0.2">
      <c r="A1961" s="269">
        <v>45910.397789351853</v>
      </c>
      <c r="B1961" t="s">
        <v>1429</v>
      </c>
      <c r="C1961" t="s">
        <v>27</v>
      </c>
      <c r="D1961" t="s">
        <v>1603</v>
      </c>
      <c r="E1961" t="s">
        <v>315</v>
      </c>
    </row>
    <row r="1962" spans="1:5" x14ac:dyDescent="0.2">
      <c r="A1962" s="269">
        <v>45910.398680555554</v>
      </c>
      <c r="B1962" t="s">
        <v>1429</v>
      </c>
      <c r="C1962" t="s">
        <v>27</v>
      </c>
      <c r="D1962" t="s">
        <v>1675</v>
      </c>
      <c r="E1962">
        <v>145.5</v>
      </c>
    </row>
    <row r="1963" spans="1:5" x14ac:dyDescent="0.2">
      <c r="A1963" s="269">
        <v>45910.399074074077</v>
      </c>
      <c r="B1963" t="s">
        <v>1429</v>
      </c>
      <c r="C1963" t="s">
        <v>27</v>
      </c>
      <c r="D1963" t="s">
        <v>1872</v>
      </c>
      <c r="E1963" t="s">
        <v>1869</v>
      </c>
    </row>
    <row r="1964" spans="1:5" x14ac:dyDescent="0.2">
      <c r="A1964" s="269">
        <v>45910.399467592593</v>
      </c>
      <c r="B1964" t="s">
        <v>1429</v>
      </c>
      <c r="C1964" t="s">
        <v>27</v>
      </c>
      <c r="D1964" t="s">
        <v>1872</v>
      </c>
      <c r="E1964" t="s">
        <v>1873</v>
      </c>
    </row>
    <row r="1965" spans="1:5" x14ac:dyDescent="0.2">
      <c r="A1965" s="269">
        <v>45910.399664351855</v>
      </c>
      <c r="B1965" t="s">
        <v>1429</v>
      </c>
      <c r="C1965" t="s">
        <v>27</v>
      </c>
      <c r="D1965" t="s">
        <v>1872</v>
      </c>
      <c r="E1965" t="s">
        <v>1874</v>
      </c>
    </row>
    <row r="1966" spans="1:5" x14ac:dyDescent="0.2">
      <c r="A1966" s="269">
        <v>45910.400312500002</v>
      </c>
      <c r="B1966" t="s">
        <v>1429</v>
      </c>
      <c r="C1966" t="s">
        <v>27</v>
      </c>
      <c r="D1966" t="s">
        <v>1677</v>
      </c>
      <c r="E1966">
        <v>9.1</v>
      </c>
    </row>
    <row r="1967" spans="1:5" x14ac:dyDescent="0.2">
      <c r="A1967" s="269">
        <v>45910.400358796294</v>
      </c>
      <c r="B1967" t="s">
        <v>1429</v>
      </c>
      <c r="C1967" t="s">
        <v>27</v>
      </c>
      <c r="D1967" t="s">
        <v>1875</v>
      </c>
      <c r="E1967" t="s">
        <v>1874</v>
      </c>
    </row>
    <row r="1968" spans="1:5" x14ac:dyDescent="0.2">
      <c r="A1968" s="269">
        <v>45910.400613425925</v>
      </c>
      <c r="B1968" t="s">
        <v>1429</v>
      </c>
      <c r="C1968" t="s">
        <v>27</v>
      </c>
      <c r="D1968" t="s">
        <v>1875</v>
      </c>
      <c r="E1968" t="s">
        <v>1876</v>
      </c>
    </row>
    <row r="1969" spans="1:5" x14ac:dyDescent="0.2">
      <c r="A1969" s="269">
        <v>45910.400891203702</v>
      </c>
      <c r="B1969" t="s">
        <v>1429</v>
      </c>
      <c r="C1969" t="s">
        <v>27</v>
      </c>
      <c r="D1969" t="s">
        <v>1676</v>
      </c>
      <c r="E1969">
        <v>10.7</v>
      </c>
    </row>
    <row r="1970" spans="1:5" x14ac:dyDescent="0.2">
      <c r="A1970" s="269">
        <v>45910.400937500002</v>
      </c>
      <c r="B1970" t="s">
        <v>1429</v>
      </c>
      <c r="C1970" t="s">
        <v>27</v>
      </c>
      <c r="D1970" t="s">
        <v>1877</v>
      </c>
      <c r="E1970" t="s">
        <v>1876</v>
      </c>
    </row>
    <row r="1971" spans="1:5" x14ac:dyDescent="0.2">
      <c r="A1971" s="269">
        <v>45910.401145833333</v>
      </c>
      <c r="B1971" t="s">
        <v>1429</v>
      </c>
      <c r="C1971" t="s">
        <v>27</v>
      </c>
      <c r="D1971" t="s">
        <v>1872</v>
      </c>
      <c r="E1971" t="s">
        <v>1878</v>
      </c>
    </row>
    <row r="1972" spans="1:5" x14ac:dyDescent="0.2">
      <c r="A1972" s="269">
        <v>45910.401261574072</v>
      </c>
      <c r="B1972" t="s">
        <v>1429</v>
      </c>
      <c r="C1972" t="s">
        <v>27</v>
      </c>
      <c r="D1972" t="s">
        <v>1875</v>
      </c>
      <c r="E1972" t="s">
        <v>1879</v>
      </c>
    </row>
    <row r="1973" spans="1:5" x14ac:dyDescent="0.2">
      <c r="A1973" s="269">
        <v>45910.401608796295</v>
      </c>
      <c r="B1973" t="s">
        <v>1429</v>
      </c>
      <c r="C1973" t="s">
        <v>27</v>
      </c>
      <c r="D1973" t="s">
        <v>1877</v>
      </c>
      <c r="E1973" t="s">
        <v>1880</v>
      </c>
    </row>
    <row r="1974" spans="1:5" x14ac:dyDescent="0.2">
      <c r="A1974" s="269">
        <v>45910.40185185185</v>
      </c>
      <c r="B1974" t="s">
        <v>1429</v>
      </c>
      <c r="C1974" t="s">
        <v>27</v>
      </c>
      <c r="D1974" t="s">
        <v>1510</v>
      </c>
      <c r="E1974" t="s">
        <v>1881</v>
      </c>
    </row>
    <row r="1975" spans="1:5" x14ac:dyDescent="0.2">
      <c r="A1975" s="269">
        <v>45910.402129629627</v>
      </c>
      <c r="B1975" t="s">
        <v>1429</v>
      </c>
      <c r="C1975" t="s">
        <v>27</v>
      </c>
      <c r="D1975" t="s">
        <v>1512</v>
      </c>
      <c r="E1975" t="s">
        <v>1882</v>
      </c>
    </row>
    <row r="1976" spans="1:5" x14ac:dyDescent="0.2">
      <c r="A1976" s="269">
        <v>45910.402592592596</v>
      </c>
      <c r="B1976" t="s">
        <v>1429</v>
      </c>
      <c r="C1976" t="s">
        <v>27</v>
      </c>
      <c r="D1976" t="s">
        <v>1679</v>
      </c>
      <c r="E1976" t="s">
        <v>388</v>
      </c>
    </row>
    <row r="1977" spans="1:5" x14ac:dyDescent="0.2">
      <c r="A1977" s="269">
        <v>45910.402662037035</v>
      </c>
      <c r="B1977" t="s">
        <v>1429</v>
      </c>
      <c r="C1977" t="s">
        <v>27</v>
      </c>
      <c r="D1977" t="s">
        <v>1883</v>
      </c>
      <c r="E1977" t="s">
        <v>40</v>
      </c>
    </row>
    <row r="1978" spans="1:5" x14ac:dyDescent="0.2">
      <c r="A1978" s="269">
        <v>45910.402708333335</v>
      </c>
      <c r="B1978" t="s">
        <v>1429</v>
      </c>
      <c r="C1978" t="s">
        <v>27</v>
      </c>
      <c r="D1978" t="s">
        <v>1884</v>
      </c>
      <c r="E1978" t="s">
        <v>395</v>
      </c>
    </row>
    <row r="1979" spans="1:5" x14ac:dyDescent="0.2">
      <c r="A1979" s="269">
        <v>45910.402777777781</v>
      </c>
      <c r="B1979" t="s">
        <v>1429</v>
      </c>
      <c r="C1979" t="s">
        <v>27</v>
      </c>
      <c r="D1979" t="s">
        <v>1681</v>
      </c>
      <c r="E1979" t="s">
        <v>316</v>
      </c>
    </row>
    <row r="1980" spans="1:5" x14ac:dyDescent="0.2">
      <c r="A1980" s="269">
        <v>45910.402800925927</v>
      </c>
      <c r="B1980" t="s">
        <v>1429</v>
      </c>
      <c r="C1980" t="s">
        <v>27</v>
      </c>
      <c r="D1980" t="s">
        <v>1803</v>
      </c>
      <c r="E1980" t="s">
        <v>316</v>
      </c>
    </row>
    <row r="1981" spans="1:5" x14ac:dyDescent="0.2">
      <c r="A1981" s="269">
        <v>45910.40283564815</v>
      </c>
      <c r="B1981" t="s">
        <v>1429</v>
      </c>
      <c r="C1981" t="s">
        <v>27</v>
      </c>
      <c r="D1981" t="s">
        <v>1804</v>
      </c>
      <c r="E1981" t="s">
        <v>316</v>
      </c>
    </row>
    <row r="1982" spans="1:5" x14ac:dyDescent="0.2">
      <c r="A1982" s="269">
        <v>45910.402974537035</v>
      </c>
      <c r="B1982" t="s">
        <v>1429</v>
      </c>
      <c r="C1982" t="s">
        <v>27</v>
      </c>
      <c r="D1982" t="s">
        <v>1682</v>
      </c>
      <c r="E1982">
        <v>12</v>
      </c>
    </row>
    <row r="1983" spans="1:5" x14ac:dyDescent="0.2">
      <c r="A1983" s="269">
        <v>45910.403020833335</v>
      </c>
      <c r="B1983" t="s">
        <v>1429</v>
      </c>
      <c r="C1983" t="s">
        <v>27</v>
      </c>
      <c r="D1983" t="s">
        <v>1821</v>
      </c>
      <c r="E1983">
        <v>8</v>
      </c>
    </row>
    <row r="1984" spans="1:5" x14ac:dyDescent="0.2">
      <c r="A1984" s="269">
        <v>45910.403055555558</v>
      </c>
      <c r="B1984" t="s">
        <v>1429</v>
      </c>
      <c r="C1984" t="s">
        <v>27</v>
      </c>
      <c r="D1984" t="s">
        <v>1822</v>
      </c>
      <c r="E1984">
        <v>12</v>
      </c>
    </row>
    <row r="1985" spans="1:5" x14ac:dyDescent="0.2">
      <c r="A1985" s="269">
        <v>45910.40315972222</v>
      </c>
      <c r="B1985" t="s">
        <v>1429</v>
      </c>
      <c r="C1985" t="s">
        <v>27</v>
      </c>
      <c r="D1985" t="s">
        <v>1822</v>
      </c>
      <c r="E1985">
        <v>10</v>
      </c>
    </row>
    <row r="1986" spans="1:5" x14ac:dyDescent="0.2">
      <c r="A1986" s="269">
        <v>45910.403333333335</v>
      </c>
      <c r="B1986" t="s">
        <v>1429</v>
      </c>
      <c r="C1986" t="s">
        <v>27</v>
      </c>
      <c r="D1986" t="s">
        <v>1885</v>
      </c>
      <c r="E1986" t="s">
        <v>388</v>
      </c>
    </row>
    <row r="1987" spans="1:5" x14ac:dyDescent="0.2">
      <c r="A1987" s="269">
        <v>45910.403368055559</v>
      </c>
      <c r="B1987" t="s">
        <v>1429</v>
      </c>
      <c r="C1987" t="s">
        <v>27</v>
      </c>
      <c r="D1987" t="s">
        <v>1775</v>
      </c>
      <c r="E1987" t="s">
        <v>40</v>
      </c>
    </row>
    <row r="1988" spans="1:5" x14ac:dyDescent="0.2">
      <c r="A1988" s="269">
        <v>45910.403402777774</v>
      </c>
      <c r="B1988" t="s">
        <v>1429</v>
      </c>
      <c r="C1988" t="s">
        <v>27</v>
      </c>
      <c r="D1988" t="s">
        <v>1776</v>
      </c>
      <c r="E1988" t="s">
        <v>395</v>
      </c>
    </row>
    <row r="1989" spans="1:5" x14ac:dyDescent="0.2">
      <c r="A1989" s="269">
        <v>45910.403460648151</v>
      </c>
      <c r="B1989" t="s">
        <v>1429</v>
      </c>
      <c r="C1989" t="s">
        <v>27</v>
      </c>
      <c r="D1989" t="s">
        <v>1805</v>
      </c>
      <c r="E1989" t="s">
        <v>365</v>
      </c>
    </row>
    <row r="1990" spans="1:5" x14ac:dyDescent="0.2">
      <c r="A1990" s="269">
        <v>45910.403495370374</v>
      </c>
      <c r="B1990" t="s">
        <v>1429</v>
      </c>
      <c r="C1990" t="s">
        <v>27</v>
      </c>
      <c r="D1990" t="s">
        <v>1806</v>
      </c>
      <c r="E1990" t="s">
        <v>365</v>
      </c>
    </row>
    <row r="1991" spans="1:5" x14ac:dyDescent="0.2">
      <c r="A1991" s="269">
        <v>45910.40351851852</v>
      </c>
      <c r="B1991" t="s">
        <v>1429</v>
      </c>
      <c r="C1991" t="s">
        <v>27</v>
      </c>
      <c r="D1991" t="s">
        <v>1807</v>
      </c>
      <c r="E1991" t="s">
        <v>365</v>
      </c>
    </row>
    <row r="1992" spans="1:5" x14ac:dyDescent="0.2">
      <c r="A1992" s="269">
        <v>45910.458449074074</v>
      </c>
      <c r="B1992" t="s">
        <v>1429</v>
      </c>
      <c r="C1992" t="s">
        <v>27</v>
      </c>
      <c r="D1992" t="s">
        <v>1823</v>
      </c>
      <c r="E1992">
        <v>3620</v>
      </c>
    </row>
    <row r="1993" spans="1:5" x14ac:dyDescent="0.2">
      <c r="A1993" s="269">
        <v>45910.458518518521</v>
      </c>
      <c r="B1993" t="s">
        <v>1429</v>
      </c>
      <c r="C1993" t="s">
        <v>27</v>
      </c>
      <c r="D1993" t="s">
        <v>1824</v>
      </c>
      <c r="E1993">
        <v>2800</v>
      </c>
    </row>
    <row r="1994" spans="1:5" x14ac:dyDescent="0.2">
      <c r="A1994" s="269">
        <v>45910.459039351852</v>
      </c>
      <c r="B1994" t="s">
        <v>1429</v>
      </c>
      <c r="C1994" t="s">
        <v>27</v>
      </c>
      <c r="D1994" t="s">
        <v>1825</v>
      </c>
      <c r="E1994">
        <v>3480</v>
      </c>
    </row>
    <row r="1995" spans="1:5" x14ac:dyDescent="0.2">
      <c r="A1995" s="269">
        <v>45910.459479166668</v>
      </c>
      <c r="B1995" t="s">
        <v>1429</v>
      </c>
      <c r="C1995" t="s">
        <v>27</v>
      </c>
      <c r="D1995" t="s">
        <v>1823</v>
      </c>
      <c r="E1995">
        <v>3120</v>
      </c>
    </row>
    <row r="1996" spans="1:5" x14ac:dyDescent="0.2">
      <c r="A1996" s="269">
        <v>45910.459803240738</v>
      </c>
      <c r="B1996" t="s">
        <v>1429</v>
      </c>
      <c r="C1996" t="s">
        <v>27</v>
      </c>
      <c r="D1996" t="s">
        <v>1777</v>
      </c>
      <c r="E1996" t="s">
        <v>388</v>
      </c>
    </row>
    <row r="1997" spans="1:5" x14ac:dyDescent="0.2">
      <c r="A1997" s="269">
        <v>45910.459837962961</v>
      </c>
      <c r="B1997" t="s">
        <v>1429</v>
      </c>
      <c r="C1997" t="s">
        <v>27</v>
      </c>
      <c r="D1997" t="s">
        <v>1886</v>
      </c>
      <c r="E1997" t="s">
        <v>40</v>
      </c>
    </row>
    <row r="1998" spans="1:5" x14ac:dyDescent="0.2">
      <c r="A1998" s="269">
        <v>45910.45988425926</v>
      </c>
      <c r="B1998" t="s">
        <v>1429</v>
      </c>
      <c r="C1998" t="s">
        <v>27</v>
      </c>
      <c r="D1998" t="s">
        <v>1887</v>
      </c>
      <c r="E1998" t="s">
        <v>395</v>
      </c>
    </row>
    <row r="1999" spans="1:5" x14ac:dyDescent="0.2">
      <c r="A1999" s="269">
        <v>45910.45994212963</v>
      </c>
      <c r="B1999" t="s">
        <v>1429</v>
      </c>
      <c r="C1999" t="s">
        <v>27</v>
      </c>
      <c r="D1999" t="s">
        <v>1808</v>
      </c>
      <c r="E1999" t="s">
        <v>381</v>
      </c>
    </row>
    <row r="2000" spans="1:5" x14ac:dyDescent="0.2">
      <c r="A2000" s="269">
        <v>45910.459965277776</v>
      </c>
      <c r="B2000" t="s">
        <v>1429</v>
      </c>
      <c r="C2000" t="s">
        <v>27</v>
      </c>
      <c r="D2000" t="s">
        <v>1809</v>
      </c>
      <c r="E2000" t="s">
        <v>381</v>
      </c>
    </row>
    <row r="2001" spans="1:5" x14ac:dyDescent="0.2">
      <c r="A2001" s="269">
        <v>45910.459988425922</v>
      </c>
      <c r="B2001" t="s">
        <v>1429</v>
      </c>
      <c r="C2001" t="s">
        <v>27</v>
      </c>
      <c r="D2001" t="s">
        <v>1810</v>
      </c>
      <c r="E2001" t="s">
        <v>381</v>
      </c>
    </row>
    <row r="2002" spans="1:5" x14ac:dyDescent="0.2">
      <c r="A2002" s="269">
        <v>45910.460243055553</v>
      </c>
      <c r="B2002" t="s">
        <v>1429</v>
      </c>
      <c r="C2002" t="s">
        <v>27</v>
      </c>
      <c r="D2002" t="s">
        <v>1826</v>
      </c>
      <c r="E2002">
        <v>10</v>
      </c>
    </row>
    <row r="2003" spans="1:5" x14ac:dyDescent="0.2">
      <c r="A2003" s="269">
        <v>45910.46025462963</v>
      </c>
      <c r="B2003" t="s">
        <v>1429</v>
      </c>
      <c r="C2003" t="s">
        <v>27</v>
      </c>
      <c r="D2003" t="s">
        <v>1827</v>
      </c>
      <c r="E2003">
        <v>10</v>
      </c>
    </row>
    <row r="2004" spans="1:5" x14ac:dyDescent="0.2">
      <c r="A2004" s="269">
        <v>45910.460277777776</v>
      </c>
      <c r="B2004" t="s">
        <v>1429</v>
      </c>
      <c r="C2004" t="s">
        <v>27</v>
      </c>
      <c r="D2004" t="s">
        <v>1828</v>
      </c>
      <c r="E2004">
        <v>5</v>
      </c>
    </row>
    <row r="2005" spans="1:5" x14ac:dyDescent="0.2">
      <c r="A2005" s="269">
        <v>45910.460335648146</v>
      </c>
      <c r="B2005" t="s">
        <v>1429</v>
      </c>
      <c r="C2005" t="s">
        <v>27</v>
      </c>
      <c r="D2005" t="s">
        <v>1826</v>
      </c>
      <c r="E2005">
        <v>7</v>
      </c>
    </row>
    <row r="2006" spans="1:5" x14ac:dyDescent="0.2">
      <c r="A2006" s="269">
        <v>45910.460381944446</v>
      </c>
      <c r="B2006" t="s">
        <v>1429</v>
      </c>
      <c r="C2006" t="s">
        <v>27</v>
      </c>
      <c r="D2006" t="s">
        <v>1826</v>
      </c>
      <c r="E2006">
        <v>8</v>
      </c>
    </row>
    <row r="2007" spans="1:5" x14ac:dyDescent="0.2">
      <c r="A2007" s="269">
        <v>45910.460416666669</v>
      </c>
      <c r="B2007" t="s">
        <v>1429</v>
      </c>
      <c r="C2007" t="s">
        <v>27</v>
      </c>
      <c r="D2007" t="s">
        <v>1827</v>
      </c>
      <c r="E2007">
        <v>9</v>
      </c>
    </row>
    <row r="2008" spans="1:5" x14ac:dyDescent="0.2">
      <c r="A2008" s="269">
        <v>45910.460462962961</v>
      </c>
      <c r="B2008" t="s">
        <v>1429</v>
      </c>
      <c r="C2008" t="s">
        <v>27</v>
      </c>
      <c r="D2008" t="s">
        <v>1828</v>
      </c>
      <c r="E2008">
        <v>8</v>
      </c>
    </row>
    <row r="2009" spans="1:5" x14ac:dyDescent="0.2">
      <c r="A2009" s="269">
        <v>45910.460717592592</v>
      </c>
      <c r="B2009" t="s">
        <v>1429</v>
      </c>
      <c r="C2009" t="s">
        <v>27</v>
      </c>
      <c r="D2009" t="s">
        <v>1888</v>
      </c>
      <c r="E2009" t="s">
        <v>388</v>
      </c>
    </row>
    <row r="2010" spans="1:5" x14ac:dyDescent="0.2">
      <c r="A2010" s="269">
        <v>45910.460752314815</v>
      </c>
      <c r="B2010" t="s">
        <v>1429</v>
      </c>
      <c r="C2010" t="s">
        <v>27</v>
      </c>
      <c r="D2010" t="s">
        <v>1889</v>
      </c>
      <c r="E2010" t="s">
        <v>40</v>
      </c>
    </row>
    <row r="2011" spans="1:5" x14ac:dyDescent="0.2">
      <c r="A2011" s="269">
        <v>45910.460810185185</v>
      </c>
      <c r="B2011" t="s">
        <v>1429</v>
      </c>
      <c r="C2011" t="s">
        <v>27</v>
      </c>
      <c r="D2011" t="s">
        <v>1890</v>
      </c>
      <c r="E2011" t="s">
        <v>395</v>
      </c>
    </row>
    <row r="2012" spans="1:5" x14ac:dyDescent="0.2">
      <c r="A2012" s="269">
        <v>45910.460879629631</v>
      </c>
      <c r="B2012" t="s">
        <v>1429</v>
      </c>
      <c r="C2012" t="s">
        <v>27</v>
      </c>
      <c r="D2012" t="s">
        <v>1811</v>
      </c>
      <c r="E2012" t="s">
        <v>315</v>
      </c>
    </row>
    <row r="2013" spans="1:5" x14ac:dyDescent="0.2">
      <c r="A2013" s="269">
        <v>45910.460914351854</v>
      </c>
      <c r="B2013" t="s">
        <v>1429</v>
      </c>
      <c r="C2013" t="s">
        <v>27</v>
      </c>
      <c r="D2013" t="s">
        <v>1812</v>
      </c>
      <c r="E2013" t="s">
        <v>315</v>
      </c>
    </row>
    <row r="2014" spans="1:5" x14ac:dyDescent="0.2">
      <c r="A2014" s="269">
        <v>45910.4609375</v>
      </c>
      <c r="B2014" t="s">
        <v>1429</v>
      </c>
      <c r="C2014" t="s">
        <v>27</v>
      </c>
      <c r="D2014" t="s">
        <v>1813</v>
      </c>
      <c r="E2014" t="s">
        <v>315</v>
      </c>
    </row>
    <row r="2015" spans="1:5" x14ac:dyDescent="0.2">
      <c r="A2015" s="269">
        <v>45910.461770833332</v>
      </c>
      <c r="B2015" t="s">
        <v>1429</v>
      </c>
      <c r="C2015" t="s">
        <v>27</v>
      </c>
      <c r="D2015" t="s">
        <v>1830</v>
      </c>
      <c r="E2015">
        <v>1.9</v>
      </c>
    </row>
    <row r="2016" spans="1:5" x14ac:dyDescent="0.2">
      <c r="A2016" s="269">
        <v>45910.461782407408</v>
      </c>
      <c r="B2016" t="s">
        <v>1429</v>
      </c>
      <c r="C2016" t="s">
        <v>27</v>
      </c>
      <c r="D2016" t="s">
        <v>1829</v>
      </c>
      <c r="E2016">
        <v>0</v>
      </c>
    </row>
    <row r="2017" spans="1:5" x14ac:dyDescent="0.2">
      <c r="A2017" s="269">
        <v>45910.461805555555</v>
      </c>
      <c r="B2017" t="s">
        <v>1429</v>
      </c>
      <c r="C2017" t="s">
        <v>27</v>
      </c>
      <c r="D2017" t="s">
        <v>1831</v>
      </c>
      <c r="E2017">
        <v>0</v>
      </c>
    </row>
    <row r="2018" spans="1:5" x14ac:dyDescent="0.2">
      <c r="A2018" s="269">
        <v>45910.462592592594</v>
      </c>
      <c r="B2018" t="s">
        <v>1429</v>
      </c>
      <c r="C2018" t="s">
        <v>27</v>
      </c>
      <c r="D2018" t="s">
        <v>1877</v>
      </c>
      <c r="E2018" t="s">
        <v>1880</v>
      </c>
    </row>
    <row r="2019" spans="1:5" x14ac:dyDescent="0.2">
      <c r="A2019" s="269">
        <v>45910.46261574074</v>
      </c>
      <c r="B2019" t="s">
        <v>1429</v>
      </c>
      <c r="C2019" t="s">
        <v>27</v>
      </c>
      <c r="D2019" t="s">
        <v>1891</v>
      </c>
      <c r="E2019" t="s">
        <v>1880</v>
      </c>
    </row>
    <row r="2020" spans="1:5" x14ac:dyDescent="0.2">
      <c r="A2020" s="269">
        <v>45910.462685185186</v>
      </c>
      <c r="B2020" t="s">
        <v>1429</v>
      </c>
      <c r="C2020" t="s">
        <v>27</v>
      </c>
      <c r="D2020" t="s">
        <v>1891</v>
      </c>
      <c r="E2020" t="s">
        <v>1892</v>
      </c>
    </row>
    <row r="2021" spans="1:5" x14ac:dyDescent="0.2">
      <c r="A2021" s="269">
        <v>45910.462800925925</v>
      </c>
      <c r="B2021" t="s">
        <v>1429</v>
      </c>
      <c r="C2021" t="s">
        <v>27</v>
      </c>
      <c r="D2021" t="s">
        <v>1857</v>
      </c>
      <c r="E2021" t="s">
        <v>398</v>
      </c>
    </row>
    <row r="2022" spans="1:5" x14ac:dyDescent="0.2">
      <c r="A2022" s="269">
        <v>45910.462858796294</v>
      </c>
      <c r="B2022" t="s">
        <v>1429</v>
      </c>
      <c r="C2022" t="s">
        <v>27</v>
      </c>
      <c r="D2022" t="s">
        <v>1893</v>
      </c>
      <c r="E2022" t="s">
        <v>402</v>
      </c>
    </row>
    <row r="2023" spans="1:5" x14ac:dyDescent="0.2">
      <c r="A2023" s="269">
        <v>45910.462916666664</v>
      </c>
      <c r="B2023" t="s">
        <v>1429</v>
      </c>
      <c r="C2023" t="s">
        <v>27</v>
      </c>
      <c r="D2023" t="s">
        <v>1894</v>
      </c>
      <c r="E2023" t="s">
        <v>405</v>
      </c>
    </row>
    <row r="2024" spans="1:5" x14ac:dyDescent="0.2">
      <c r="A2024" s="269">
        <v>45910.463738425926</v>
      </c>
      <c r="B2024" t="s">
        <v>1429</v>
      </c>
      <c r="C2024" t="s">
        <v>27</v>
      </c>
      <c r="D2024" t="s">
        <v>1814</v>
      </c>
    </row>
    <row r="2025" spans="1:5" x14ac:dyDescent="0.2">
      <c r="A2025" s="269">
        <v>45910.463750000003</v>
      </c>
      <c r="B2025" t="s">
        <v>1429</v>
      </c>
      <c r="C2025" t="s">
        <v>27</v>
      </c>
      <c r="D2025" t="s">
        <v>1815</v>
      </c>
    </row>
    <row r="2026" spans="1:5" x14ac:dyDescent="0.2">
      <c r="A2026" s="269">
        <v>45910.463773148149</v>
      </c>
      <c r="B2026" t="s">
        <v>1429</v>
      </c>
      <c r="C2026" t="s">
        <v>27</v>
      </c>
      <c r="D2026" t="s">
        <v>1814</v>
      </c>
      <c r="E2026" t="s">
        <v>316</v>
      </c>
    </row>
    <row r="2027" spans="1:5" x14ac:dyDescent="0.2">
      <c r="A2027" s="269">
        <v>45910.463796296295</v>
      </c>
      <c r="B2027" t="s">
        <v>1429</v>
      </c>
      <c r="C2027" t="s">
        <v>27</v>
      </c>
      <c r="D2027" t="s">
        <v>1815</v>
      </c>
      <c r="E2027" t="s">
        <v>316</v>
      </c>
    </row>
    <row r="2028" spans="1:5" x14ac:dyDescent="0.2">
      <c r="A2028" s="269">
        <v>45910.463819444441</v>
      </c>
      <c r="B2028" t="s">
        <v>1429</v>
      </c>
      <c r="C2028" t="s">
        <v>27</v>
      </c>
      <c r="D2028" t="s">
        <v>1816</v>
      </c>
      <c r="E2028" t="s">
        <v>316</v>
      </c>
    </row>
    <row r="2029" spans="1:5" x14ac:dyDescent="0.2">
      <c r="A2029" s="269">
        <v>45910.466134259259</v>
      </c>
      <c r="B2029" t="s">
        <v>1429</v>
      </c>
      <c r="C2029" t="s">
        <v>27</v>
      </c>
      <c r="D2029" t="s">
        <v>1832</v>
      </c>
      <c r="E2029">
        <v>9</v>
      </c>
    </row>
    <row r="2030" spans="1:5" x14ac:dyDescent="0.2">
      <c r="A2030" s="269">
        <v>45910.466157407405</v>
      </c>
      <c r="B2030" t="s">
        <v>1429</v>
      </c>
      <c r="C2030" t="s">
        <v>27</v>
      </c>
      <c r="D2030" t="s">
        <v>1833</v>
      </c>
      <c r="E2030">
        <v>7</v>
      </c>
    </row>
    <row r="2031" spans="1:5" x14ac:dyDescent="0.2">
      <c r="A2031" s="269">
        <v>45910.466168981482</v>
      </c>
      <c r="B2031" t="s">
        <v>1429</v>
      </c>
      <c r="C2031" t="s">
        <v>27</v>
      </c>
      <c r="D2031" t="s">
        <v>1834</v>
      </c>
      <c r="E2031">
        <v>8</v>
      </c>
    </row>
    <row r="2032" spans="1:5" x14ac:dyDescent="0.2">
      <c r="A2032" s="269">
        <v>45910.466331018521</v>
      </c>
      <c r="B2032" t="s">
        <v>1429</v>
      </c>
      <c r="C2032" t="s">
        <v>27</v>
      </c>
      <c r="D2032" t="s">
        <v>1833</v>
      </c>
      <c r="E2032">
        <v>8</v>
      </c>
    </row>
    <row r="2033" spans="1:5" x14ac:dyDescent="0.2">
      <c r="A2033" s="269">
        <v>45910.466400462959</v>
      </c>
      <c r="B2033" t="s">
        <v>1429</v>
      </c>
      <c r="C2033" t="s">
        <v>27</v>
      </c>
      <c r="D2033" t="s">
        <v>1895</v>
      </c>
      <c r="E2033" t="s">
        <v>311</v>
      </c>
    </row>
    <row r="2034" spans="1:5" x14ac:dyDescent="0.2">
      <c r="A2034" s="269">
        <v>45910.466423611113</v>
      </c>
      <c r="B2034" t="s">
        <v>1429</v>
      </c>
      <c r="C2034" t="s">
        <v>27</v>
      </c>
      <c r="D2034" t="s">
        <v>1896</v>
      </c>
      <c r="E2034" t="s">
        <v>311</v>
      </c>
    </row>
    <row r="2035" spans="1:5" x14ac:dyDescent="0.2">
      <c r="A2035" s="269">
        <v>45910.466666666667</v>
      </c>
      <c r="B2035" t="s">
        <v>1429</v>
      </c>
      <c r="C2035" t="s">
        <v>27</v>
      </c>
      <c r="D2035" t="s">
        <v>1897</v>
      </c>
      <c r="E2035" t="s">
        <v>398</v>
      </c>
    </row>
    <row r="2036" spans="1:5" x14ac:dyDescent="0.2">
      <c r="A2036" s="269">
        <v>45910.46670138889</v>
      </c>
      <c r="B2036" t="s">
        <v>1429</v>
      </c>
      <c r="C2036" t="s">
        <v>27</v>
      </c>
      <c r="D2036" t="s">
        <v>1898</v>
      </c>
      <c r="E2036" t="s">
        <v>402</v>
      </c>
    </row>
    <row r="2037" spans="1:5" x14ac:dyDescent="0.2">
      <c r="A2037" s="269">
        <v>45910.466736111113</v>
      </c>
      <c r="B2037" t="s">
        <v>1429</v>
      </c>
      <c r="C2037" t="s">
        <v>27</v>
      </c>
      <c r="D2037" t="s">
        <v>1899</v>
      </c>
      <c r="E2037" t="s">
        <v>405</v>
      </c>
    </row>
    <row r="2038" spans="1:5" x14ac:dyDescent="0.2">
      <c r="A2038" s="269">
        <v>45910.466840277775</v>
      </c>
      <c r="B2038" t="s">
        <v>1429</v>
      </c>
      <c r="C2038" t="s">
        <v>27</v>
      </c>
      <c r="D2038" t="s">
        <v>1817</v>
      </c>
      <c r="E2038" t="s">
        <v>365</v>
      </c>
    </row>
    <row r="2039" spans="1:5" x14ac:dyDescent="0.2">
      <c r="A2039" s="269">
        <v>45910.466863425929</v>
      </c>
      <c r="B2039" t="s">
        <v>1429</v>
      </c>
      <c r="C2039" t="s">
        <v>27</v>
      </c>
      <c r="D2039" t="s">
        <v>1818</v>
      </c>
      <c r="E2039" t="s">
        <v>365</v>
      </c>
    </row>
    <row r="2040" spans="1:5" x14ac:dyDescent="0.2">
      <c r="A2040" s="269">
        <v>45910.466886574075</v>
      </c>
      <c r="B2040" t="s">
        <v>1429</v>
      </c>
      <c r="C2040" t="s">
        <v>27</v>
      </c>
      <c r="D2040" t="s">
        <v>1819</v>
      </c>
      <c r="E2040" t="s">
        <v>365</v>
      </c>
    </row>
    <row r="2041" spans="1:5" x14ac:dyDescent="0.2">
      <c r="A2041" s="269">
        <v>45910.512592592589</v>
      </c>
      <c r="B2041" t="s">
        <v>1429</v>
      </c>
      <c r="C2041" t="s">
        <v>27</v>
      </c>
      <c r="D2041" t="s">
        <v>1835</v>
      </c>
      <c r="E2041">
        <v>1340</v>
      </c>
    </row>
    <row r="2042" spans="1:5" x14ac:dyDescent="0.2">
      <c r="A2042" s="269">
        <v>45910.512708333335</v>
      </c>
      <c r="B2042" t="s">
        <v>1429</v>
      </c>
      <c r="C2042" t="s">
        <v>27</v>
      </c>
      <c r="D2042" t="s">
        <v>1836</v>
      </c>
      <c r="E2042">
        <v>1540</v>
      </c>
    </row>
    <row r="2043" spans="1:5" x14ac:dyDescent="0.2">
      <c r="A2043" s="269">
        <v>45910.51284722222</v>
      </c>
      <c r="B2043" t="s">
        <v>1429</v>
      </c>
      <c r="C2043" t="s">
        <v>27</v>
      </c>
      <c r="D2043" t="s">
        <v>1837</v>
      </c>
      <c r="E2043">
        <v>2780</v>
      </c>
    </row>
    <row r="2044" spans="1:5" x14ac:dyDescent="0.2">
      <c r="A2044" s="269">
        <v>45910.513368055559</v>
      </c>
      <c r="B2044" t="s">
        <v>1429</v>
      </c>
      <c r="C2044" t="s">
        <v>27</v>
      </c>
      <c r="D2044" t="s">
        <v>1835</v>
      </c>
      <c r="E2044">
        <v>2340</v>
      </c>
    </row>
    <row r="2045" spans="1:5" x14ac:dyDescent="0.2">
      <c r="A2045" s="269">
        <v>45910.513506944444</v>
      </c>
      <c r="B2045" t="s">
        <v>1429</v>
      </c>
      <c r="C2045" t="s">
        <v>27</v>
      </c>
      <c r="D2045" t="s">
        <v>1900</v>
      </c>
      <c r="E2045" t="s">
        <v>311</v>
      </c>
    </row>
    <row r="2046" spans="1:5" x14ac:dyDescent="0.2">
      <c r="A2046" s="269">
        <v>45910.51353009259</v>
      </c>
      <c r="B2046" t="s">
        <v>1429</v>
      </c>
      <c r="C2046" t="s">
        <v>27</v>
      </c>
      <c r="D2046" t="s">
        <v>1901</v>
      </c>
      <c r="E2046" t="s">
        <v>311</v>
      </c>
    </row>
    <row r="2047" spans="1:5" x14ac:dyDescent="0.2">
      <c r="A2047" s="269">
        <v>45910.513553240744</v>
      </c>
      <c r="B2047" t="s">
        <v>1429</v>
      </c>
      <c r="C2047" t="s">
        <v>27</v>
      </c>
      <c r="D2047" t="s">
        <v>1902</v>
      </c>
      <c r="E2047" t="s">
        <v>311</v>
      </c>
    </row>
    <row r="2048" spans="1:5" x14ac:dyDescent="0.2">
      <c r="A2048" s="269">
        <v>45910.513715277775</v>
      </c>
      <c r="B2048" t="s">
        <v>1429</v>
      </c>
      <c r="C2048" t="s">
        <v>27</v>
      </c>
      <c r="D2048" t="s">
        <v>1903</v>
      </c>
      <c r="E2048" t="s">
        <v>398</v>
      </c>
    </row>
    <row r="2049" spans="1:5" x14ac:dyDescent="0.2">
      <c r="A2049" s="269">
        <v>45910.513738425929</v>
      </c>
      <c r="B2049" t="s">
        <v>1429</v>
      </c>
      <c r="C2049" t="s">
        <v>27</v>
      </c>
      <c r="D2049" t="s">
        <v>1903</v>
      </c>
      <c r="E2049" t="s">
        <v>402</v>
      </c>
    </row>
    <row r="2050" spans="1:5" x14ac:dyDescent="0.2">
      <c r="A2050" s="269">
        <v>45910.513761574075</v>
      </c>
      <c r="B2050" t="s">
        <v>1429</v>
      </c>
      <c r="C2050" t="s">
        <v>27</v>
      </c>
      <c r="D2050" t="s">
        <v>1903</v>
      </c>
      <c r="E2050" t="s">
        <v>398</v>
      </c>
    </row>
    <row r="2051" spans="1:5" x14ac:dyDescent="0.2">
      <c r="A2051" s="269">
        <v>45910.513819444444</v>
      </c>
      <c r="B2051" t="s">
        <v>1429</v>
      </c>
      <c r="C2051" t="s">
        <v>27</v>
      </c>
      <c r="D2051" t="s">
        <v>1841</v>
      </c>
      <c r="E2051" t="s">
        <v>402</v>
      </c>
    </row>
    <row r="2052" spans="1:5" x14ac:dyDescent="0.2">
      <c r="A2052" s="269">
        <v>45910.513831018521</v>
      </c>
      <c r="B2052" t="s">
        <v>1429</v>
      </c>
      <c r="C2052" t="s">
        <v>27</v>
      </c>
      <c r="D2052" t="s">
        <v>1841</v>
      </c>
      <c r="E2052" t="s">
        <v>377</v>
      </c>
    </row>
    <row r="2053" spans="1:5" x14ac:dyDescent="0.2">
      <c r="A2053" s="269">
        <v>45910.513854166667</v>
      </c>
      <c r="B2053" t="s">
        <v>1429</v>
      </c>
      <c r="C2053" t="s">
        <v>27</v>
      </c>
      <c r="D2053" t="s">
        <v>1841</v>
      </c>
      <c r="E2053" t="s">
        <v>402</v>
      </c>
    </row>
    <row r="2054" spans="1:5" x14ac:dyDescent="0.2">
      <c r="A2054" s="269">
        <v>45910.51390046296</v>
      </c>
      <c r="B2054" t="s">
        <v>1429</v>
      </c>
      <c r="C2054" t="s">
        <v>27</v>
      </c>
      <c r="D2054" t="s">
        <v>1792</v>
      </c>
      <c r="E2054" t="s">
        <v>405</v>
      </c>
    </row>
    <row r="2055" spans="1:5" x14ac:dyDescent="0.2">
      <c r="A2055" s="269">
        <v>45910.513993055552</v>
      </c>
      <c r="B2055" t="s">
        <v>1429</v>
      </c>
      <c r="C2055" t="s">
        <v>27</v>
      </c>
      <c r="D2055" t="s">
        <v>1820</v>
      </c>
    </row>
    <row r="2056" spans="1:5" x14ac:dyDescent="0.2">
      <c r="A2056" s="269">
        <v>45910.514027777775</v>
      </c>
      <c r="B2056" t="s">
        <v>1429</v>
      </c>
      <c r="C2056" t="s">
        <v>27</v>
      </c>
      <c r="D2056" t="s">
        <v>1820</v>
      </c>
      <c r="E2056" t="s">
        <v>381</v>
      </c>
    </row>
    <row r="2057" spans="1:5" x14ac:dyDescent="0.2">
      <c r="A2057" s="269">
        <v>45910.514050925929</v>
      </c>
      <c r="B2057" t="s">
        <v>1429</v>
      </c>
      <c r="C2057" t="s">
        <v>27</v>
      </c>
      <c r="D2057" t="s">
        <v>1842</v>
      </c>
      <c r="E2057" t="s">
        <v>381</v>
      </c>
    </row>
    <row r="2058" spans="1:5" x14ac:dyDescent="0.2">
      <c r="A2058" s="269">
        <v>45910.514074074075</v>
      </c>
      <c r="B2058" t="s">
        <v>1429</v>
      </c>
      <c r="C2058" t="s">
        <v>27</v>
      </c>
      <c r="D2058" t="s">
        <v>1842</v>
      </c>
      <c r="E2058" t="s">
        <v>381</v>
      </c>
    </row>
    <row r="2059" spans="1:5" x14ac:dyDescent="0.2">
      <c r="A2059" s="269">
        <v>45910.514108796298</v>
      </c>
      <c r="B2059" t="s">
        <v>1429</v>
      </c>
      <c r="C2059" t="s">
        <v>27</v>
      </c>
      <c r="D2059" t="s">
        <v>1794</v>
      </c>
      <c r="E2059" t="s">
        <v>381</v>
      </c>
    </row>
    <row r="2060" spans="1:5" x14ac:dyDescent="0.2">
      <c r="A2060" s="269">
        <v>45910.514317129629</v>
      </c>
      <c r="B2060" t="s">
        <v>1429</v>
      </c>
      <c r="C2060" t="s">
        <v>27</v>
      </c>
      <c r="D2060" t="s">
        <v>1838</v>
      </c>
      <c r="E2060">
        <v>912</v>
      </c>
    </row>
    <row r="2061" spans="1:5" x14ac:dyDescent="0.2">
      <c r="A2061" s="269">
        <v>45910.514363425929</v>
      </c>
      <c r="B2061" t="s">
        <v>1429</v>
      </c>
      <c r="C2061" t="s">
        <v>27</v>
      </c>
      <c r="D2061" t="s">
        <v>1838</v>
      </c>
      <c r="E2061">
        <v>9</v>
      </c>
    </row>
    <row r="2062" spans="1:5" x14ac:dyDescent="0.2">
      <c r="A2062" s="269">
        <v>45910.514386574076</v>
      </c>
      <c r="B2062" t="s">
        <v>1429</v>
      </c>
      <c r="C2062" t="s">
        <v>27</v>
      </c>
      <c r="D2062" t="s">
        <v>1843</v>
      </c>
      <c r="E2062">
        <v>11</v>
      </c>
    </row>
    <row r="2063" spans="1:5" x14ac:dyDescent="0.2">
      <c r="A2063" s="269">
        <v>45910.514467592591</v>
      </c>
      <c r="B2063" t="s">
        <v>1429</v>
      </c>
      <c r="C2063" t="s">
        <v>27</v>
      </c>
      <c r="D2063" t="s">
        <v>1795</v>
      </c>
      <c r="E2063">
        <v>5</v>
      </c>
    </row>
    <row r="2064" spans="1:5" x14ac:dyDescent="0.2">
      <c r="A2064" s="269">
        <v>45910.514537037037</v>
      </c>
      <c r="B2064" t="s">
        <v>1429</v>
      </c>
      <c r="C2064" t="s">
        <v>27</v>
      </c>
      <c r="D2064" t="s">
        <v>1843</v>
      </c>
      <c r="E2064">
        <v>5</v>
      </c>
    </row>
    <row r="2065" spans="1:5" x14ac:dyDescent="0.2">
      <c r="A2065" s="269">
        <v>45910.514560185184</v>
      </c>
      <c r="B2065" t="s">
        <v>1429</v>
      </c>
      <c r="C2065" t="s">
        <v>27</v>
      </c>
      <c r="D2065" t="s">
        <v>1843</v>
      </c>
      <c r="E2065">
        <v>6</v>
      </c>
    </row>
    <row r="2066" spans="1:5" x14ac:dyDescent="0.2">
      <c r="A2066" s="269">
        <v>45910.514722222222</v>
      </c>
      <c r="B2066" t="s">
        <v>1429</v>
      </c>
      <c r="C2066" t="s">
        <v>27</v>
      </c>
      <c r="D2066" t="s">
        <v>1904</v>
      </c>
      <c r="E2066" t="s">
        <v>398</v>
      </c>
    </row>
    <row r="2067" spans="1:5" x14ac:dyDescent="0.2">
      <c r="A2067" s="269">
        <v>45910.514768518522</v>
      </c>
      <c r="B2067" t="s">
        <v>1429</v>
      </c>
      <c r="C2067" t="s">
        <v>27</v>
      </c>
      <c r="D2067" t="s">
        <v>1905</v>
      </c>
      <c r="E2067" t="s">
        <v>402</v>
      </c>
    </row>
    <row r="2068" spans="1:5" x14ac:dyDescent="0.2">
      <c r="A2068" s="269">
        <v>45910.514803240738</v>
      </c>
      <c r="B2068" t="s">
        <v>1429</v>
      </c>
      <c r="C2068" t="s">
        <v>27</v>
      </c>
      <c r="D2068" t="s">
        <v>1906</v>
      </c>
      <c r="E2068" t="s">
        <v>405</v>
      </c>
    </row>
    <row r="2069" spans="1:5" x14ac:dyDescent="0.2">
      <c r="A2069" s="269">
        <v>45910.514837962961</v>
      </c>
      <c r="B2069" t="s">
        <v>1429</v>
      </c>
      <c r="C2069" t="s">
        <v>27</v>
      </c>
      <c r="D2069" t="s">
        <v>1907</v>
      </c>
      <c r="E2069" t="s">
        <v>315</v>
      </c>
    </row>
    <row r="2070" spans="1:5" x14ac:dyDescent="0.2">
      <c r="A2070" s="269">
        <v>45910.514861111114</v>
      </c>
      <c r="B2070" t="s">
        <v>1429</v>
      </c>
      <c r="C2070" t="s">
        <v>27</v>
      </c>
      <c r="D2070" t="s">
        <v>1908</v>
      </c>
      <c r="E2070" t="s">
        <v>315</v>
      </c>
    </row>
    <row r="2071" spans="1:5" x14ac:dyDescent="0.2">
      <c r="A2071" s="269">
        <v>45910.514884259261</v>
      </c>
      <c r="B2071" t="s">
        <v>1429</v>
      </c>
      <c r="C2071" t="s">
        <v>27</v>
      </c>
      <c r="D2071" t="s">
        <v>1909</v>
      </c>
      <c r="E2071" t="s">
        <v>315</v>
      </c>
    </row>
    <row r="2072" spans="1:5" x14ac:dyDescent="0.2">
      <c r="A2072" s="269">
        <v>45910.516759259262</v>
      </c>
      <c r="B2072" t="s">
        <v>1429</v>
      </c>
      <c r="C2072" t="s">
        <v>27</v>
      </c>
      <c r="D2072" t="s">
        <v>1910</v>
      </c>
    </row>
    <row r="2073" spans="1:5" x14ac:dyDescent="0.2">
      <c r="A2073" s="269">
        <v>45910.516782407409</v>
      </c>
      <c r="B2073" t="s">
        <v>1429</v>
      </c>
      <c r="C2073" t="s">
        <v>27</v>
      </c>
      <c r="D2073" t="s">
        <v>1910</v>
      </c>
      <c r="E2073">
        <v>0</v>
      </c>
    </row>
    <row r="2074" spans="1:5" x14ac:dyDescent="0.2">
      <c r="A2074" s="269">
        <v>45910.516817129632</v>
      </c>
      <c r="B2074" t="s">
        <v>1429</v>
      </c>
      <c r="C2074" t="s">
        <v>27</v>
      </c>
      <c r="D2074" t="s">
        <v>1911</v>
      </c>
      <c r="E2074">
        <v>46.6</v>
      </c>
    </row>
    <row r="2075" spans="1:5" x14ac:dyDescent="0.2">
      <c r="A2075" s="269">
        <v>45910.517106481479</v>
      </c>
      <c r="B2075" t="s">
        <v>1429</v>
      </c>
      <c r="C2075" t="s">
        <v>27</v>
      </c>
      <c r="D2075" t="s">
        <v>1912</v>
      </c>
    </row>
    <row r="2076" spans="1:5" x14ac:dyDescent="0.2">
      <c r="A2076" s="269">
        <v>45910.517141203702</v>
      </c>
      <c r="B2076" t="s">
        <v>1429</v>
      </c>
      <c r="C2076" t="s">
        <v>27</v>
      </c>
      <c r="D2076" t="s">
        <v>1912</v>
      </c>
      <c r="E2076" t="s">
        <v>1892</v>
      </c>
    </row>
    <row r="2077" spans="1:5" x14ac:dyDescent="0.2">
      <c r="A2077" s="269">
        <v>45910.517476851855</v>
      </c>
      <c r="B2077" t="s">
        <v>1429</v>
      </c>
      <c r="C2077" t="s">
        <v>27</v>
      </c>
      <c r="D2077" t="s">
        <v>1912</v>
      </c>
      <c r="E2077" t="s">
        <v>1913</v>
      </c>
    </row>
    <row r="2078" spans="1:5" x14ac:dyDescent="0.2">
      <c r="A2078" s="269">
        <v>45910.517546296294</v>
      </c>
      <c r="B2078" t="s">
        <v>1429</v>
      </c>
      <c r="C2078" t="s">
        <v>27</v>
      </c>
      <c r="D2078" t="s">
        <v>1914</v>
      </c>
    </row>
    <row r="2079" spans="1:5" x14ac:dyDescent="0.2">
      <c r="A2079" s="269">
        <v>45910.517824074072</v>
      </c>
      <c r="B2079" t="s">
        <v>1429</v>
      </c>
      <c r="C2079" t="s">
        <v>27</v>
      </c>
      <c r="D2079" t="s">
        <v>1912</v>
      </c>
      <c r="E2079" t="s">
        <v>1915</v>
      </c>
    </row>
    <row r="2080" spans="1:5" x14ac:dyDescent="0.2">
      <c r="A2080" s="269">
        <v>45910.518310185187</v>
      </c>
      <c r="B2080" t="s">
        <v>1429</v>
      </c>
      <c r="C2080" t="s">
        <v>27</v>
      </c>
      <c r="D2080" t="s">
        <v>1916</v>
      </c>
      <c r="E2080">
        <v>8.9499999999999993</v>
      </c>
    </row>
    <row r="2081" spans="1:5" x14ac:dyDescent="0.2">
      <c r="A2081" s="269">
        <v>45910.51840277778</v>
      </c>
      <c r="B2081" t="s">
        <v>1429</v>
      </c>
      <c r="C2081" t="s">
        <v>27</v>
      </c>
      <c r="D2081" t="s">
        <v>1917</v>
      </c>
      <c r="E2081" t="s">
        <v>1915</v>
      </c>
    </row>
    <row r="2082" spans="1:5" x14ac:dyDescent="0.2">
      <c r="A2082" s="269">
        <v>45910.518518518518</v>
      </c>
      <c r="B2082" t="s">
        <v>1429</v>
      </c>
      <c r="C2082" t="s">
        <v>27</v>
      </c>
      <c r="D2082" t="s">
        <v>1917</v>
      </c>
      <c r="E2082" t="s">
        <v>1918</v>
      </c>
    </row>
    <row r="2083" spans="1:5" x14ac:dyDescent="0.2">
      <c r="A2083" s="269">
        <v>45910.518657407411</v>
      </c>
      <c r="B2083" t="s">
        <v>1429</v>
      </c>
      <c r="C2083" t="s">
        <v>27</v>
      </c>
      <c r="D2083" t="s">
        <v>1917</v>
      </c>
      <c r="E2083" t="s">
        <v>1919</v>
      </c>
    </row>
    <row r="2084" spans="1:5" x14ac:dyDescent="0.2">
      <c r="A2084" s="269">
        <v>45910.519467592596</v>
      </c>
      <c r="B2084" t="s">
        <v>1429</v>
      </c>
      <c r="C2084" t="s">
        <v>27</v>
      </c>
      <c r="D2084" t="s">
        <v>1920</v>
      </c>
      <c r="E2084" t="s">
        <v>1859</v>
      </c>
    </row>
    <row r="2085" spans="1:5" x14ac:dyDescent="0.2">
      <c r="A2085" s="269">
        <v>45910.519479166665</v>
      </c>
      <c r="B2085" t="s">
        <v>1429</v>
      </c>
      <c r="C2085" t="s">
        <v>27</v>
      </c>
      <c r="D2085" t="s">
        <v>1921</v>
      </c>
      <c r="E2085" t="s">
        <v>1859</v>
      </c>
    </row>
    <row r="2086" spans="1:5" x14ac:dyDescent="0.2">
      <c r="A2086" s="269">
        <v>45910.519502314812</v>
      </c>
      <c r="B2086" t="s">
        <v>1429</v>
      </c>
      <c r="C2086" t="s">
        <v>27</v>
      </c>
      <c r="D2086" t="s">
        <v>1922</v>
      </c>
      <c r="E2086" t="s">
        <v>1859</v>
      </c>
    </row>
    <row r="2087" spans="1:5" x14ac:dyDescent="0.2">
      <c r="A2087" s="269">
        <v>45910.519560185188</v>
      </c>
      <c r="B2087" t="s">
        <v>1429</v>
      </c>
      <c r="C2087" t="s">
        <v>27</v>
      </c>
      <c r="D2087" t="s">
        <v>1923</v>
      </c>
      <c r="E2087" t="s">
        <v>1859</v>
      </c>
    </row>
    <row r="2088" spans="1:5" x14ac:dyDescent="0.2">
      <c r="A2088" s="269">
        <v>45910.519571759258</v>
      </c>
      <c r="B2088" t="s">
        <v>1429</v>
      </c>
      <c r="C2088" t="s">
        <v>27</v>
      </c>
      <c r="D2088" t="s">
        <v>1924</v>
      </c>
      <c r="E2088" t="s">
        <v>1859</v>
      </c>
    </row>
    <row r="2089" spans="1:5" x14ac:dyDescent="0.2">
      <c r="A2089" s="269">
        <v>45910.519583333335</v>
      </c>
      <c r="B2089" t="s">
        <v>1429</v>
      </c>
      <c r="C2089" t="s">
        <v>27</v>
      </c>
      <c r="D2089" t="s">
        <v>1925</v>
      </c>
      <c r="E2089" t="s">
        <v>1859</v>
      </c>
    </row>
    <row r="2090" spans="1:5" x14ac:dyDescent="0.2">
      <c r="A2090" s="269">
        <v>45910.519872685189</v>
      </c>
      <c r="B2090" t="s">
        <v>1429</v>
      </c>
      <c r="C2090" t="s">
        <v>27</v>
      </c>
      <c r="D2090" t="s">
        <v>1926</v>
      </c>
      <c r="E2090" t="s">
        <v>1861</v>
      </c>
    </row>
    <row r="2091" spans="1:5" x14ac:dyDescent="0.2">
      <c r="A2091" s="269">
        <v>45910.519884259258</v>
      </c>
      <c r="B2091" t="s">
        <v>1429</v>
      </c>
      <c r="C2091" t="s">
        <v>27</v>
      </c>
      <c r="D2091" t="s">
        <v>1927</v>
      </c>
      <c r="E2091" t="s">
        <v>1861</v>
      </c>
    </row>
    <row r="2092" spans="1:5" x14ac:dyDescent="0.2">
      <c r="A2092" s="269">
        <v>45910.519907407404</v>
      </c>
      <c r="B2092" t="s">
        <v>1429</v>
      </c>
      <c r="C2092" t="s">
        <v>27</v>
      </c>
      <c r="D2092" t="s">
        <v>1928</v>
      </c>
      <c r="E2092" t="s">
        <v>1861</v>
      </c>
    </row>
    <row r="2093" spans="1:5" x14ac:dyDescent="0.2">
      <c r="A2093" s="269">
        <v>45910.52</v>
      </c>
      <c r="B2093" t="s">
        <v>1429</v>
      </c>
      <c r="C2093" t="s">
        <v>27</v>
      </c>
      <c r="D2093" t="s">
        <v>1927</v>
      </c>
    </row>
    <row r="2094" spans="1:5" x14ac:dyDescent="0.2">
      <c r="A2094" s="269">
        <v>45910.520370370374</v>
      </c>
      <c r="B2094" t="s">
        <v>1429</v>
      </c>
      <c r="C2094" t="s">
        <v>27</v>
      </c>
      <c r="D2094" t="s">
        <v>1927</v>
      </c>
      <c r="E2094" t="s">
        <v>1929</v>
      </c>
    </row>
    <row r="2095" spans="1:5" x14ac:dyDescent="0.2">
      <c r="A2095" s="269">
        <v>45910.520509259259</v>
      </c>
      <c r="B2095" t="s">
        <v>1429</v>
      </c>
      <c r="C2095" t="s">
        <v>27</v>
      </c>
      <c r="D2095" t="s">
        <v>1930</v>
      </c>
      <c r="E2095" t="s">
        <v>1862</v>
      </c>
    </row>
    <row r="2096" spans="1:5" x14ac:dyDescent="0.2">
      <c r="A2096" s="269">
        <v>45910.520520833335</v>
      </c>
      <c r="B2096" t="s">
        <v>1429</v>
      </c>
      <c r="C2096" t="s">
        <v>27</v>
      </c>
      <c r="D2096" t="s">
        <v>1931</v>
      </c>
      <c r="E2096" t="s">
        <v>1862</v>
      </c>
    </row>
    <row r="2097" spans="1:5" x14ac:dyDescent="0.2">
      <c r="A2097" s="269">
        <v>45910.520532407405</v>
      </c>
      <c r="B2097" t="s">
        <v>1429</v>
      </c>
      <c r="C2097" t="s">
        <v>27</v>
      </c>
      <c r="D2097" t="s">
        <v>1932</v>
      </c>
      <c r="E2097" t="s">
        <v>1862</v>
      </c>
    </row>
    <row r="2098" spans="1:5" x14ac:dyDescent="0.2">
      <c r="A2098" s="269">
        <v>45910.520555555559</v>
      </c>
      <c r="B2098" t="s">
        <v>1429</v>
      </c>
      <c r="C2098" t="s">
        <v>27</v>
      </c>
      <c r="D2098" t="s">
        <v>1933</v>
      </c>
      <c r="E2098" t="s">
        <v>1862</v>
      </c>
    </row>
    <row r="2099" spans="1:5" x14ac:dyDescent="0.2">
      <c r="A2099" s="269">
        <v>45910.520567129628</v>
      </c>
      <c r="B2099" t="s">
        <v>1429</v>
      </c>
      <c r="C2099" t="s">
        <v>27</v>
      </c>
      <c r="D2099" t="s">
        <v>1934</v>
      </c>
      <c r="E2099" t="s">
        <v>1862</v>
      </c>
    </row>
    <row r="2100" spans="1:5" x14ac:dyDescent="0.2">
      <c r="A2100" s="269">
        <v>45910.520578703705</v>
      </c>
      <c r="B2100" t="s">
        <v>1429</v>
      </c>
      <c r="C2100" t="s">
        <v>27</v>
      </c>
      <c r="D2100" t="s">
        <v>1935</v>
      </c>
      <c r="E2100" t="s">
        <v>1862</v>
      </c>
    </row>
    <row r="2101" spans="1:5" x14ac:dyDescent="0.2">
      <c r="A2101" s="269">
        <v>45910.520624999997</v>
      </c>
      <c r="B2101" t="s">
        <v>1429</v>
      </c>
      <c r="C2101" t="s">
        <v>27</v>
      </c>
      <c r="D2101" t="s">
        <v>1936</v>
      </c>
      <c r="E2101" t="s">
        <v>1862</v>
      </c>
    </row>
    <row r="2102" spans="1:5" x14ac:dyDescent="0.2">
      <c r="A2102" s="269">
        <v>45910.520636574074</v>
      </c>
      <c r="B2102" t="s">
        <v>1429</v>
      </c>
      <c r="C2102" t="s">
        <v>27</v>
      </c>
      <c r="D2102" t="s">
        <v>1937</v>
      </c>
      <c r="E2102" t="s">
        <v>1862</v>
      </c>
    </row>
    <row r="2103" spans="1:5" x14ac:dyDescent="0.2">
      <c r="A2103" s="269">
        <v>45910.520636574074</v>
      </c>
      <c r="B2103" t="s">
        <v>1429</v>
      </c>
      <c r="C2103" t="s">
        <v>27</v>
      </c>
      <c r="D2103" t="s">
        <v>1938</v>
      </c>
      <c r="E2103" t="s">
        <v>1862</v>
      </c>
    </row>
    <row r="2104" spans="1:5" x14ac:dyDescent="0.2">
      <c r="A2104" s="269">
        <v>45910.520798611113</v>
      </c>
      <c r="B2104" t="s">
        <v>1429</v>
      </c>
      <c r="C2104" t="s">
        <v>27</v>
      </c>
      <c r="D2104" t="s">
        <v>1939</v>
      </c>
      <c r="E2104" t="s">
        <v>1861</v>
      </c>
    </row>
    <row r="2105" spans="1:5" x14ac:dyDescent="0.2">
      <c r="A2105" s="269">
        <v>45910.520810185182</v>
      </c>
      <c r="B2105" t="s">
        <v>1429</v>
      </c>
      <c r="C2105" t="s">
        <v>27</v>
      </c>
      <c r="D2105" t="s">
        <v>1940</v>
      </c>
      <c r="E2105" t="s">
        <v>1861</v>
      </c>
    </row>
    <row r="2106" spans="1:5" x14ac:dyDescent="0.2">
      <c r="A2106" s="269">
        <v>45910.520810185182</v>
      </c>
      <c r="B2106" t="s">
        <v>1429</v>
      </c>
      <c r="C2106" t="s">
        <v>27</v>
      </c>
      <c r="D2106" t="s">
        <v>1941</v>
      </c>
      <c r="E2106" t="s">
        <v>1861</v>
      </c>
    </row>
    <row r="2107" spans="1:5" x14ac:dyDescent="0.2">
      <c r="A2107" s="269">
        <v>45910.521145833336</v>
      </c>
      <c r="B2107" t="s">
        <v>1429</v>
      </c>
      <c r="C2107" t="s">
        <v>27</v>
      </c>
      <c r="D2107" t="s">
        <v>1943</v>
      </c>
      <c r="E2107" t="s">
        <v>1942</v>
      </c>
    </row>
    <row r="2108" spans="1:5" x14ac:dyDescent="0.2">
      <c r="A2108" s="269">
        <v>45910.521192129629</v>
      </c>
      <c r="B2108" t="s">
        <v>1429</v>
      </c>
      <c r="C2108" t="s">
        <v>27</v>
      </c>
      <c r="D2108" t="s">
        <v>1944</v>
      </c>
      <c r="E2108" t="s">
        <v>1942</v>
      </c>
    </row>
    <row r="2109" spans="1:5" x14ac:dyDescent="0.2">
      <c r="A2109" s="269">
        <v>45910.521296296298</v>
      </c>
      <c r="B2109" t="s">
        <v>1429</v>
      </c>
      <c r="C2109" t="s">
        <v>27</v>
      </c>
      <c r="D2109" t="s">
        <v>1945</v>
      </c>
      <c r="E2109" t="s">
        <v>1861</v>
      </c>
    </row>
    <row r="2110" spans="1:5" x14ac:dyDescent="0.2">
      <c r="A2110" s="269">
        <v>45910.521296296298</v>
      </c>
      <c r="B2110" t="s">
        <v>1429</v>
      </c>
      <c r="C2110" t="s">
        <v>27</v>
      </c>
      <c r="D2110" t="s">
        <v>1946</v>
      </c>
      <c r="E2110" t="s">
        <v>1861</v>
      </c>
    </row>
    <row r="2111" spans="1:5" x14ac:dyDescent="0.2">
      <c r="A2111" s="269">
        <v>45910.521307870367</v>
      </c>
      <c r="B2111" t="s">
        <v>1429</v>
      </c>
      <c r="C2111" t="s">
        <v>27</v>
      </c>
      <c r="D2111" t="s">
        <v>1947</v>
      </c>
      <c r="E2111" t="s">
        <v>1861</v>
      </c>
    </row>
    <row r="2112" spans="1:5" x14ac:dyDescent="0.2">
      <c r="A2112" s="269">
        <v>45910.521365740744</v>
      </c>
      <c r="B2112" t="s">
        <v>1429</v>
      </c>
      <c r="C2112" t="s">
        <v>27</v>
      </c>
      <c r="D2112" t="s">
        <v>1948</v>
      </c>
      <c r="E2112" t="s">
        <v>1942</v>
      </c>
    </row>
    <row r="2113" spans="1:5" x14ac:dyDescent="0.2">
      <c r="A2113" s="269">
        <v>45910.521666666667</v>
      </c>
      <c r="B2113" t="s">
        <v>1429</v>
      </c>
      <c r="C2113" t="s">
        <v>27</v>
      </c>
      <c r="D2113" t="s">
        <v>1912</v>
      </c>
      <c r="E2113" t="s">
        <v>1949</v>
      </c>
    </row>
    <row r="2114" spans="1:5" x14ac:dyDescent="0.2">
      <c r="A2114" s="269">
        <v>45910.521736111114</v>
      </c>
      <c r="B2114" t="s">
        <v>1429</v>
      </c>
      <c r="C2114" t="s">
        <v>27</v>
      </c>
      <c r="D2114" t="s">
        <v>1917</v>
      </c>
      <c r="E2114" t="s">
        <v>1950</v>
      </c>
    </row>
    <row r="2115" spans="1:5" x14ac:dyDescent="0.2">
      <c r="A2115" s="269">
        <v>45910.521805555552</v>
      </c>
      <c r="B2115" t="s">
        <v>1429</v>
      </c>
      <c r="C2115" t="s">
        <v>27</v>
      </c>
      <c r="D2115" t="s">
        <v>1839</v>
      </c>
      <c r="E2115" t="s">
        <v>311</v>
      </c>
    </row>
    <row r="2116" spans="1:5" x14ac:dyDescent="0.2">
      <c r="A2116" s="269">
        <v>45910.521840277775</v>
      </c>
      <c r="B2116" t="s">
        <v>1429</v>
      </c>
      <c r="C2116" t="s">
        <v>27</v>
      </c>
      <c r="D2116" t="s">
        <v>1840</v>
      </c>
      <c r="E2116" t="s">
        <v>311</v>
      </c>
    </row>
    <row r="2117" spans="1:5" x14ac:dyDescent="0.2">
      <c r="A2117" s="269">
        <v>45910.521979166668</v>
      </c>
      <c r="B2117" t="s">
        <v>1429</v>
      </c>
      <c r="C2117" t="s">
        <v>27</v>
      </c>
      <c r="D2117" t="s">
        <v>1607</v>
      </c>
    </row>
    <row r="2118" spans="1:5" x14ac:dyDescent="0.2">
      <c r="A2118" s="269">
        <v>45910.522048611114</v>
      </c>
      <c r="B2118" t="s">
        <v>1429</v>
      </c>
      <c r="C2118" t="s">
        <v>27</v>
      </c>
      <c r="D2118" t="s">
        <v>1951</v>
      </c>
    </row>
    <row r="2119" spans="1:5" x14ac:dyDescent="0.2">
      <c r="A2119" s="269">
        <v>45910.522129629629</v>
      </c>
      <c r="B2119" t="s">
        <v>1429</v>
      </c>
      <c r="C2119" t="s">
        <v>27</v>
      </c>
      <c r="D2119" t="s">
        <v>1951</v>
      </c>
      <c r="E2119" t="s">
        <v>343</v>
      </c>
    </row>
    <row r="2120" spans="1:5" x14ac:dyDescent="0.2">
      <c r="A2120" s="269">
        <v>45910.522152777776</v>
      </c>
      <c r="B2120" t="s">
        <v>1429</v>
      </c>
      <c r="C2120" t="s">
        <v>27</v>
      </c>
      <c r="D2120" t="s">
        <v>1951</v>
      </c>
      <c r="E2120" t="s">
        <v>311</v>
      </c>
    </row>
    <row r="2121" spans="1:5" x14ac:dyDescent="0.2">
      <c r="A2121" s="269">
        <v>45910.522175925929</v>
      </c>
      <c r="B2121" t="s">
        <v>1429</v>
      </c>
      <c r="C2121" t="s">
        <v>27</v>
      </c>
      <c r="D2121" t="s">
        <v>1952</v>
      </c>
    </row>
    <row r="2122" spans="1:5" x14ac:dyDescent="0.2">
      <c r="A2122" s="269">
        <v>45910.522222222222</v>
      </c>
      <c r="B2122" t="s">
        <v>1429</v>
      </c>
      <c r="C2122" t="s">
        <v>27</v>
      </c>
      <c r="D2122" t="s">
        <v>1796</v>
      </c>
      <c r="E2122" t="s">
        <v>311</v>
      </c>
    </row>
    <row r="2123" spans="1:5" x14ac:dyDescent="0.2">
      <c r="A2123" s="269">
        <v>45910.522256944445</v>
      </c>
      <c r="B2123" t="s">
        <v>1429</v>
      </c>
      <c r="C2123" t="s">
        <v>27</v>
      </c>
      <c r="D2123" t="s">
        <v>1953</v>
      </c>
      <c r="E2123" t="s">
        <v>311</v>
      </c>
    </row>
    <row r="2124" spans="1:5" x14ac:dyDescent="0.2">
      <c r="A2124" s="269">
        <v>45910.522280092591</v>
      </c>
      <c r="B2124" t="s">
        <v>1429</v>
      </c>
      <c r="C2124" t="s">
        <v>27</v>
      </c>
      <c r="D2124" t="s">
        <v>1954</v>
      </c>
      <c r="E2124" t="s">
        <v>311</v>
      </c>
    </row>
    <row r="2125" spans="1:5" x14ac:dyDescent="0.2">
      <c r="A2125" s="269">
        <v>45910.522812499999</v>
      </c>
      <c r="B2125" t="s">
        <v>1429</v>
      </c>
      <c r="C2125" t="s">
        <v>27</v>
      </c>
      <c r="D2125" t="s">
        <v>1955</v>
      </c>
      <c r="E2125" t="s">
        <v>336</v>
      </c>
    </row>
    <row r="2126" spans="1:5" x14ac:dyDescent="0.2">
      <c r="A2126" s="269">
        <v>45910.522835648146</v>
      </c>
      <c r="B2126" t="s">
        <v>1429</v>
      </c>
      <c r="C2126" t="s">
        <v>27</v>
      </c>
      <c r="D2126" t="s">
        <v>1956</v>
      </c>
      <c r="E2126" t="s">
        <v>87</v>
      </c>
    </row>
    <row r="2127" spans="1:5" x14ac:dyDescent="0.2">
      <c r="A2127" s="269">
        <v>45910.522858796299</v>
      </c>
      <c r="B2127" t="s">
        <v>1429</v>
      </c>
      <c r="C2127" t="s">
        <v>27</v>
      </c>
      <c r="D2127" t="s">
        <v>1957</v>
      </c>
      <c r="E2127" t="s">
        <v>360</v>
      </c>
    </row>
    <row r="2128" spans="1:5" x14ac:dyDescent="0.2">
      <c r="A2128" s="269">
        <v>45910.522893518515</v>
      </c>
      <c r="B2128" t="s">
        <v>1429</v>
      </c>
      <c r="C2128" t="s">
        <v>27</v>
      </c>
      <c r="D2128" t="s">
        <v>1958</v>
      </c>
      <c r="E2128" t="s">
        <v>369</v>
      </c>
    </row>
    <row r="2129" spans="1:5" x14ac:dyDescent="0.2">
      <c r="A2129" s="269">
        <v>45910.522916666669</v>
      </c>
      <c r="B2129" t="s">
        <v>1429</v>
      </c>
      <c r="C2129" t="s">
        <v>27</v>
      </c>
      <c r="D2129" t="s">
        <v>1959</v>
      </c>
      <c r="E2129" t="s">
        <v>377</v>
      </c>
    </row>
    <row r="2130" spans="1:5" x14ac:dyDescent="0.2">
      <c r="A2130" s="269">
        <v>45910.522951388892</v>
      </c>
      <c r="B2130" t="s">
        <v>1429</v>
      </c>
      <c r="C2130" t="s">
        <v>27</v>
      </c>
      <c r="D2130" t="s">
        <v>1960</v>
      </c>
      <c r="E2130" t="s">
        <v>384</v>
      </c>
    </row>
    <row r="2131" spans="1:5" x14ac:dyDescent="0.2">
      <c r="A2131" s="269">
        <v>45910.522974537038</v>
      </c>
      <c r="B2131" t="s">
        <v>1429</v>
      </c>
      <c r="C2131" t="s">
        <v>27</v>
      </c>
      <c r="D2131" t="s">
        <v>1961</v>
      </c>
      <c r="E2131" t="s">
        <v>388</v>
      </c>
    </row>
    <row r="2132" spans="1:5" x14ac:dyDescent="0.2">
      <c r="A2132" s="269">
        <v>45910.523009259261</v>
      </c>
      <c r="B2132" t="s">
        <v>1429</v>
      </c>
      <c r="C2132" t="s">
        <v>27</v>
      </c>
      <c r="D2132" t="s">
        <v>1962</v>
      </c>
      <c r="E2132" t="s">
        <v>40</v>
      </c>
    </row>
    <row r="2133" spans="1:5" x14ac:dyDescent="0.2">
      <c r="A2133" s="269">
        <v>45910.52306712963</v>
      </c>
      <c r="B2133" t="s">
        <v>1429</v>
      </c>
      <c r="C2133" t="s">
        <v>27</v>
      </c>
      <c r="D2133" t="s">
        <v>1963</v>
      </c>
      <c r="E2133" t="s">
        <v>395</v>
      </c>
    </row>
    <row r="2134" spans="1:5" x14ac:dyDescent="0.2">
      <c r="A2134" s="269">
        <v>45910.523113425923</v>
      </c>
      <c r="B2134" t="s">
        <v>1429</v>
      </c>
      <c r="C2134" t="s">
        <v>27</v>
      </c>
      <c r="D2134" t="s">
        <v>1964</v>
      </c>
      <c r="E2134" t="s">
        <v>398</v>
      </c>
    </row>
    <row r="2135" spans="1:5" x14ac:dyDescent="0.2">
      <c r="A2135" s="269">
        <v>45910.5231712963</v>
      </c>
      <c r="B2135" t="s">
        <v>1429</v>
      </c>
      <c r="C2135" t="s">
        <v>27</v>
      </c>
      <c r="D2135" t="s">
        <v>1965</v>
      </c>
      <c r="E2135" t="s">
        <v>402</v>
      </c>
    </row>
    <row r="2136" spans="1:5" x14ac:dyDescent="0.2">
      <c r="A2136" s="269">
        <v>45910.523229166669</v>
      </c>
      <c r="B2136" t="s">
        <v>1429</v>
      </c>
      <c r="C2136" t="s">
        <v>27</v>
      </c>
      <c r="D2136" t="s">
        <v>1966</v>
      </c>
      <c r="E2136" t="s">
        <v>405</v>
      </c>
    </row>
    <row r="2137" spans="1:5" x14ac:dyDescent="0.2">
      <c r="A2137" s="269">
        <v>45910.523298611108</v>
      </c>
      <c r="B2137" t="s">
        <v>1429</v>
      </c>
      <c r="C2137" t="s">
        <v>27</v>
      </c>
      <c r="D2137" t="s">
        <v>1967</v>
      </c>
      <c r="E2137" t="s">
        <v>137</v>
      </c>
    </row>
    <row r="2138" spans="1:5" x14ac:dyDescent="0.2">
      <c r="A2138" s="269">
        <v>45910.523321759261</v>
      </c>
      <c r="B2138" t="s">
        <v>1429</v>
      </c>
      <c r="C2138" t="s">
        <v>27</v>
      </c>
      <c r="D2138" t="s">
        <v>1968</v>
      </c>
      <c r="E2138" t="s">
        <v>137</v>
      </c>
    </row>
    <row r="2139" spans="1:5" x14ac:dyDescent="0.2">
      <c r="A2139" s="269">
        <v>45910.523344907408</v>
      </c>
      <c r="B2139" t="s">
        <v>1429</v>
      </c>
      <c r="C2139" t="s">
        <v>27</v>
      </c>
      <c r="D2139" t="s">
        <v>1969</v>
      </c>
      <c r="E2139" t="s">
        <v>137</v>
      </c>
    </row>
    <row r="2140" spans="1:5" x14ac:dyDescent="0.2">
      <c r="A2140" s="269">
        <v>45910.523368055554</v>
      </c>
      <c r="B2140" t="s">
        <v>1429</v>
      </c>
      <c r="C2140" t="s">
        <v>27</v>
      </c>
      <c r="D2140" t="s">
        <v>1970</v>
      </c>
      <c r="E2140" t="s">
        <v>137</v>
      </c>
    </row>
    <row r="2141" spans="1:5" x14ac:dyDescent="0.2">
      <c r="A2141" s="269">
        <v>45910.523402777777</v>
      </c>
      <c r="B2141" t="s">
        <v>1429</v>
      </c>
      <c r="C2141" t="s">
        <v>27</v>
      </c>
      <c r="D2141" t="s">
        <v>1971</v>
      </c>
      <c r="E2141" t="s">
        <v>137</v>
      </c>
    </row>
    <row r="2142" spans="1:5" x14ac:dyDescent="0.2">
      <c r="A2142" s="269">
        <v>45910.523425925923</v>
      </c>
      <c r="B2142" t="s">
        <v>1429</v>
      </c>
      <c r="C2142" t="s">
        <v>27</v>
      </c>
      <c r="D2142" t="s">
        <v>1972</v>
      </c>
      <c r="E2142" t="s">
        <v>137</v>
      </c>
    </row>
    <row r="2143" spans="1:5" x14ac:dyDescent="0.2">
      <c r="A2143" s="269">
        <v>45910.523449074077</v>
      </c>
      <c r="B2143" t="s">
        <v>1429</v>
      </c>
      <c r="C2143" t="s">
        <v>27</v>
      </c>
      <c r="D2143" t="s">
        <v>1973</v>
      </c>
      <c r="E2143" t="s">
        <v>137</v>
      </c>
    </row>
    <row r="2144" spans="1:5" x14ac:dyDescent="0.2">
      <c r="A2144" s="269">
        <v>45910.5234837963</v>
      </c>
      <c r="B2144" t="s">
        <v>1429</v>
      </c>
      <c r="C2144" t="s">
        <v>27</v>
      </c>
      <c r="D2144" t="s">
        <v>1974</v>
      </c>
      <c r="E2144" t="s">
        <v>137</v>
      </c>
    </row>
    <row r="2145" spans="1:5" x14ac:dyDescent="0.2">
      <c r="A2145" s="269">
        <v>45910.523506944446</v>
      </c>
      <c r="B2145" t="s">
        <v>1429</v>
      </c>
      <c r="C2145" t="s">
        <v>27</v>
      </c>
      <c r="D2145" t="s">
        <v>1975</v>
      </c>
      <c r="E2145" t="s">
        <v>137</v>
      </c>
    </row>
    <row r="2146" spans="1:5" x14ac:dyDescent="0.2">
      <c r="A2146" s="269">
        <v>45910.523541666669</v>
      </c>
      <c r="B2146" t="s">
        <v>1429</v>
      </c>
      <c r="C2146" t="s">
        <v>27</v>
      </c>
      <c r="D2146" t="s">
        <v>1976</v>
      </c>
      <c r="E2146" t="s">
        <v>137</v>
      </c>
    </row>
    <row r="2147" spans="1:5" x14ac:dyDescent="0.2">
      <c r="A2147" s="269">
        <v>45910.523564814815</v>
      </c>
      <c r="B2147" t="s">
        <v>1429</v>
      </c>
      <c r="C2147" t="s">
        <v>27</v>
      </c>
      <c r="D2147" t="s">
        <v>1977</v>
      </c>
      <c r="E2147" t="s">
        <v>137</v>
      </c>
    </row>
    <row r="2148" spans="1:5" x14ac:dyDescent="0.2">
      <c r="A2148" s="269">
        <v>45910.523599537039</v>
      </c>
      <c r="B2148" t="s">
        <v>1429</v>
      </c>
      <c r="C2148" t="s">
        <v>27</v>
      </c>
      <c r="D2148" t="s">
        <v>1978</v>
      </c>
      <c r="E2148" t="s">
        <v>137</v>
      </c>
    </row>
    <row r="2149" spans="1:5" x14ac:dyDescent="0.2">
      <c r="A2149" s="269">
        <v>45910.523692129631</v>
      </c>
      <c r="B2149" t="s">
        <v>1429</v>
      </c>
      <c r="C2149" t="s">
        <v>27</v>
      </c>
      <c r="D2149" t="s">
        <v>1979</v>
      </c>
      <c r="E2149" t="s">
        <v>311</v>
      </c>
    </row>
    <row r="2150" spans="1:5" x14ac:dyDescent="0.2">
      <c r="A2150" s="269">
        <v>45910.523738425924</v>
      </c>
      <c r="B2150" t="s">
        <v>1429</v>
      </c>
      <c r="C2150" t="s">
        <v>27</v>
      </c>
      <c r="D2150" t="s">
        <v>1980</v>
      </c>
      <c r="E2150" t="s">
        <v>311</v>
      </c>
    </row>
    <row r="2151" spans="1:5" x14ac:dyDescent="0.2">
      <c r="A2151" s="269">
        <v>45910.523761574077</v>
      </c>
      <c r="B2151" t="s">
        <v>1429</v>
      </c>
      <c r="C2151" t="s">
        <v>27</v>
      </c>
      <c r="D2151" t="s">
        <v>1981</v>
      </c>
      <c r="E2151" t="s">
        <v>311</v>
      </c>
    </row>
    <row r="2152" spans="1:5" x14ac:dyDescent="0.2">
      <c r="A2152" s="269">
        <v>45910.523773148147</v>
      </c>
      <c r="B2152" t="s">
        <v>1429</v>
      </c>
      <c r="C2152" t="s">
        <v>27</v>
      </c>
      <c r="D2152" t="s">
        <v>1982</v>
      </c>
      <c r="E2152" t="s">
        <v>343</v>
      </c>
    </row>
    <row r="2153" spans="1:5" x14ac:dyDescent="0.2">
      <c r="A2153" s="269">
        <v>45910.523796296293</v>
      </c>
      <c r="B2153" t="s">
        <v>1429</v>
      </c>
      <c r="C2153" t="s">
        <v>27</v>
      </c>
      <c r="D2153" t="s">
        <v>1982</v>
      </c>
      <c r="E2153" t="s">
        <v>311</v>
      </c>
    </row>
    <row r="2154" spans="1:5" x14ac:dyDescent="0.2">
      <c r="A2154" s="269">
        <v>45910.523819444446</v>
      </c>
      <c r="B2154" t="s">
        <v>1429</v>
      </c>
      <c r="C2154" t="s">
        <v>27</v>
      </c>
      <c r="D2154" t="s">
        <v>1983</v>
      </c>
      <c r="E2154" t="s">
        <v>311</v>
      </c>
    </row>
    <row r="2155" spans="1:5" x14ac:dyDescent="0.2">
      <c r="A2155" s="269">
        <v>45910.523854166669</v>
      </c>
      <c r="B2155" t="s">
        <v>1429</v>
      </c>
      <c r="C2155" t="s">
        <v>27</v>
      </c>
      <c r="D2155" t="s">
        <v>1984</v>
      </c>
      <c r="E2155" t="s">
        <v>311</v>
      </c>
    </row>
    <row r="2156" spans="1:5" x14ac:dyDescent="0.2">
      <c r="A2156" s="269">
        <v>45910.523877314816</v>
      </c>
      <c r="B2156" t="s">
        <v>1429</v>
      </c>
      <c r="C2156" t="s">
        <v>27</v>
      </c>
      <c r="D2156" t="s">
        <v>1985</v>
      </c>
      <c r="E2156" t="s">
        <v>311</v>
      </c>
    </row>
    <row r="2157" spans="1:5" x14ac:dyDescent="0.2">
      <c r="A2157" s="269">
        <v>45910.523912037039</v>
      </c>
      <c r="B2157" t="s">
        <v>1429</v>
      </c>
      <c r="C2157" t="s">
        <v>27</v>
      </c>
      <c r="D2157" t="s">
        <v>1986</v>
      </c>
      <c r="E2157" t="s">
        <v>311</v>
      </c>
    </row>
    <row r="2158" spans="1:5" x14ac:dyDescent="0.2">
      <c r="A2158" s="269">
        <v>45910.523958333331</v>
      </c>
      <c r="B2158" t="s">
        <v>1429</v>
      </c>
      <c r="C2158" t="s">
        <v>27</v>
      </c>
      <c r="D2158" t="s">
        <v>1987</v>
      </c>
      <c r="E2158" t="s">
        <v>311</v>
      </c>
    </row>
    <row r="2159" spans="1:5" x14ac:dyDescent="0.2">
      <c r="A2159" s="269">
        <v>45910.523993055554</v>
      </c>
      <c r="B2159" t="s">
        <v>1429</v>
      </c>
      <c r="C2159" t="s">
        <v>27</v>
      </c>
      <c r="D2159" t="s">
        <v>1988</v>
      </c>
      <c r="E2159" t="s">
        <v>311</v>
      </c>
    </row>
    <row r="2160" spans="1:5" x14ac:dyDescent="0.2">
      <c r="A2160" s="269">
        <v>45910.524016203701</v>
      </c>
      <c r="B2160" t="s">
        <v>1429</v>
      </c>
      <c r="C2160" t="s">
        <v>27</v>
      </c>
      <c r="D2160" t="s">
        <v>1989</v>
      </c>
      <c r="E2160" t="s">
        <v>311</v>
      </c>
    </row>
    <row r="2161" spans="1:5" x14ac:dyDescent="0.2">
      <c r="A2161" s="269">
        <v>45910.524039351854</v>
      </c>
      <c r="B2161" t="s">
        <v>1429</v>
      </c>
      <c r="C2161" t="s">
        <v>27</v>
      </c>
      <c r="D2161" t="s">
        <v>1990</v>
      </c>
      <c r="E2161" t="s">
        <v>311</v>
      </c>
    </row>
    <row r="2162" spans="1:5" x14ac:dyDescent="0.2">
      <c r="A2162" s="269">
        <v>45910.52652777778</v>
      </c>
      <c r="B2162" t="s">
        <v>1429</v>
      </c>
      <c r="C2162" t="s">
        <v>27</v>
      </c>
      <c r="D2162" t="s">
        <v>1991</v>
      </c>
      <c r="E2162">
        <v>15</v>
      </c>
    </row>
    <row r="2163" spans="1:5" x14ac:dyDescent="0.2">
      <c r="A2163" s="269">
        <v>45910.526666666665</v>
      </c>
      <c r="B2163" t="s">
        <v>1429</v>
      </c>
      <c r="C2163" t="s">
        <v>27</v>
      </c>
      <c r="D2163" t="s">
        <v>1992</v>
      </c>
      <c r="E2163">
        <v>12</v>
      </c>
    </row>
    <row r="2164" spans="1:5" x14ac:dyDescent="0.2">
      <c r="A2164" s="269">
        <v>45910.526759259257</v>
      </c>
      <c r="B2164" t="s">
        <v>1429</v>
      </c>
      <c r="C2164" t="s">
        <v>27</v>
      </c>
      <c r="D2164" t="s">
        <v>1993</v>
      </c>
      <c r="E2164">
        <v>14</v>
      </c>
    </row>
    <row r="2165" spans="1:5" x14ac:dyDescent="0.2">
      <c r="A2165" s="269">
        <v>45910.528287037036</v>
      </c>
      <c r="B2165" t="s">
        <v>1429</v>
      </c>
      <c r="C2165" t="s">
        <v>27</v>
      </c>
      <c r="D2165" t="s">
        <v>1994</v>
      </c>
      <c r="E2165">
        <v>22</v>
      </c>
    </row>
    <row r="2166" spans="1:5" x14ac:dyDescent="0.2">
      <c r="A2166" s="269">
        <v>45910.528645833336</v>
      </c>
      <c r="B2166" t="s">
        <v>1429</v>
      </c>
      <c r="C2166" t="s">
        <v>27</v>
      </c>
      <c r="D2166" t="s">
        <v>1995</v>
      </c>
      <c r="E2166">
        <v>21</v>
      </c>
    </row>
    <row r="2167" spans="1:5" x14ac:dyDescent="0.2">
      <c r="A2167" s="269">
        <v>45910.528715277775</v>
      </c>
      <c r="B2167" t="s">
        <v>1429</v>
      </c>
      <c r="C2167" t="s">
        <v>27</v>
      </c>
      <c r="D2167" t="s">
        <v>1992</v>
      </c>
      <c r="E2167">
        <v>21</v>
      </c>
    </row>
    <row r="2168" spans="1:5" x14ac:dyDescent="0.2">
      <c r="A2168" s="269">
        <v>45910.530474537038</v>
      </c>
      <c r="B2168" t="s">
        <v>1429</v>
      </c>
      <c r="C2168" t="s">
        <v>27</v>
      </c>
      <c r="D2168" t="s">
        <v>1991</v>
      </c>
      <c r="E2168">
        <v>23</v>
      </c>
    </row>
    <row r="2169" spans="1:5" x14ac:dyDescent="0.2">
      <c r="A2169" s="269">
        <v>45910.530555555553</v>
      </c>
      <c r="B2169" t="s">
        <v>1429</v>
      </c>
      <c r="C2169" t="s">
        <v>27</v>
      </c>
      <c r="D2169" t="s">
        <v>1993</v>
      </c>
      <c r="E2169">
        <v>21</v>
      </c>
    </row>
    <row r="2170" spans="1:5" x14ac:dyDescent="0.2">
      <c r="A2170" s="269">
        <v>45910.530601851853</v>
      </c>
      <c r="B2170" t="s">
        <v>1429</v>
      </c>
      <c r="C2170" t="s">
        <v>27</v>
      </c>
      <c r="D2170" t="s">
        <v>1994</v>
      </c>
      <c r="E2170">
        <v>22</v>
      </c>
    </row>
    <row r="2171" spans="1:5" x14ac:dyDescent="0.2">
      <c r="A2171" s="269">
        <v>45910.530844907407</v>
      </c>
      <c r="B2171" t="s">
        <v>1429</v>
      </c>
      <c r="C2171" t="s">
        <v>27</v>
      </c>
      <c r="D2171" t="s">
        <v>1995</v>
      </c>
      <c r="E2171">
        <v>23</v>
      </c>
    </row>
    <row r="2172" spans="1:5" x14ac:dyDescent="0.2">
      <c r="A2172" s="269">
        <v>45910.53087962963</v>
      </c>
      <c r="B2172" t="s">
        <v>1429</v>
      </c>
      <c r="C2172" t="s">
        <v>27</v>
      </c>
      <c r="D2172" t="s">
        <v>1996</v>
      </c>
      <c r="E2172">
        <v>20</v>
      </c>
    </row>
    <row r="2173" spans="1:5" x14ac:dyDescent="0.2">
      <c r="A2173" s="269">
        <v>45910.530902777777</v>
      </c>
      <c r="B2173" t="s">
        <v>1429</v>
      </c>
      <c r="C2173" t="s">
        <v>27</v>
      </c>
      <c r="D2173" t="s">
        <v>1997</v>
      </c>
      <c r="E2173">
        <v>23</v>
      </c>
    </row>
    <row r="2174" spans="1:5" x14ac:dyDescent="0.2">
      <c r="A2174" s="269">
        <v>45910.530925925923</v>
      </c>
      <c r="B2174" t="s">
        <v>1429</v>
      </c>
      <c r="C2174" t="s">
        <v>27</v>
      </c>
      <c r="D2174" t="s">
        <v>1998</v>
      </c>
      <c r="E2174">
        <v>21</v>
      </c>
    </row>
    <row r="2175" spans="1:5" x14ac:dyDescent="0.2">
      <c r="A2175" s="269">
        <v>45910.530949074076</v>
      </c>
      <c r="B2175" t="s">
        <v>1429</v>
      </c>
      <c r="C2175" t="s">
        <v>27</v>
      </c>
      <c r="D2175" t="s">
        <v>1999</v>
      </c>
      <c r="E2175">
        <v>23</v>
      </c>
    </row>
    <row r="2176" spans="1:5" x14ac:dyDescent="0.2">
      <c r="A2176" s="269">
        <v>45910.5309837963</v>
      </c>
      <c r="B2176" t="s">
        <v>1429</v>
      </c>
      <c r="C2176" t="s">
        <v>27</v>
      </c>
      <c r="D2176" t="s">
        <v>2000</v>
      </c>
      <c r="E2176">
        <v>21</v>
      </c>
    </row>
    <row r="2177" spans="1:5" x14ac:dyDescent="0.2">
      <c r="A2177" s="269">
        <v>45910.530995370369</v>
      </c>
      <c r="B2177" t="s">
        <v>1429</v>
      </c>
      <c r="C2177" t="s">
        <v>27</v>
      </c>
      <c r="D2177" t="s">
        <v>2001</v>
      </c>
      <c r="E2177">
        <v>22</v>
      </c>
    </row>
    <row r="2178" spans="1:5" x14ac:dyDescent="0.2">
      <c r="A2178" s="269">
        <v>45910.531145833331</v>
      </c>
      <c r="B2178" t="s">
        <v>1429</v>
      </c>
      <c r="C2178" t="s">
        <v>27</v>
      </c>
      <c r="D2178" t="s">
        <v>1991</v>
      </c>
      <c r="E2178">
        <v>23</v>
      </c>
    </row>
    <row r="2179" spans="1:5" x14ac:dyDescent="0.2">
      <c r="A2179" s="269">
        <v>45910.531180555554</v>
      </c>
      <c r="B2179" t="s">
        <v>1429</v>
      </c>
      <c r="C2179" t="s">
        <v>27</v>
      </c>
      <c r="D2179" t="s">
        <v>1992</v>
      </c>
      <c r="E2179">
        <v>21</v>
      </c>
    </row>
    <row r="2180" spans="1:5" x14ac:dyDescent="0.2">
      <c r="A2180" s="269">
        <v>45910.531215277777</v>
      </c>
      <c r="B2180" t="s">
        <v>1429</v>
      </c>
      <c r="C2180" t="s">
        <v>27</v>
      </c>
      <c r="D2180" t="s">
        <v>1993</v>
      </c>
      <c r="E2180">
        <v>21</v>
      </c>
    </row>
    <row r="2181" spans="1:5" x14ac:dyDescent="0.2">
      <c r="A2181" s="269">
        <v>45910.531261574077</v>
      </c>
      <c r="B2181" t="s">
        <v>1429</v>
      </c>
      <c r="C2181" t="s">
        <v>27</v>
      </c>
      <c r="D2181" t="s">
        <v>1994</v>
      </c>
      <c r="E2181">
        <v>22</v>
      </c>
    </row>
    <row r="2182" spans="1:5" x14ac:dyDescent="0.2">
      <c r="A2182" s="269">
        <v>45910.5312962963</v>
      </c>
      <c r="B2182" t="s">
        <v>1429</v>
      </c>
      <c r="C2182" t="s">
        <v>27</v>
      </c>
      <c r="D2182" t="s">
        <v>1995</v>
      </c>
      <c r="E2182">
        <v>23</v>
      </c>
    </row>
    <row r="2183" spans="1:5" x14ac:dyDescent="0.2">
      <c r="A2183" s="269">
        <v>45910.531365740739</v>
      </c>
      <c r="B2183" t="s">
        <v>1429</v>
      </c>
      <c r="C2183" t="s">
        <v>27</v>
      </c>
      <c r="D2183" t="s">
        <v>1998</v>
      </c>
      <c r="E2183">
        <v>22</v>
      </c>
    </row>
    <row r="2184" spans="1:5" x14ac:dyDescent="0.2">
      <c r="A2184" s="269">
        <v>45910.531400462962</v>
      </c>
      <c r="B2184" t="s">
        <v>1429</v>
      </c>
      <c r="C2184" t="s">
        <v>27</v>
      </c>
      <c r="D2184" t="s">
        <v>1999</v>
      </c>
      <c r="E2184">
        <v>21</v>
      </c>
    </row>
    <row r="2185" spans="1:5" x14ac:dyDescent="0.2">
      <c r="A2185" s="269">
        <v>45910.531446759262</v>
      </c>
      <c r="B2185" t="s">
        <v>1429</v>
      </c>
      <c r="C2185" t="s">
        <v>27</v>
      </c>
      <c r="D2185" t="s">
        <v>2000</v>
      </c>
      <c r="E2185">
        <v>23</v>
      </c>
    </row>
    <row r="2186" spans="1:5" x14ac:dyDescent="0.2">
      <c r="A2186" s="269">
        <v>45910.531469907408</v>
      </c>
      <c r="B2186" t="s">
        <v>1429</v>
      </c>
      <c r="C2186" t="s">
        <v>27</v>
      </c>
      <c r="D2186" t="s">
        <v>2001</v>
      </c>
      <c r="E2186">
        <v>21</v>
      </c>
    </row>
    <row r="2187" spans="1:5" x14ac:dyDescent="0.2">
      <c r="A2187" s="269">
        <v>45910.531493055554</v>
      </c>
      <c r="B2187" t="s">
        <v>1429</v>
      </c>
      <c r="C2187" t="s">
        <v>27</v>
      </c>
      <c r="D2187" t="s">
        <v>2002</v>
      </c>
      <c r="E2187">
        <v>22</v>
      </c>
    </row>
    <row r="2188" spans="1:5" x14ac:dyDescent="0.2">
      <c r="A2188" s="269">
        <v>45910.532627314817</v>
      </c>
      <c r="B2188" t="s">
        <v>1429</v>
      </c>
      <c r="C2188" t="s">
        <v>27</v>
      </c>
      <c r="D2188" t="s">
        <v>2004</v>
      </c>
      <c r="E2188" t="s">
        <v>2003</v>
      </c>
    </row>
    <row r="2189" spans="1:5" x14ac:dyDescent="0.2">
      <c r="A2189" s="269">
        <v>45910.532696759263</v>
      </c>
      <c r="B2189" t="s">
        <v>1429</v>
      </c>
      <c r="C2189" t="s">
        <v>27</v>
      </c>
      <c r="D2189" t="s">
        <v>2005</v>
      </c>
      <c r="E2189" t="s">
        <v>2003</v>
      </c>
    </row>
    <row r="2190" spans="1:5" x14ac:dyDescent="0.2">
      <c r="A2190" s="269">
        <v>45910.532696759263</v>
      </c>
      <c r="B2190" t="s">
        <v>1429</v>
      </c>
      <c r="C2190" t="s">
        <v>27</v>
      </c>
      <c r="D2190" t="s">
        <v>2006</v>
      </c>
      <c r="E2190" t="s">
        <v>2003</v>
      </c>
    </row>
    <row r="2191" spans="1:5" x14ac:dyDescent="0.2">
      <c r="A2191" s="269">
        <v>45910.532708333332</v>
      </c>
      <c r="B2191" t="s">
        <v>1429</v>
      </c>
      <c r="C2191" t="s">
        <v>27</v>
      </c>
      <c r="D2191" t="s">
        <v>2007</v>
      </c>
      <c r="E2191" t="s">
        <v>2003</v>
      </c>
    </row>
    <row r="2192" spans="1:5" x14ac:dyDescent="0.2">
      <c r="A2192" s="269">
        <v>45910.532719907409</v>
      </c>
      <c r="B2192" t="s">
        <v>1429</v>
      </c>
      <c r="C2192" t="s">
        <v>27</v>
      </c>
      <c r="D2192" t="s">
        <v>2008</v>
      </c>
      <c r="E2192" t="s">
        <v>2003</v>
      </c>
    </row>
    <row r="2193" spans="1:5" x14ac:dyDescent="0.2">
      <c r="A2193" s="269">
        <v>45910.532731481479</v>
      </c>
      <c r="B2193" t="s">
        <v>1429</v>
      </c>
      <c r="C2193" t="s">
        <v>27</v>
      </c>
      <c r="D2193" t="s">
        <v>2009</v>
      </c>
      <c r="E2193" t="s">
        <v>2003</v>
      </c>
    </row>
    <row r="2194" spans="1:5" x14ac:dyDescent="0.2">
      <c r="A2194" s="269">
        <v>45910.532743055555</v>
      </c>
      <c r="B2194" t="s">
        <v>1429</v>
      </c>
      <c r="C2194" t="s">
        <v>27</v>
      </c>
      <c r="D2194" t="s">
        <v>2010</v>
      </c>
      <c r="E2194" t="s">
        <v>2003</v>
      </c>
    </row>
    <row r="2195" spans="1:5" x14ac:dyDescent="0.2">
      <c r="A2195" s="269">
        <v>45910.532754629632</v>
      </c>
      <c r="B2195" t="s">
        <v>1429</v>
      </c>
      <c r="C2195" t="s">
        <v>27</v>
      </c>
      <c r="D2195" t="s">
        <v>2011</v>
      </c>
      <c r="E2195" t="s">
        <v>2003</v>
      </c>
    </row>
    <row r="2196" spans="1:5" x14ac:dyDescent="0.2">
      <c r="A2196" s="269">
        <v>45910.532754629632</v>
      </c>
      <c r="B2196" t="s">
        <v>1429</v>
      </c>
      <c r="C2196" t="s">
        <v>27</v>
      </c>
      <c r="D2196" t="s">
        <v>2012</v>
      </c>
      <c r="E2196" t="s">
        <v>2003</v>
      </c>
    </row>
    <row r="2197" spans="1:5" x14ac:dyDescent="0.2">
      <c r="A2197" s="269">
        <v>45910.532766203702</v>
      </c>
      <c r="B2197" t="s">
        <v>1429</v>
      </c>
      <c r="C2197" t="s">
        <v>27</v>
      </c>
      <c r="D2197" t="s">
        <v>2013</v>
      </c>
      <c r="E2197" t="s">
        <v>2003</v>
      </c>
    </row>
    <row r="2198" spans="1:5" x14ac:dyDescent="0.2">
      <c r="A2198" s="269">
        <v>45910.532777777778</v>
      </c>
      <c r="B2198" t="s">
        <v>1429</v>
      </c>
      <c r="C2198" t="s">
        <v>27</v>
      </c>
      <c r="D2198" t="s">
        <v>2014</v>
      </c>
      <c r="E2198" t="s">
        <v>2003</v>
      </c>
    </row>
    <row r="2199" spans="1:5" x14ac:dyDescent="0.2">
      <c r="A2199" s="269">
        <v>45910.532777777778</v>
      </c>
      <c r="B2199" t="s">
        <v>1429</v>
      </c>
      <c r="C2199" t="s">
        <v>27</v>
      </c>
      <c r="D2199" t="s">
        <v>2015</v>
      </c>
      <c r="E2199" t="s">
        <v>2003</v>
      </c>
    </row>
    <row r="2200" spans="1:5" x14ac:dyDescent="0.2">
      <c r="A2200" s="269">
        <v>45910.534247685187</v>
      </c>
      <c r="B2200" t="s">
        <v>1429</v>
      </c>
      <c r="C2200" t="s">
        <v>27</v>
      </c>
      <c r="D2200" t="s">
        <v>656</v>
      </c>
      <c r="E2200" t="s">
        <v>2016</v>
      </c>
    </row>
    <row r="2201" spans="1:5" x14ac:dyDescent="0.2">
      <c r="A2201" s="269">
        <v>45910.534375000003</v>
      </c>
      <c r="B2201" t="s">
        <v>1429</v>
      </c>
      <c r="C2201" t="s">
        <v>27</v>
      </c>
      <c r="D2201" t="s">
        <v>656</v>
      </c>
      <c r="E2201" t="s">
        <v>2017</v>
      </c>
    </row>
    <row r="2202" spans="1:5" x14ac:dyDescent="0.2">
      <c r="A2202" s="269">
        <v>45910.534421296295</v>
      </c>
      <c r="B2202" t="s">
        <v>1429</v>
      </c>
      <c r="C2202" t="s">
        <v>27</v>
      </c>
      <c r="D2202" t="s">
        <v>656</v>
      </c>
      <c r="E2202" t="s">
        <v>2017</v>
      </c>
    </row>
    <row r="2203" spans="1:5" x14ac:dyDescent="0.2">
      <c r="A2203" s="269">
        <v>45910.534444444442</v>
      </c>
      <c r="B2203" t="s">
        <v>1429</v>
      </c>
      <c r="C2203" t="s">
        <v>27</v>
      </c>
      <c r="D2203" t="s">
        <v>1496</v>
      </c>
      <c r="E2203" t="s">
        <v>2017</v>
      </c>
    </row>
    <row r="2204" spans="1:5" x14ac:dyDescent="0.2">
      <c r="A2204" s="269">
        <v>45910.534456018519</v>
      </c>
      <c r="B2204" t="s">
        <v>1429</v>
      </c>
      <c r="C2204" t="s">
        <v>27</v>
      </c>
      <c r="D2204" t="s">
        <v>994</v>
      </c>
      <c r="E2204" t="s">
        <v>2017</v>
      </c>
    </row>
    <row r="2205" spans="1:5" x14ac:dyDescent="0.2">
      <c r="A2205" s="269">
        <v>45910.534768518519</v>
      </c>
      <c r="B2205" t="s">
        <v>1429</v>
      </c>
      <c r="C2205" t="s">
        <v>27</v>
      </c>
      <c r="D2205" t="s">
        <v>1923</v>
      </c>
      <c r="E2205" t="s">
        <v>2017</v>
      </c>
    </row>
    <row r="2206" spans="1:5" x14ac:dyDescent="0.2">
      <c r="A2206" s="269">
        <v>45910.534780092596</v>
      </c>
      <c r="B2206" t="s">
        <v>1429</v>
      </c>
      <c r="C2206" t="s">
        <v>27</v>
      </c>
      <c r="D2206" t="s">
        <v>1924</v>
      </c>
      <c r="E2206" t="s">
        <v>2017</v>
      </c>
    </row>
    <row r="2207" spans="1:5" x14ac:dyDescent="0.2">
      <c r="A2207" s="269">
        <v>45910.534791666665</v>
      </c>
      <c r="B2207" t="s">
        <v>1429</v>
      </c>
      <c r="C2207" t="s">
        <v>27</v>
      </c>
      <c r="D2207" t="s">
        <v>1925</v>
      </c>
      <c r="E2207" t="s">
        <v>2017</v>
      </c>
    </row>
    <row r="2208" spans="1:5" x14ac:dyDescent="0.2">
      <c r="A2208" s="269">
        <v>45910.534930555557</v>
      </c>
      <c r="B2208" t="s">
        <v>1429</v>
      </c>
      <c r="C2208" t="s">
        <v>27</v>
      </c>
      <c r="D2208" t="s">
        <v>1920</v>
      </c>
      <c r="E2208" t="s">
        <v>2017</v>
      </c>
    </row>
    <row r="2209" spans="1:5" x14ac:dyDescent="0.2">
      <c r="A2209" s="269">
        <v>45910.534942129627</v>
      </c>
      <c r="B2209" t="s">
        <v>1429</v>
      </c>
      <c r="C2209" t="s">
        <v>27</v>
      </c>
      <c r="D2209" t="s">
        <v>1921</v>
      </c>
      <c r="E2209" t="s">
        <v>2017</v>
      </c>
    </row>
    <row r="2210" spans="1:5" x14ac:dyDescent="0.2">
      <c r="A2210" s="269">
        <v>45910.534953703704</v>
      </c>
      <c r="B2210" t="s">
        <v>1429</v>
      </c>
      <c r="C2210" t="s">
        <v>27</v>
      </c>
      <c r="D2210" t="s">
        <v>1922</v>
      </c>
      <c r="E2210" t="s">
        <v>2017</v>
      </c>
    </row>
    <row r="2211" spans="1:5" x14ac:dyDescent="0.2">
      <c r="A2211" s="269">
        <v>45910.535798611112</v>
      </c>
      <c r="B2211" t="s">
        <v>1429</v>
      </c>
      <c r="C2211" t="s">
        <v>27</v>
      </c>
      <c r="D2211" t="s">
        <v>1499</v>
      </c>
      <c r="E2211" t="s">
        <v>2018</v>
      </c>
    </row>
    <row r="2212" spans="1:5" x14ac:dyDescent="0.2">
      <c r="A2212" s="269">
        <v>45910.535856481481</v>
      </c>
      <c r="B2212" t="s">
        <v>1429</v>
      </c>
      <c r="C2212" t="s">
        <v>27</v>
      </c>
      <c r="D2212" t="s">
        <v>1017</v>
      </c>
      <c r="E2212" t="s">
        <v>2018</v>
      </c>
    </row>
    <row r="2213" spans="1:5" x14ac:dyDescent="0.2">
      <c r="A2213" s="269">
        <v>45910.535868055558</v>
      </c>
      <c r="B2213" t="s">
        <v>1429</v>
      </c>
      <c r="C2213" t="s">
        <v>27</v>
      </c>
      <c r="D2213" t="s">
        <v>1502</v>
      </c>
      <c r="E2213" t="s">
        <v>2018</v>
      </c>
    </row>
    <row r="2214" spans="1:5" x14ac:dyDescent="0.2">
      <c r="A2214" s="269">
        <v>45910.535995370374</v>
      </c>
      <c r="B2214" t="s">
        <v>1429</v>
      </c>
      <c r="C2214" t="s">
        <v>27</v>
      </c>
      <c r="D2214" t="s">
        <v>1926</v>
      </c>
      <c r="E2214" t="s">
        <v>2018</v>
      </c>
    </row>
    <row r="2215" spans="1:5" x14ac:dyDescent="0.2">
      <c r="A2215" s="269">
        <v>45910.536006944443</v>
      </c>
      <c r="B2215" t="s">
        <v>1429</v>
      </c>
      <c r="C2215" t="s">
        <v>27</v>
      </c>
      <c r="D2215" t="s">
        <v>1928</v>
      </c>
      <c r="E2215" t="s">
        <v>2018</v>
      </c>
    </row>
    <row r="2216" spans="1:5" x14ac:dyDescent="0.2">
      <c r="A2216" s="269">
        <v>45910.536087962966</v>
      </c>
      <c r="B2216" t="s">
        <v>1429</v>
      </c>
      <c r="C2216" t="s">
        <v>27</v>
      </c>
      <c r="D2216" t="s">
        <v>1939</v>
      </c>
      <c r="E2216" t="s">
        <v>2018</v>
      </c>
    </row>
    <row r="2217" spans="1:5" x14ac:dyDescent="0.2">
      <c r="A2217" s="269">
        <v>45910.536099537036</v>
      </c>
      <c r="B2217" t="s">
        <v>1429</v>
      </c>
      <c r="C2217" t="s">
        <v>27</v>
      </c>
      <c r="D2217" t="s">
        <v>1940</v>
      </c>
      <c r="E2217" t="s">
        <v>2018</v>
      </c>
    </row>
    <row r="2218" spans="1:5" x14ac:dyDescent="0.2">
      <c r="A2218" s="269">
        <v>45910.536111111112</v>
      </c>
      <c r="B2218" t="s">
        <v>1429</v>
      </c>
      <c r="C2218" t="s">
        <v>27</v>
      </c>
      <c r="D2218" t="s">
        <v>1941</v>
      </c>
      <c r="E2218" t="s">
        <v>2018</v>
      </c>
    </row>
    <row r="2219" spans="1:5" x14ac:dyDescent="0.2">
      <c r="A2219" s="269">
        <v>45910.536192129628</v>
      </c>
      <c r="B2219" t="s">
        <v>1429</v>
      </c>
      <c r="C2219" t="s">
        <v>27</v>
      </c>
      <c r="D2219" t="s">
        <v>1945</v>
      </c>
      <c r="E2219" t="s">
        <v>2018</v>
      </c>
    </row>
    <row r="2220" spans="1:5" x14ac:dyDescent="0.2">
      <c r="A2220" s="269">
        <v>45910.536203703705</v>
      </c>
      <c r="B2220" t="s">
        <v>1429</v>
      </c>
      <c r="C2220" t="s">
        <v>27</v>
      </c>
      <c r="D2220" t="s">
        <v>1946</v>
      </c>
      <c r="E2220" t="s">
        <v>2018</v>
      </c>
    </row>
    <row r="2221" spans="1:5" x14ac:dyDescent="0.2">
      <c r="A2221" s="269">
        <v>45910.536215277774</v>
      </c>
      <c r="B2221" t="s">
        <v>1429</v>
      </c>
      <c r="C2221" t="s">
        <v>27</v>
      </c>
      <c r="D2221" t="s">
        <v>1947</v>
      </c>
      <c r="E2221" t="s">
        <v>2018</v>
      </c>
    </row>
    <row r="2222" spans="1:5" x14ac:dyDescent="0.2">
      <c r="A2222" s="269">
        <v>45910.539826388886</v>
      </c>
      <c r="B2222" t="s">
        <v>1429</v>
      </c>
      <c r="C2222" t="s">
        <v>25</v>
      </c>
      <c r="D2222" t="s">
        <v>1023</v>
      </c>
      <c r="E2222" t="s">
        <v>2019</v>
      </c>
    </row>
    <row r="2223" spans="1:5" x14ac:dyDescent="0.2">
      <c r="A2223" s="269">
        <v>45910.539930555555</v>
      </c>
      <c r="B2223" t="s">
        <v>1429</v>
      </c>
      <c r="C2223" t="s">
        <v>25</v>
      </c>
      <c r="D2223" t="s">
        <v>1023</v>
      </c>
    </row>
    <row r="2224" spans="1:5" x14ac:dyDescent="0.2">
      <c r="A2224" s="269">
        <v>45910.540173611109</v>
      </c>
      <c r="B2224" t="s">
        <v>1429</v>
      </c>
      <c r="C2224" t="s">
        <v>25</v>
      </c>
      <c r="D2224" t="s">
        <v>1023</v>
      </c>
      <c r="E2224" t="s">
        <v>2020</v>
      </c>
    </row>
    <row r="2225" spans="1:5" x14ac:dyDescent="0.2">
      <c r="A2225" s="269">
        <v>45910.540347222224</v>
      </c>
      <c r="B2225" t="s">
        <v>1429</v>
      </c>
      <c r="C2225" t="s">
        <v>25</v>
      </c>
      <c r="D2225" t="s">
        <v>1132</v>
      </c>
      <c r="E2225" t="s">
        <v>339</v>
      </c>
    </row>
    <row r="2226" spans="1:5" x14ac:dyDescent="0.2">
      <c r="A2226" s="269">
        <v>45910.540520833332</v>
      </c>
      <c r="B2226" t="s">
        <v>1429</v>
      </c>
      <c r="C2226" t="s">
        <v>25</v>
      </c>
      <c r="D2226" t="s">
        <v>1023</v>
      </c>
      <c r="E2226" t="s">
        <v>2021</v>
      </c>
    </row>
    <row r="2227" spans="1:5" x14ac:dyDescent="0.2">
      <c r="A2227" s="269">
        <v>45910.540578703702</v>
      </c>
      <c r="B2227" t="s">
        <v>1429</v>
      </c>
      <c r="C2227" t="s">
        <v>25</v>
      </c>
      <c r="D2227" t="s">
        <v>1540</v>
      </c>
      <c r="E2227" t="s">
        <v>339</v>
      </c>
    </row>
    <row r="2228" spans="1:5" x14ac:dyDescent="0.2">
      <c r="A2228" s="269">
        <v>45910.540613425925</v>
      </c>
      <c r="B2228" t="s">
        <v>1429</v>
      </c>
      <c r="C2228" t="s">
        <v>25</v>
      </c>
      <c r="D2228" t="s">
        <v>1541</v>
      </c>
      <c r="E2228" t="s">
        <v>339</v>
      </c>
    </row>
    <row r="2229" spans="1:5" x14ac:dyDescent="0.2">
      <c r="A2229" s="269">
        <v>45910.540636574071</v>
      </c>
      <c r="B2229" t="s">
        <v>1429</v>
      </c>
      <c r="C2229" t="s">
        <v>25</v>
      </c>
      <c r="D2229" t="s">
        <v>1542</v>
      </c>
      <c r="E2229" t="s">
        <v>339</v>
      </c>
    </row>
    <row r="2230" spans="1:5" x14ac:dyDescent="0.2">
      <c r="A2230" s="269">
        <v>45910.540659722225</v>
      </c>
      <c r="B2230" t="s">
        <v>1429</v>
      </c>
      <c r="C2230" t="s">
        <v>25</v>
      </c>
      <c r="D2230" t="s">
        <v>1543</v>
      </c>
      <c r="E2230" t="s">
        <v>339</v>
      </c>
    </row>
    <row r="2231" spans="1:5" x14ac:dyDescent="0.2">
      <c r="A2231" s="269">
        <v>45910.540706018517</v>
      </c>
      <c r="B2231" t="s">
        <v>1429</v>
      </c>
      <c r="C2231" t="s">
        <v>25</v>
      </c>
      <c r="D2231" t="s">
        <v>1544</v>
      </c>
      <c r="E2231" t="s">
        <v>339</v>
      </c>
    </row>
    <row r="2232" spans="1:5" x14ac:dyDescent="0.2">
      <c r="A2232" s="269">
        <v>45910.54078703704</v>
      </c>
      <c r="B2232" t="s">
        <v>1429</v>
      </c>
      <c r="C2232" t="s">
        <v>25</v>
      </c>
      <c r="D2232" t="s">
        <v>976</v>
      </c>
      <c r="E2232" t="s">
        <v>2021</v>
      </c>
    </row>
    <row r="2233" spans="1:5" x14ac:dyDescent="0.2">
      <c r="A2233" s="269">
        <v>45910.540798611109</v>
      </c>
      <c r="B2233" t="s">
        <v>1429</v>
      </c>
      <c r="C2233" t="s">
        <v>25</v>
      </c>
      <c r="D2233" t="s">
        <v>2022</v>
      </c>
      <c r="E2233" t="s">
        <v>2021</v>
      </c>
    </row>
    <row r="2234" spans="1:5" x14ac:dyDescent="0.2">
      <c r="A2234" s="269">
        <v>45910.540833333333</v>
      </c>
      <c r="B2234" t="s">
        <v>1429</v>
      </c>
      <c r="C2234" t="s">
        <v>25</v>
      </c>
      <c r="D2234" t="s">
        <v>2022</v>
      </c>
    </row>
    <row r="2235" spans="1:5" x14ac:dyDescent="0.2">
      <c r="A2235" s="269">
        <v>45910.540833333333</v>
      </c>
      <c r="B2235" t="s">
        <v>1429</v>
      </c>
      <c r="C2235" t="s">
        <v>25</v>
      </c>
      <c r="D2235" t="s">
        <v>976</v>
      </c>
    </row>
    <row r="2236" spans="1:5" x14ac:dyDescent="0.2">
      <c r="A2236" s="269">
        <v>45910.540833333333</v>
      </c>
      <c r="B2236" t="s">
        <v>1429</v>
      </c>
      <c r="C2236" t="s">
        <v>25</v>
      </c>
      <c r="D2236" t="s">
        <v>1544</v>
      </c>
      <c r="E2236" t="s">
        <v>339</v>
      </c>
    </row>
    <row r="2237" spans="1:5" x14ac:dyDescent="0.2">
      <c r="A2237" s="269">
        <v>45910.540844907409</v>
      </c>
      <c r="B2237" t="s">
        <v>1429</v>
      </c>
      <c r="C2237" t="s">
        <v>25</v>
      </c>
      <c r="D2237" t="s">
        <v>1543</v>
      </c>
      <c r="E2237" t="s">
        <v>131</v>
      </c>
    </row>
    <row r="2238" spans="1:5" x14ac:dyDescent="0.2">
      <c r="A2238" s="269">
        <v>45910.540856481479</v>
      </c>
      <c r="B2238" t="s">
        <v>1429</v>
      </c>
      <c r="C2238" t="s">
        <v>25</v>
      </c>
      <c r="D2238" t="s">
        <v>1542</v>
      </c>
      <c r="E2238" t="s">
        <v>131</v>
      </c>
    </row>
    <row r="2239" spans="1:5" x14ac:dyDescent="0.2">
      <c r="A2239" s="269">
        <v>45910.540868055556</v>
      </c>
      <c r="B2239" t="s">
        <v>1429</v>
      </c>
      <c r="C2239" t="s">
        <v>25</v>
      </c>
      <c r="D2239" t="s">
        <v>1541</v>
      </c>
      <c r="E2239" t="s">
        <v>131</v>
      </c>
    </row>
    <row r="2240" spans="1:5" x14ac:dyDescent="0.2">
      <c r="A2240" s="269">
        <v>45910.540879629632</v>
      </c>
      <c r="B2240" t="s">
        <v>1429</v>
      </c>
      <c r="C2240" t="s">
        <v>25</v>
      </c>
      <c r="D2240" t="s">
        <v>1540</v>
      </c>
      <c r="E2240" t="s">
        <v>131</v>
      </c>
    </row>
    <row r="2241" spans="1:5" x14ac:dyDescent="0.2">
      <c r="A2241" s="269">
        <v>45910.540879629632</v>
      </c>
      <c r="B2241" t="s">
        <v>1429</v>
      </c>
      <c r="C2241" t="s">
        <v>25</v>
      </c>
      <c r="D2241" t="s">
        <v>1023</v>
      </c>
      <c r="E2241" t="s">
        <v>2020</v>
      </c>
    </row>
    <row r="2242" spans="1:5" x14ac:dyDescent="0.2">
      <c r="A2242" s="269">
        <v>45910.540949074071</v>
      </c>
      <c r="B2242" t="s">
        <v>1429</v>
      </c>
      <c r="C2242" t="s">
        <v>25</v>
      </c>
      <c r="D2242" t="s">
        <v>1023</v>
      </c>
    </row>
    <row r="2243" spans="1:5" x14ac:dyDescent="0.2">
      <c r="A2243" s="269">
        <v>45910.540983796294</v>
      </c>
      <c r="B2243" t="s">
        <v>1429</v>
      </c>
      <c r="C2243" t="s">
        <v>25</v>
      </c>
      <c r="D2243" t="s">
        <v>2023</v>
      </c>
      <c r="E2243" t="s">
        <v>2020</v>
      </c>
    </row>
    <row r="2244" spans="1:5" x14ac:dyDescent="0.2">
      <c r="A2244" s="269">
        <v>45910.541018518517</v>
      </c>
      <c r="B2244" t="s">
        <v>1429</v>
      </c>
      <c r="C2244" t="s">
        <v>25</v>
      </c>
      <c r="D2244" t="s">
        <v>1540</v>
      </c>
      <c r="E2244" t="s">
        <v>339</v>
      </c>
    </row>
    <row r="2245" spans="1:5" x14ac:dyDescent="0.2">
      <c r="A2245" s="269">
        <v>45910.541041666664</v>
      </c>
      <c r="B2245" t="s">
        <v>1429</v>
      </c>
      <c r="C2245" t="s">
        <v>25</v>
      </c>
      <c r="D2245" t="s">
        <v>1541</v>
      </c>
      <c r="E2245" t="s">
        <v>339</v>
      </c>
    </row>
    <row r="2246" spans="1:5" x14ac:dyDescent="0.2">
      <c r="A2246" s="269">
        <v>45910.541064814817</v>
      </c>
      <c r="B2246" t="s">
        <v>1429</v>
      </c>
      <c r="C2246" t="s">
        <v>25</v>
      </c>
      <c r="D2246" t="s">
        <v>1542</v>
      </c>
      <c r="E2246" t="s">
        <v>339</v>
      </c>
    </row>
    <row r="2247" spans="1:5" x14ac:dyDescent="0.2">
      <c r="A2247" s="269">
        <v>45910.541087962964</v>
      </c>
      <c r="B2247" t="s">
        <v>1429</v>
      </c>
      <c r="C2247" t="s">
        <v>25</v>
      </c>
      <c r="D2247" t="s">
        <v>1543</v>
      </c>
      <c r="E2247" t="s">
        <v>339</v>
      </c>
    </row>
    <row r="2248" spans="1:5" x14ac:dyDescent="0.2">
      <c r="A2248" s="269">
        <v>45910.541215277779</v>
      </c>
      <c r="B2248" t="s">
        <v>1429</v>
      </c>
      <c r="C2248" t="s">
        <v>25</v>
      </c>
      <c r="D2248" t="s">
        <v>977</v>
      </c>
      <c r="E2248" t="s">
        <v>2020</v>
      </c>
    </row>
    <row r="2249" spans="1:5" x14ac:dyDescent="0.2">
      <c r="A2249" s="269">
        <v>45910.541226851848</v>
      </c>
      <c r="B2249" t="s">
        <v>1429</v>
      </c>
      <c r="C2249" t="s">
        <v>25</v>
      </c>
      <c r="D2249" t="s">
        <v>2024</v>
      </c>
      <c r="E2249" t="s">
        <v>2020</v>
      </c>
    </row>
    <row r="2250" spans="1:5" x14ac:dyDescent="0.2">
      <c r="A2250" s="269">
        <v>45910.541226851848</v>
      </c>
      <c r="B2250" t="s">
        <v>1429</v>
      </c>
      <c r="C2250" t="s">
        <v>25</v>
      </c>
      <c r="D2250" t="s">
        <v>2025</v>
      </c>
      <c r="E2250" t="s">
        <v>2020</v>
      </c>
    </row>
    <row r="2251" spans="1:5" x14ac:dyDescent="0.2">
      <c r="A2251" s="269">
        <v>45910.541238425925</v>
      </c>
      <c r="B2251" t="s">
        <v>1429</v>
      </c>
      <c r="C2251" t="s">
        <v>25</v>
      </c>
      <c r="D2251" t="s">
        <v>2026</v>
      </c>
      <c r="E2251" t="s">
        <v>2020</v>
      </c>
    </row>
    <row r="2252" spans="1:5" x14ac:dyDescent="0.2">
      <c r="A2252" s="269">
        <v>45910.541250000002</v>
      </c>
      <c r="B2252" t="s">
        <v>1429</v>
      </c>
      <c r="C2252" t="s">
        <v>25</v>
      </c>
      <c r="D2252" t="s">
        <v>2027</v>
      </c>
      <c r="E2252" t="s">
        <v>2020</v>
      </c>
    </row>
    <row r="2253" spans="1:5" x14ac:dyDescent="0.2">
      <c r="A2253" s="269">
        <v>45910.541828703703</v>
      </c>
      <c r="B2253" t="s">
        <v>1429</v>
      </c>
      <c r="C2253" t="s">
        <v>25</v>
      </c>
      <c r="D2253" t="s">
        <v>2029</v>
      </c>
      <c r="E2253" t="s">
        <v>2028</v>
      </c>
    </row>
    <row r="2254" spans="1:5" x14ac:dyDescent="0.2">
      <c r="A2254" s="269">
        <v>45910.541886574072</v>
      </c>
      <c r="B2254" t="s">
        <v>1429</v>
      </c>
      <c r="C2254" t="s">
        <v>25</v>
      </c>
      <c r="D2254" t="s">
        <v>2030</v>
      </c>
      <c r="E2254" t="s">
        <v>2028</v>
      </c>
    </row>
    <row r="2255" spans="1:5" x14ac:dyDescent="0.2">
      <c r="A2255" s="269">
        <v>45910.541944444441</v>
      </c>
      <c r="B2255" t="s">
        <v>1429</v>
      </c>
      <c r="C2255" t="s">
        <v>25</v>
      </c>
      <c r="D2255" t="s">
        <v>2029</v>
      </c>
      <c r="E2255" t="s">
        <v>2028</v>
      </c>
    </row>
    <row r="2256" spans="1:5" x14ac:dyDescent="0.2">
      <c r="A2256" s="269">
        <v>45910.541990740741</v>
      </c>
      <c r="B2256" t="s">
        <v>1429</v>
      </c>
      <c r="C2256" t="s">
        <v>25</v>
      </c>
      <c r="D2256" t="s">
        <v>2030</v>
      </c>
      <c r="E2256" t="s">
        <v>2028</v>
      </c>
    </row>
    <row r="2257" spans="1:5" x14ac:dyDescent="0.2">
      <c r="A2257" s="269">
        <v>45910.542083333334</v>
      </c>
      <c r="B2257" t="s">
        <v>1429</v>
      </c>
      <c r="C2257" t="s">
        <v>25</v>
      </c>
      <c r="D2257" t="s">
        <v>1546</v>
      </c>
      <c r="E2257" t="s">
        <v>339</v>
      </c>
    </row>
    <row r="2258" spans="1:5" x14ac:dyDescent="0.2">
      <c r="A2258" s="269">
        <v>45910.542083333334</v>
      </c>
      <c r="B2258" t="s">
        <v>1429</v>
      </c>
      <c r="C2258" t="s">
        <v>25</v>
      </c>
      <c r="D2258" t="s">
        <v>1546</v>
      </c>
      <c r="E2258" t="s">
        <v>339</v>
      </c>
    </row>
    <row r="2259" spans="1:5" x14ac:dyDescent="0.2">
      <c r="A2259" s="269">
        <v>45910.54210648148</v>
      </c>
      <c r="B2259" t="s">
        <v>1429</v>
      </c>
      <c r="C2259" t="s">
        <v>25</v>
      </c>
      <c r="D2259" t="s">
        <v>1077</v>
      </c>
      <c r="E2259" t="s">
        <v>339</v>
      </c>
    </row>
    <row r="2260" spans="1:5" x14ac:dyDescent="0.2">
      <c r="A2260" s="269">
        <v>45910.542129629626</v>
      </c>
      <c r="B2260" t="s">
        <v>1429</v>
      </c>
      <c r="C2260" t="s">
        <v>25</v>
      </c>
      <c r="D2260" t="s">
        <v>1547</v>
      </c>
      <c r="E2260" t="s">
        <v>339</v>
      </c>
    </row>
    <row r="2261" spans="1:5" x14ac:dyDescent="0.2">
      <c r="A2261" s="269">
        <v>45910.54215277778</v>
      </c>
      <c r="B2261" t="s">
        <v>1429</v>
      </c>
      <c r="C2261" t="s">
        <v>25</v>
      </c>
      <c r="D2261" t="s">
        <v>1548</v>
      </c>
      <c r="E2261" t="s">
        <v>339</v>
      </c>
    </row>
    <row r="2262" spans="1:5" x14ac:dyDescent="0.2">
      <c r="A2262" s="269">
        <v>45910.542245370372</v>
      </c>
      <c r="B2262" t="s">
        <v>1429</v>
      </c>
      <c r="C2262" t="s">
        <v>25</v>
      </c>
      <c r="D2262" t="s">
        <v>2031</v>
      </c>
      <c r="E2262">
        <v>9</v>
      </c>
    </row>
    <row r="2263" spans="1:5" x14ac:dyDescent="0.2">
      <c r="A2263" s="269">
        <v>45910.542395833334</v>
      </c>
      <c r="B2263" t="s">
        <v>1429</v>
      </c>
      <c r="C2263" t="s">
        <v>25</v>
      </c>
      <c r="D2263" t="s">
        <v>2032</v>
      </c>
      <c r="E2263">
        <v>7.5</v>
      </c>
    </row>
    <row r="2264" spans="1:5" x14ac:dyDescent="0.2">
      <c r="A2264" s="269">
        <v>45910.54247685185</v>
      </c>
      <c r="B2264" t="s">
        <v>1429</v>
      </c>
      <c r="C2264" t="s">
        <v>25</v>
      </c>
      <c r="D2264" t="s">
        <v>1023</v>
      </c>
      <c r="E2264">
        <v>2</v>
      </c>
    </row>
    <row r="2265" spans="1:5" x14ac:dyDescent="0.2">
      <c r="A2265" s="269">
        <v>45910.542488425926</v>
      </c>
      <c r="B2265" t="s">
        <v>1429</v>
      </c>
      <c r="C2265" t="s">
        <v>25</v>
      </c>
      <c r="D2265" t="s">
        <v>976</v>
      </c>
      <c r="E2265">
        <v>3</v>
      </c>
    </row>
    <row r="2266" spans="1:5" x14ac:dyDescent="0.2">
      <c r="A2266" s="269">
        <v>45910.542511574073</v>
      </c>
      <c r="B2266" t="s">
        <v>1429</v>
      </c>
      <c r="C2266" t="s">
        <v>25</v>
      </c>
      <c r="D2266" t="s">
        <v>2022</v>
      </c>
      <c r="E2266">
        <v>4</v>
      </c>
    </row>
    <row r="2267" spans="1:5" x14ac:dyDescent="0.2">
      <c r="A2267" s="269">
        <v>45910.542523148149</v>
      </c>
      <c r="B2267" t="s">
        <v>1429</v>
      </c>
      <c r="C2267" t="s">
        <v>25</v>
      </c>
      <c r="D2267" t="s">
        <v>2033</v>
      </c>
      <c r="E2267">
        <v>4</v>
      </c>
    </row>
    <row r="2268" spans="1:5" x14ac:dyDescent="0.2">
      <c r="A2268" s="269">
        <v>45910.542534722219</v>
      </c>
      <c r="B2268" t="s">
        <v>1429</v>
      </c>
      <c r="C2268" t="s">
        <v>25</v>
      </c>
      <c r="D2268" t="s">
        <v>2034</v>
      </c>
      <c r="E2268">
        <v>3</v>
      </c>
    </row>
    <row r="2269" spans="1:5" x14ac:dyDescent="0.2">
      <c r="A2269" s="269">
        <v>45910.542546296296</v>
      </c>
      <c r="B2269" t="s">
        <v>1429</v>
      </c>
      <c r="C2269" t="s">
        <v>25</v>
      </c>
      <c r="D2269" t="s">
        <v>2035</v>
      </c>
      <c r="E2269">
        <v>3</v>
      </c>
    </row>
    <row r="2270" spans="1:5" x14ac:dyDescent="0.2">
      <c r="A2270" s="269">
        <v>45910.542592592596</v>
      </c>
      <c r="B2270" t="s">
        <v>1429</v>
      </c>
      <c r="C2270" t="s">
        <v>25</v>
      </c>
      <c r="D2270" t="s">
        <v>2036</v>
      </c>
    </row>
    <row r="2271" spans="1:5" x14ac:dyDescent="0.2">
      <c r="A2271" s="269">
        <v>45910.547129629631</v>
      </c>
      <c r="B2271" t="s">
        <v>1429</v>
      </c>
      <c r="C2271" t="s">
        <v>25</v>
      </c>
      <c r="D2271" t="s">
        <v>2037</v>
      </c>
      <c r="E2271" t="s">
        <v>2020</v>
      </c>
    </row>
    <row r="2272" spans="1:5" x14ac:dyDescent="0.2">
      <c r="A2272" s="269">
        <v>45910.5471412037</v>
      </c>
      <c r="B2272" t="s">
        <v>1429</v>
      </c>
      <c r="C2272" t="s">
        <v>25</v>
      </c>
      <c r="D2272" t="s">
        <v>2038</v>
      </c>
      <c r="E2272" t="s">
        <v>2020</v>
      </c>
    </row>
    <row r="2273" spans="1:5" x14ac:dyDescent="0.2">
      <c r="A2273" s="269">
        <v>45910.5471412037</v>
      </c>
      <c r="B2273" t="s">
        <v>1429</v>
      </c>
      <c r="C2273" t="s">
        <v>25</v>
      </c>
      <c r="D2273" t="s">
        <v>2039</v>
      </c>
      <c r="E2273" t="s">
        <v>2020</v>
      </c>
    </row>
    <row r="2274" spans="1:5" x14ac:dyDescent="0.2">
      <c r="A2274" s="269">
        <v>45910.547152777777</v>
      </c>
      <c r="B2274" t="s">
        <v>1429</v>
      </c>
      <c r="C2274" t="s">
        <v>25</v>
      </c>
      <c r="D2274" t="s">
        <v>2040</v>
      </c>
      <c r="E2274" t="s">
        <v>2020</v>
      </c>
    </row>
    <row r="2275" spans="1:5" x14ac:dyDescent="0.2">
      <c r="A2275" s="269">
        <v>45910.550312500003</v>
      </c>
      <c r="B2275" t="s">
        <v>1429</v>
      </c>
      <c r="C2275" t="s">
        <v>25</v>
      </c>
      <c r="D2275" t="s">
        <v>2023</v>
      </c>
      <c r="E2275" t="s">
        <v>2041</v>
      </c>
    </row>
    <row r="2276" spans="1:5" x14ac:dyDescent="0.2">
      <c r="A2276" s="269">
        <v>45910.556087962963</v>
      </c>
      <c r="B2276" t="s">
        <v>1429</v>
      </c>
      <c r="C2276" t="s">
        <v>25</v>
      </c>
      <c r="D2276" t="s">
        <v>1023</v>
      </c>
      <c r="E2276">
        <v>0</v>
      </c>
    </row>
    <row r="2277" spans="1:5" x14ac:dyDescent="0.2">
      <c r="A2277" s="269">
        <v>45910.556111111109</v>
      </c>
      <c r="B2277" t="s">
        <v>1429</v>
      </c>
      <c r="C2277" t="s">
        <v>25</v>
      </c>
      <c r="D2277" t="s">
        <v>976</v>
      </c>
      <c r="E2277">
        <v>0</v>
      </c>
    </row>
    <row r="2278" spans="1:5" x14ac:dyDescent="0.2">
      <c r="A2278" s="269">
        <v>45910.556111111109</v>
      </c>
      <c r="B2278" t="s">
        <v>1429</v>
      </c>
      <c r="C2278" t="s">
        <v>25</v>
      </c>
      <c r="D2278" t="s">
        <v>2022</v>
      </c>
      <c r="E2278">
        <v>0</v>
      </c>
    </row>
    <row r="2279" spans="1:5" x14ac:dyDescent="0.2">
      <c r="A2279" s="269">
        <v>45910.556134259263</v>
      </c>
      <c r="B2279" t="s">
        <v>1429</v>
      </c>
      <c r="C2279" t="s">
        <v>25</v>
      </c>
      <c r="D2279" t="s">
        <v>2033</v>
      </c>
      <c r="E2279">
        <v>0</v>
      </c>
    </row>
    <row r="2280" spans="1:5" x14ac:dyDescent="0.2">
      <c r="A2280" s="269">
        <v>45910.556145833332</v>
      </c>
      <c r="B2280" t="s">
        <v>1429</v>
      </c>
      <c r="C2280" t="s">
        <v>25</v>
      </c>
      <c r="D2280" t="s">
        <v>2034</v>
      </c>
      <c r="E2280">
        <v>0</v>
      </c>
    </row>
    <row r="2281" spans="1:5" x14ac:dyDescent="0.2">
      <c r="A2281" s="269">
        <v>45910.556157407409</v>
      </c>
      <c r="B2281" t="s">
        <v>1429</v>
      </c>
      <c r="C2281" t="s">
        <v>25</v>
      </c>
      <c r="D2281" t="s">
        <v>2035</v>
      </c>
      <c r="E2281">
        <v>0</v>
      </c>
    </row>
    <row r="2282" spans="1:5" x14ac:dyDescent="0.2">
      <c r="A2282" s="269">
        <v>45910.556168981479</v>
      </c>
      <c r="B2282" t="s">
        <v>1429</v>
      </c>
      <c r="C2282" t="s">
        <v>25</v>
      </c>
      <c r="D2282" t="s">
        <v>2042</v>
      </c>
      <c r="E2282">
        <v>0</v>
      </c>
    </row>
    <row r="2283" spans="1:5" x14ac:dyDescent="0.2">
      <c r="A2283" s="269">
        <v>45910.556192129632</v>
      </c>
      <c r="B2283" t="s">
        <v>1429</v>
      </c>
      <c r="C2283" t="s">
        <v>25</v>
      </c>
      <c r="D2283" t="s">
        <v>984</v>
      </c>
      <c r="E2283">
        <v>0</v>
      </c>
    </row>
    <row r="2284" spans="1:5" x14ac:dyDescent="0.2">
      <c r="A2284" s="269">
        <v>45910.556192129632</v>
      </c>
      <c r="B2284" t="s">
        <v>1429</v>
      </c>
      <c r="C2284" t="s">
        <v>25</v>
      </c>
      <c r="D2284" t="s">
        <v>2043</v>
      </c>
      <c r="E2284">
        <v>0</v>
      </c>
    </row>
    <row r="2285" spans="1:5" x14ac:dyDescent="0.2">
      <c r="A2285" s="269">
        <v>45910.556203703702</v>
      </c>
      <c r="B2285" t="s">
        <v>1429</v>
      </c>
      <c r="C2285" t="s">
        <v>25</v>
      </c>
      <c r="D2285" t="s">
        <v>2044</v>
      </c>
      <c r="E2285">
        <v>0</v>
      </c>
    </row>
    <row r="2286" spans="1:5" x14ac:dyDescent="0.2">
      <c r="A2286" s="269">
        <v>45910.556388888886</v>
      </c>
      <c r="B2286" t="s">
        <v>1429</v>
      </c>
      <c r="C2286" t="s">
        <v>25</v>
      </c>
      <c r="D2286" t="s">
        <v>2023</v>
      </c>
      <c r="E2286" t="s">
        <v>2041</v>
      </c>
    </row>
    <row r="2287" spans="1:5" x14ac:dyDescent="0.2">
      <c r="A2287" s="269">
        <v>45910.55641203704</v>
      </c>
      <c r="B2287" t="s">
        <v>1429</v>
      </c>
      <c r="C2287" t="s">
        <v>25</v>
      </c>
      <c r="D2287" t="s">
        <v>977</v>
      </c>
      <c r="E2287" t="s">
        <v>2041</v>
      </c>
    </row>
    <row r="2288" spans="1:5" x14ac:dyDescent="0.2">
      <c r="A2288" s="269">
        <v>45910.556423611109</v>
      </c>
      <c r="B2288" t="s">
        <v>1429</v>
      </c>
      <c r="C2288" t="s">
        <v>25</v>
      </c>
      <c r="D2288" t="s">
        <v>2024</v>
      </c>
      <c r="E2288" t="s">
        <v>2041</v>
      </c>
    </row>
    <row r="2289" spans="1:5" x14ac:dyDescent="0.2">
      <c r="A2289" s="269">
        <v>45910.556435185186</v>
      </c>
      <c r="B2289" t="s">
        <v>1429</v>
      </c>
      <c r="C2289" t="s">
        <v>25</v>
      </c>
      <c r="D2289" t="s">
        <v>2025</v>
      </c>
      <c r="E2289" t="s">
        <v>2041</v>
      </c>
    </row>
    <row r="2290" spans="1:5" x14ac:dyDescent="0.2">
      <c r="A2290" s="269">
        <v>45910.556458333333</v>
      </c>
      <c r="B2290" t="s">
        <v>1429</v>
      </c>
      <c r="C2290" t="s">
        <v>25</v>
      </c>
      <c r="D2290" t="s">
        <v>2026</v>
      </c>
      <c r="E2290" t="s">
        <v>2041</v>
      </c>
    </row>
    <row r="2291" spans="1:5" x14ac:dyDescent="0.2">
      <c r="A2291" s="269">
        <v>45910.556458333333</v>
      </c>
      <c r="B2291" t="s">
        <v>1429</v>
      </c>
      <c r="C2291" t="s">
        <v>25</v>
      </c>
      <c r="D2291" t="s">
        <v>2027</v>
      </c>
      <c r="E2291" t="s">
        <v>2041</v>
      </c>
    </row>
    <row r="2292" spans="1:5" x14ac:dyDescent="0.2">
      <c r="A2292" s="269">
        <v>45910.556469907409</v>
      </c>
      <c r="B2292" t="s">
        <v>1429</v>
      </c>
      <c r="C2292" t="s">
        <v>25</v>
      </c>
      <c r="D2292" t="s">
        <v>2037</v>
      </c>
      <c r="E2292" t="s">
        <v>2041</v>
      </c>
    </row>
    <row r="2293" spans="1:5" x14ac:dyDescent="0.2">
      <c r="A2293" s="269">
        <v>45910.556481481479</v>
      </c>
      <c r="B2293" t="s">
        <v>1429</v>
      </c>
      <c r="C2293" t="s">
        <v>25</v>
      </c>
      <c r="D2293" t="s">
        <v>2038</v>
      </c>
      <c r="E2293" t="s">
        <v>2041</v>
      </c>
    </row>
    <row r="2294" spans="1:5" x14ac:dyDescent="0.2">
      <c r="A2294" s="269">
        <v>45910.556493055556</v>
      </c>
      <c r="B2294" t="s">
        <v>1429</v>
      </c>
      <c r="C2294" t="s">
        <v>25</v>
      </c>
      <c r="D2294" t="s">
        <v>2039</v>
      </c>
      <c r="E2294" t="s">
        <v>2041</v>
      </c>
    </row>
    <row r="2295" spans="1:5" x14ac:dyDescent="0.2">
      <c r="A2295" s="269">
        <v>45910.556504629632</v>
      </c>
      <c r="B2295" t="s">
        <v>1429</v>
      </c>
      <c r="C2295" t="s">
        <v>25</v>
      </c>
      <c r="D2295" t="s">
        <v>2040</v>
      </c>
      <c r="E2295" t="s">
        <v>2041</v>
      </c>
    </row>
    <row r="2296" spans="1:5" x14ac:dyDescent="0.2">
      <c r="A2296" s="269">
        <v>45910.571203703701</v>
      </c>
      <c r="B2296" t="s">
        <v>1429</v>
      </c>
      <c r="C2296" t="s">
        <v>26</v>
      </c>
      <c r="D2296" t="s">
        <v>944</v>
      </c>
      <c r="E2296" t="s">
        <v>36</v>
      </c>
    </row>
    <row r="2297" spans="1:5" x14ac:dyDescent="0.2">
      <c r="A2297" s="269">
        <v>45910.571238425924</v>
      </c>
      <c r="B2297" t="s">
        <v>1429</v>
      </c>
      <c r="C2297" t="s">
        <v>26</v>
      </c>
      <c r="D2297" t="s">
        <v>1467</v>
      </c>
      <c r="E2297" t="s">
        <v>36</v>
      </c>
    </row>
    <row r="2298" spans="1:5" x14ac:dyDescent="0.2">
      <c r="A2298" s="269">
        <v>45910.572210648148</v>
      </c>
      <c r="B2298" t="s">
        <v>1429</v>
      </c>
      <c r="C2298" t="s">
        <v>609</v>
      </c>
      <c r="D2298" t="s">
        <v>1007</v>
      </c>
      <c r="E2298" t="s">
        <v>10</v>
      </c>
    </row>
    <row r="2299" spans="1:5" x14ac:dyDescent="0.2">
      <c r="A2299" s="269">
        <v>45910.572465277779</v>
      </c>
      <c r="B2299" t="s">
        <v>1429</v>
      </c>
      <c r="C2299" t="s">
        <v>609</v>
      </c>
      <c r="D2299" t="s">
        <v>1072</v>
      </c>
      <c r="E2299" t="s">
        <v>10</v>
      </c>
    </row>
    <row r="2300" spans="1:5" x14ac:dyDescent="0.2">
      <c r="A2300" s="269">
        <v>45910.572569444441</v>
      </c>
      <c r="B2300" t="s">
        <v>1429</v>
      </c>
      <c r="C2300" t="s">
        <v>609</v>
      </c>
      <c r="D2300" t="s">
        <v>1435</v>
      </c>
      <c r="E2300" t="s">
        <v>2045</v>
      </c>
    </row>
    <row r="2301" spans="1:5" ht="96" x14ac:dyDescent="0.2">
      <c r="A2301" s="269">
        <v>45910.573425925926</v>
      </c>
      <c r="B2301" t="s">
        <v>1429</v>
      </c>
      <c r="C2301" t="s">
        <v>609</v>
      </c>
      <c r="D2301" t="s">
        <v>1437</v>
      </c>
      <c r="E2301" s="6" t="s">
        <v>1443</v>
      </c>
    </row>
    <row r="2302" spans="1:5" ht="96" x14ac:dyDescent="0.2">
      <c r="A2302" s="269">
        <v>45910.573530092595</v>
      </c>
      <c r="B2302" t="s">
        <v>1429</v>
      </c>
      <c r="C2302" t="s">
        <v>26</v>
      </c>
      <c r="D2302" t="s">
        <v>954</v>
      </c>
      <c r="E2302" s="6" t="s">
        <v>2046</v>
      </c>
    </row>
    <row r="2303" spans="1:5" ht="96" x14ac:dyDescent="0.2">
      <c r="A2303" s="269">
        <v>45910.573634259257</v>
      </c>
      <c r="B2303" t="s">
        <v>1429</v>
      </c>
      <c r="C2303" t="s">
        <v>26</v>
      </c>
      <c r="D2303" t="s">
        <v>954</v>
      </c>
      <c r="E2303" s="6" t="s">
        <v>2046</v>
      </c>
    </row>
    <row r="2304" spans="1:5" ht="112" x14ac:dyDescent="0.2">
      <c r="A2304" s="269">
        <v>45910.573819444442</v>
      </c>
      <c r="B2304" t="s">
        <v>1429</v>
      </c>
      <c r="C2304" t="s">
        <v>26</v>
      </c>
      <c r="D2304" t="s">
        <v>954</v>
      </c>
      <c r="E2304" s="6" t="s">
        <v>2047</v>
      </c>
    </row>
    <row r="2305" spans="1:5" ht="112" x14ac:dyDescent="0.2">
      <c r="A2305" s="269">
        <v>45910.573877314811</v>
      </c>
      <c r="B2305" t="s">
        <v>1429</v>
      </c>
      <c r="C2305" t="s">
        <v>26</v>
      </c>
      <c r="D2305" t="s">
        <v>656</v>
      </c>
      <c r="E2305" s="6" t="s">
        <v>2047</v>
      </c>
    </row>
    <row r="2306" spans="1:5" ht="112" x14ac:dyDescent="0.2">
      <c r="A2306" s="269">
        <v>45910.573888888888</v>
      </c>
      <c r="B2306" t="s">
        <v>1429</v>
      </c>
      <c r="C2306" t="s">
        <v>26</v>
      </c>
      <c r="D2306" t="s">
        <v>1496</v>
      </c>
      <c r="E2306" s="6" t="s">
        <v>2047</v>
      </c>
    </row>
    <row r="2307" spans="1:5" ht="112" x14ac:dyDescent="0.2">
      <c r="A2307" s="269">
        <v>45910.573912037034</v>
      </c>
      <c r="B2307" t="s">
        <v>1429</v>
      </c>
      <c r="C2307" t="s">
        <v>26</v>
      </c>
      <c r="D2307" t="s">
        <v>994</v>
      </c>
      <c r="E2307" s="6" t="s">
        <v>2047</v>
      </c>
    </row>
    <row r="2308" spans="1:5" ht="112" x14ac:dyDescent="0.2">
      <c r="A2308" s="269">
        <v>45910.573946759258</v>
      </c>
      <c r="B2308" t="s">
        <v>1429</v>
      </c>
      <c r="C2308" t="s">
        <v>26</v>
      </c>
      <c r="D2308" t="s">
        <v>1499</v>
      </c>
      <c r="E2308" s="6" t="s">
        <v>2047</v>
      </c>
    </row>
    <row r="2309" spans="1:5" ht="112" x14ac:dyDescent="0.2">
      <c r="A2309" s="269">
        <v>45910.573958333334</v>
      </c>
      <c r="B2309" t="s">
        <v>1429</v>
      </c>
      <c r="C2309" t="s">
        <v>26</v>
      </c>
      <c r="D2309" t="s">
        <v>1017</v>
      </c>
      <c r="E2309" s="6" t="s">
        <v>2047</v>
      </c>
    </row>
    <row r="2310" spans="1:5" ht="112" x14ac:dyDescent="0.2">
      <c r="A2310" s="269">
        <v>45910.573981481481</v>
      </c>
      <c r="B2310" t="s">
        <v>1429</v>
      </c>
      <c r="C2310" t="s">
        <v>26</v>
      </c>
      <c r="D2310" t="s">
        <v>1502</v>
      </c>
      <c r="E2310" s="6" t="s">
        <v>2047</v>
      </c>
    </row>
    <row r="2311" spans="1:5" ht="112" x14ac:dyDescent="0.2">
      <c r="A2311" s="269">
        <v>45910.574016203704</v>
      </c>
      <c r="B2311" t="s">
        <v>1429</v>
      </c>
      <c r="C2311" t="s">
        <v>26</v>
      </c>
      <c r="D2311" t="s">
        <v>1504</v>
      </c>
      <c r="E2311" s="6" t="s">
        <v>2047</v>
      </c>
    </row>
    <row r="2312" spans="1:5" ht="112" x14ac:dyDescent="0.2">
      <c r="A2312" s="269">
        <v>45910.57402777778</v>
      </c>
      <c r="B2312" t="s">
        <v>1429</v>
      </c>
      <c r="C2312" t="s">
        <v>26</v>
      </c>
      <c r="D2312" t="s">
        <v>1506</v>
      </c>
      <c r="E2312" s="6" t="s">
        <v>2047</v>
      </c>
    </row>
    <row r="2313" spans="1:5" ht="112" x14ac:dyDescent="0.2">
      <c r="A2313" s="269">
        <v>45910.57403935185</v>
      </c>
      <c r="B2313" t="s">
        <v>1429</v>
      </c>
      <c r="C2313" t="s">
        <v>26</v>
      </c>
      <c r="D2313" t="s">
        <v>1508</v>
      </c>
      <c r="E2313" s="6" t="s">
        <v>2047</v>
      </c>
    </row>
    <row r="2314" spans="1:5" ht="112" x14ac:dyDescent="0.2">
      <c r="A2314" s="269">
        <v>45910.574062500003</v>
      </c>
      <c r="B2314" t="s">
        <v>1429</v>
      </c>
      <c r="C2314" t="s">
        <v>26</v>
      </c>
      <c r="D2314" t="s">
        <v>1510</v>
      </c>
      <c r="E2314" s="6" t="s">
        <v>2047</v>
      </c>
    </row>
    <row r="2315" spans="1:5" ht="112" x14ac:dyDescent="0.2">
      <c r="A2315" s="269">
        <v>45910.57408564815</v>
      </c>
      <c r="B2315" t="s">
        <v>1429</v>
      </c>
      <c r="C2315" t="s">
        <v>26</v>
      </c>
      <c r="D2315" t="s">
        <v>1512</v>
      </c>
      <c r="E2315" s="6" t="s">
        <v>2047</v>
      </c>
    </row>
    <row r="2316" spans="1:5" x14ac:dyDescent="0.2">
      <c r="A2316" s="269">
        <v>45910.574305555558</v>
      </c>
      <c r="B2316" t="s">
        <v>1429</v>
      </c>
      <c r="C2316" t="s">
        <v>609</v>
      </c>
      <c r="D2316" t="s">
        <v>1437</v>
      </c>
      <c r="E2316" t="s">
        <v>54</v>
      </c>
    </row>
    <row r="2317" spans="1:5" x14ac:dyDescent="0.2">
      <c r="A2317" s="269">
        <v>45910.574675925927</v>
      </c>
      <c r="B2317" t="s">
        <v>1429</v>
      </c>
      <c r="C2317" t="s">
        <v>609</v>
      </c>
      <c r="D2317" t="s">
        <v>1163</v>
      </c>
      <c r="E2317" t="s">
        <v>10</v>
      </c>
    </row>
    <row r="2318" spans="1:5" x14ac:dyDescent="0.2">
      <c r="A2318" s="269">
        <v>45910.57476851852</v>
      </c>
      <c r="B2318" t="s">
        <v>1429</v>
      </c>
      <c r="C2318" t="s">
        <v>609</v>
      </c>
      <c r="D2318" t="s">
        <v>1444</v>
      </c>
      <c r="E2318" t="s">
        <v>10</v>
      </c>
    </row>
    <row r="2319" spans="1:5" x14ac:dyDescent="0.2">
      <c r="A2319" s="269">
        <v>45910.574849537035</v>
      </c>
      <c r="B2319" t="s">
        <v>1429</v>
      </c>
      <c r="C2319" t="s">
        <v>609</v>
      </c>
      <c r="D2319" t="s">
        <v>1445</v>
      </c>
      <c r="E2319" t="s">
        <v>10</v>
      </c>
    </row>
    <row r="2320" spans="1:5" x14ac:dyDescent="0.2">
      <c r="A2320" s="269">
        <v>45910.575046296297</v>
      </c>
      <c r="B2320" t="s">
        <v>1429</v>
      </c>
      <c r="C2320" t="s">
        <v>609</v>
      </c>
      <c r="D2320" t="s">
        <v>1446</v>
      </c>
      <c r="E2320" t="s">
        <v>2045</v>
      </c>
    </row>
    <row r="2321" spans="1:5" x14ac:dyDescent="0.2">
      <c r="A2321" s="269">
        <v>45910.575208333335</v>
      </c>
      <c r="B2321" t="s">
        <v>1429</v>
      </c>
      <c r="C2321" t="s">
        <v>609</v>
      </c>
      <c r="D2321" t="s">
        <v>1450</v>
      </c>
      <c r="E2321" t="s">
        <v>10</v>
      </c>
    </row>
    <row r="2322" spans="1:5" x14ac:dyDescent="0.2">
      <c r="A2322" s="269">
        <v>45910.575659722221</v>
      </c>
      <c r="B2322" t="s">
        <v>1429</v>
      </c>
      <c r="C2322" t="s">
        <v>609</v>
      </c>
      <c r="D2322" t="s">
        <v>1452</v>
      </c>
      <c r="E2322" t="s">
        <v>78</v>
      </c>
    </row>
    <row r="2323" spans="1:5" x14ac:dyDescent="0.2">
      <c r="A2323" s="269">
        <v>45910.575775462959</v>
      </c>
      <c r="B2323" t="s">
        <v>1429</v>
      </c>
      <c r="C2323" t="s">
        <v>609</v>
      </c>
      <c r="D2323" t="s">
        <v>1454</v>
      </c>
      <c r="E2323" t="s">
        <v>10</v>
      </c>
    </row>
    <row r="2324" spans="1:5" x14ac:dyDescent="0.2">
      <c r="A2324" s="269">
        <v>45910.575833333336</v>
      </c>
      <c r="B2324" t="s">
        <v>1429</v>
      </c>
      <c r="C2324" t="s">
        <v>609</v>
      </c>
      <c r="D2324" t="s">
        <v>1455</v>
      </c>
      <c r="E2324" t="s">
        <v>10</v>
      </c>
    </row>
    <row r="2325" spans="1:5" x14ac:dyDescent="0.2">
      <c r="A2325" s="269">
        <v>45910.575937499998</v>
      </c>
      <c r="B2325" t="s">
        <v>1429</v>
      </c>
      <c r="C2325" t="s">
        <v>609</v>
      </c>
      <c r="D2325" t="s">
        <v>1456</v>
      </c>
      <c r="E2325" t="s">
        <v>10</v>
      </c>
    </row>
    <row r="2326" spans="1:5" x14ac:dyDescent="0.2">
      <c r="A2326" s="269">
        <v>45910.576053240744</v>
      </c>
      <c r="B2326" t="s">
        <v>1429</v>
      </c>
      <c r="C2326" t="s">
        <v>609</v>
      </c>
      <c r="D2326" t="s">
        <v>1457</v>
      </c>
      <c r="E2326" t="s">
        <v>10</v>
      </c>
    </row>
    <row r="2327" spans="1:5" x14ac:dyDescent="0.2">
      <c r="A2327" s="269">
        <v>45910.576238425929</v>
      </c>
      <c r="B2327" t="s">
        <v>1429</v>
      </c>
      <c r="C2327" t="s">
        <v>609</v>
      </c>
      <c r="D2327" t="s">
        <v>1461</v>
      </c>
      <c r="E2327" t="s">
        <v>10</v>
      </c>
    </row>
    <row r="2328" spans="1:5" x14ac:dyDescent="0.2">
      <c r="A2328" s="269">
        <v>45910.576342592591</v>
      </c>
      <c r="B2328" t="s">
        <v>1429</v>
      </c>
      <c r="C2328" t="s">
        <v>609</v>
      </c>
      <c r="D2328" t="s">
        <v>1463</v>
      </c>
      <c r="E2328" t="s">
        <v>10</v>
      </c>
    </row>
    <row r="2329" spans="1:5" x14ac:dyDescent="0.2">
      <c r="A2329" s="269">
        <v>45910.576666666668</v>
      </c>
      <c r="B2329" t="s">
        <v>1429</v>
      </c>
      <c r="C2329" t="s">
        <v>609</v>
      </c>
      <c r="D2329" t="s">
        <v>1465</v>
      </c>
      <c r="E2329" t="s">
        <v>10</v>
      </c>
    </row>
    <row r="2330" spans="1:5" x14ac:dyDescent="0.2">
      <c r="A2330" s="269">
        <v>45910.576736111114</v>
      </c>
      <c r="B2330" t="s">
        <v>1429</v>
      </c>
      <c r="C2330" t="s">
        <v>609</v>
      </c>
      <c r="D2330" t="s">
        <v>1466</v>
      </c>
      <c r="E2330" t="s">
        <v>10</v>
      </c>
    </row>
    <row r="2331" spans="1:5" x14ac:dyDescent="0.2">
      <c r="A2331" s="269">
        <v>45910.578125</v>
      </c>
      <c r="B2331" t="s">
        <v>1429</v>
      </c>
      <c r="C2331" t="s">
        <v>26</v>
      </c>
      <c r="D2331" t="s">
        <v>954</v>
      </c>
      <c r="E2331" t="s">
        <v>2048</v>
      </c>
    </row>
    <row r="2332" spans="1:5" x14ac:dyDescent="0.2">
      <c r="A2332" s="269">
        <v>45910.578298611108</v>
      </c>
      <c r="B2332" t="s">
        <v>1429</v>
      </c>
      <c r="C2332" t="s">
        <v>26</v>
      </c>
      <c r="D2332" t="s">
        <v>954</v>
      </c>
    </row>
    <row r="2333" spans="1:5" x14ac:dyDescent="0.2">
      <c r="A2333" s="269">
        <v>45910.578356481485</v>
      </c>
      <c r="B2333" t="s">
        <v>1429</v>
      </c>
      <c r="C2333" t="s">
        <v>26</v>
      </c>
      <c r="D2333" t="s">
        <v>954</v>
      </c>
      <c r="E2333" t="s">
        <v>2048</v>
      </c>
    </row>
    <row r="2334" spans="1:5" ht="112" x14ac:dyDescent="0.2">
      <c r="A2334" s="269">
        <v>45910.578506944446</v>
      </c>
      <c r="B2334" t="s">
        <v>1429</v>
      </c>
      <c r="C2334" t="s">
        <v>26</v>
      </c>
      <c r="D2334" t="s">
        <v>656</v>
      </c>
      <c r="E2334" s="6" t="s">
        <v>2047</v>
      </c>
    </row>
    <row r="2335" spans="1:5" x14ac:dyDescent="0.2">
      <c r="A2335" s="269">
        <v>45910.578680555554</v>
      </c>
      <c r="B2335" t="s">
        <v>1429</v>
      </c>
      <c r="C2335" t="s">
        <v>26</v>
      </c>
      <c r="D2335" t="s">
        <v>656</v>
      </c>
      <c r="E2335" t="s">
        <v>2048</v>
      </c>
    </row>
    <row r="2336" spans="1:5" x14ac:dyDescent="0.2">
      <c r="A2336" s="269">
        <v>45910.578726851854</v>
      </c>
      <c r="B2336" t="s">
        <v>1429</v>
      </c>
      <c r="C2336" t="s">
        <v>26</v>
      </c>
      <c r="D2336" t="s">
        <v>1496</v>
      </c>
      <c r="E2336" t="s">
        <v>2048</v>
      </c>
    </row>
    <row r="2337" spans="1:5" x14ac:dyDescent="0.2">
      <c r="A2337" s="269">
        <v>45910.578750000001</v>
      </c>
      <c r="B2337" t="s">
        <v>1429</v>
      </c>
      <c r="C2337" t="s">
        <v>26</v>
      </c>
      <c r="D2337" t="s">
        <v>994</v>
      </c>
      <c r="E2337" t="s">
        <v>2048</v>
      </c>
    </row>
    <row r="2338" spans="1:5" x14ac:dyDescent="0.2">
      <c r="A2338" s="269">
        <v>45910.578761574077</v>
      </c>
      <c r="B2338" t="s">
        <v>1429</v>
      </c>
      <c r="C2338" t="s">
        <v>26</v>
      </c>
      <c r="D2338" t="s">
        <v>1502</v>
      </c>
      <c r="E2338" t="s">
        <v>2048</v>
      </c>
    </row>
    <row r="2339" spans="1:5" x14ac:dyDescent="0.2">
      <c r="A2339" s="269">
        <v>45910.57880787037</v>
      </c>
      <c r="B2339" t="s">
        <v>1429</v>
      </c>
      <c r="C2339" t="s">
        <v>26</v>
      </c>
      <c r="D2339" t="s">
        <v>1496</v>
      </c>
      <c r="E2339" t="s">
        <v>2048</v>
      </c>
    </row>
    <row r="2340" spans="1:5" x14ac:dyDescent="0.2">
      <c r="A2340" s="269">
        <v>45910.578819444447</v>
      </c>
      <c r="B2340" t="s">
        <v>1429</v>
      </c>
      <c r="C2340" t="s">
        <v>26</v>
      </c>
      <c r="D2340" t="s">
        <v>994</v>
      </c>
      <c r="E2340" t="s">
        <v>2048</v>
      </c>
    </row>
    <row r="2341" spans="1:5" x14ac:dyDescent="0.2">
      <c r="A2341" s="269">
        <v>45910.57885416667</v>
      </c>
      <c r="B2341" t="s">
        <v>1429</v>
      </c>
      <c r="C2341" t="s">
        <v>26</v>
      </c>
      <c r="D2341" t="s">
        <v>1496</v>
      </c>
      <c r="E2341" t="s">
        <v>2048</v>
      </c>
    </row>
    <row r="2342" spans="1:5" x14ac:dyDescent="0.2">
      <c r="A2342" s="269">
        <v>45910.578865740739</v>
      </c>
      <c r="B2342" t="s">
        <v>1429</v>
      </c>
      <c r="C2342" t="s">
        <v>26</v>
      </c>
      <c r="D2342" t="s">
        <v>994</v>
      </c>
      <c r="E2342" t="s">
        <v>2048</v>
      </c>
    </row>
    <row r="2343" spans="1:5" x14ac:dyDescent="0.2">
      <c r="A2343" s="269">
        <v>45910.578888888886</v>
      </c>
      <c r="B2343" t="s">
        <v>1429</v>
      </c>
      <c r="C2343" t="s">
        <v>26</v>
      </c>
      <c r="D2343" t="s">
        <v>1499</v>
      </c>
      <c r="E2343" t="s">
        <v>2048</v>
      </c>
    </row>
    <row r="2344" spans="1:5" x14ac:dyDescent="0.2">
      <c r="A2344" s="269">
        <v>45910.578888888886</v>
      </c>
      <c r="B2344" t="s">
        <v>1429</v>
      </c>
      <c r="C2344" t="s">
        <v>26</v>
      </c>
      <c r="D2344" t="s">
        <v>1017</v>
      </c>
      <c r="E2344" t="s">
        <v>2048</v>
      </c>
    </row>
    <row r="2345" spans="1:5" x14ac:dyDescent="0.2">
      <c r="A2345" s="269">
        <v>45910.578900462962</v>
      </c>
      <c r="B2345" t="s">
        <v>1429</v>
      </c>
      <c r="C2345" t="s">
        <v>26</v>
      </c>
      <c r="D2345" t="s">
        <v>1502</v>
      </c>
      <c r="E2345" t="s">
        <v>2048</v>
      </c>
    </row>
    <row r="2346" spans="1:5" x14ac:dyDescent="0.2">
      <c r="A2346" s="269">
        <v>45910.578923611109</v>
      </c>
      <c r="B2346" t="s">
        <v>1429</v>
      </c>
      <c r="C2346" t="s">
        <v>26</v>
      </c>
      <c r="D2346" t="s">
        <v>1504</v>
      </c>
      <c r="E2346" t="s">
        <v>2048</v>
      </c>
    </row>
    <row r="2347" spans="1:5" x14ac:dyDescent="0.2">
      <c r="A2347" s="269">
        <v>45910.578946759262</v>
      </c>
      <c r="B2347" t="s">
        <v>1429</v>
      </c>
      <c r="C2347" t="s">
        <v>26</v>
      </c>
      <c r="D2347" t="s">
        <v>1508</v>
      </c>
      <c r="E2347" t="s">
        <v>2048</v>
      </c>
    </row>
    <row r="2348" spans="1:5" x14ac:dyDescent="0.2">
      <c r="A2348" s="269">
        <v>45910.578958333332</v>
      </c>
      <c r="B2348" t="s">
        <v>1429</v>
      </c>
      <c r="C2348" t="s">
        <v>26</v>
      </c>
      <c r="D2348" t="s">
        <v>1506</v>
      </c>
      <c r="E2348" t="s">
        <v>2048</v>
      </c>
    </row>
    <row r="2349" spans="1:5" x14ac:dyDescent="0.2">
      <c r="A2349" s="269">
        <v>45910.578969907408</v>
      </c>
      <c r="B2349" t="s">
        <v>1429</v>
      </c>
      <c r="C2349" t="s">
        <v>26</v>
      </c>
      <c r="D2349" t="s">
        <v>1510</v>
      </c>
      <c r="E2349" t="s">
        <v>2048</v>
      </c>
    </row>
    <row r="2350" spans="1:5" x14ac:dyDescent="0.2">
      <c r="A2350" s="269">
        <v>45910.578993055555</v>
      </c>
      <c r="B2350" t="s">
        <v>1429</v>
      </c>
      <c r="C2350" t="s">
        <v>26</v>
      </c>
      <c r="D2350" t="s">
        <v>1512</v>
      </c>
      <c r="E2350" t="s">
        <v>2048</v>
      </c>
    </row>
    <row r="2351" spans="1:5" x14ac:dyDescent="0.2">
      <c r="A2351" s="269">
        <v>45910.579340277778</v>
      </c>
      <c r="B2351" t="s">
        <v>1429</v>
      </c>
      <c r="C2351" t="s">
        <v>26</v>
      </c>
      <c r="D2351" t="s">
        <v>948</v>
      </c>
      <c r="E2351" t="s">
        <v>336</v>
      </c>
    </row>
    <row r="2352" spans="1:5" x14ac:dyDescent="0.2">
      <c r="A2352" s="269">
        <v>45910.579375000001</v>
      </c>
      <c r="B2352" t="s">
        <v>1429</v>
      </c>
      <c r="C2352" t="s">
        <v>26</v>
      </c>
      <c r="D2352" t="s">
        <v>1550</v>
      </c>
      <c r="E2352" t="s">
        <v>87</v>
      </c>
    </row>
    <row r="2353" spans="1:5" x14ac:dyDescent="0.2">
      <c r="A2353" s="269">
        <v>45910.579432870371</v>
      </c>
      <c r="B2353" t="s">
        <v>1429</v>
      </c>
      <c r="C2353" t="s">
        <v>26</v>
      </c>
      <c r="D2353" t="s">
        <v>1467</v>
      </c>
      <c r="E2353" t="s">
        <v>36</v>
      </c>
    </row>
    <row r="2354" spans="1:5" x14ac:dyDescent="0.2">
      <c r="A2354" s="269">
        <v>45910.579467592594</v>
      </c>
      <c r="B2354" t="s">
        <v>1429</v>
      </c>
      <c r="C2354" t="s">
        <v>26</v>
      </c>
      <c r="D2354" t="s">
        <v>1189</v>
      </c>
      <c r="E2354" t="s">
        <v>36</v>
      </c>
    </row>
    <row r="2355" spans="1:5" x14ac:dyDescent="0.2">
      <c r="A2355" s="269">
        <v>45910.579502314817</v>
      </c>
      <c r="B2355" t="s">
        <v>1429</v>
      </c>
      <c r="C2355" t="s">
        <v>26</v>
      </c>
      <c r="D2355" t="s">
        <v>1008</v>
      </c>
      <c r="E2355" t="s">
        <v>360</v>
      </c>
    </row>
    <row r="2356" spans="1:5" x14ac:dyDescent="0.2">
      <c r="A2356" s="269">
        <v>45910.58452546296</v>
      </c>
      <c r="B2356" t="s">
        <v>1429</v>
      </c>
      <c r="C2356" t="s">
        <v>595</v>
      </c>
      <c r="D2356" t="s">
        <v>1791</v>
      </c>
      <c r="E2356" t="s">
        <v>38</v>
      </c>
    </row>
    <row r="2357" spans="1:5" x14ac:dyDescent="0.2">
      <c r="A2357" s="269">
        <v>45910.584791666668</v>
      </c>
      <c r="B2357" t="s">
        <v>1429</v>
      </c>
      <c r="C2357" t="s">
        <v>2</v>
      </c>
      <c r="D2357" t="s">
        <v>2049</v>
      </c>
      <c r="E2357">
        <v>243.84999999999997</v>
      </c>
    </row>
    <row r="2358" spans="1:5" x14ac:dyDescent="0.2">
      <c r="A2358" s="269">
        <v>45910.584861111114</v>
      </c>
      <c r="B2358" t="s">
        <v>1429</v>
      </c>
      <c r="C2358" t="s">
        <v>2</v>
      </c>
      <c r="D2358" t="s">
        <v>1027</v>
      </c>
      <c r="E2358">
        <v>243.84999999999997</v>
      </c>
    </row>
    <row r="2359" spans="1:5" x14ac:dyDescent="0.2">
      <c r="A2359" s="269">
        <v>45910.584953703707</v>
      </c>
      <c r="B2359" t="s">
        <v>1429</v>
      </c>
      <c r="C2359" t="s">
        <v>2</v>
      </c>
      <c r="D2359" t="s">
        <v>1027</v>
      </c>
      <c r="E2359">
        <v>132</v>
      </c>
    </row>
    <row r="2360" spans="1:5" x14ac:dyDescent="0.2">
      <c r="A2360" s="269">
        <v>45910.612592592595</v>
      </c>
      <c r="B2360" t="s">
        <v>1429</v>
      </c>
      <c r="C2360" t="s">
        <v>595</v>
      </c>
      <c r="D2360" t="s">
        <v>1791</v>
      </c>
      <c r="E2360" t="s">
        <v>38</v>
      </c>
    </row>
    <row r="2361" spans="1:5" x14ac:dyDescent="0.2">
      <c r="A2361" s="269">
        <v>45910.61278935185</v>
      </c>
      <c r="B2361" t="s">
        <v>1429</v>
      </c>
      <c r="C2361" t="s">
        <v>101</v>
      </c>
      <c r="D2361" t="s">
        <v>1496</v>
      </c>
      <c r="E2361" t="s">
        <v>1515</v>
      </c>
    </row>
    <row r="2362" spans="1:5" x14ac:dyDescent="0.2">
      <c r="A2362" s="269">
        <v>45910.613009259258</v>
      </c>
      <c r="B2362" t="s">
        <v>1429</v>
      </c>
      <c r="C2362" t="s">
        <v>101</v>
      </c>
      <c r="D2362" t="s">
        <v>656</v>
      </c>
      <c r="E2362" t="s">
        <v>2050</v>
      </c>
    </row>
    <row r="2363" spans="1:5" x14ac:dyDescent="0.2">
      <c r="A2363" s="269">
        <v>45910.613182870373</v>
      </c>
      <c r="B2363" t="s">
        <v>1429</v>
      </c>
      <c r="C2363" t="s">
        <v>101</v>
      </c>
      <c r="D2363" t="s">
        <v>1496</v>
      </c>
      <c r="E2363" t="s">
        <v>2051</v>
      </c>
    </row>
    <row r="2364" spans="1:5" x14ac:dyDescent="0.2">
      <c r="A2364" s="269">
        <v>45910.613229166665</v>
      </c>
      <c r="B2364" t="s">
        <v>1429</v>
      </c>
      <c r="C2364" t="s">
        <v>101</v>
      </c>
      <c r="D2364" t="s">
        <v>994</v>
      </c>
      <c r="E2364" t="s">
        <v>2052</v>
      </c>
    </row>
    <row r="2365" spans="1:5" x14ac:dyDescent="0.2">
      <c r="A2365" s="269">
        <v>45910.613298611112</v>
      </c>
      <c r="B2365" t="s">
        <v>1429</v>
      </c>
      <c r="C2365" t="s">
        <v>101</v>
      </c>
      <c r="D2365" t="s">
        <v>1499</v>
      </c>
      <c r="E2365" t="s">
        <v>2053</v>
      </c>
    </row>
    <row r="2366" spans="1:5" x14ac:dyDescent="0.2">
      <c r="A2366" s="269">
        <v>45910.613344907404</v>
      </c>
      <c r="B2366" t="s">
        <v>1429</v>
      </c>
      <c r="C2366" t="s">
        <v>101</v>
      </c>
      <c r="D2366" t="s">
        <v>1017</v>
      </c>
      <c r="E2366" t="s">
        <v>2054</v>
      </c>
    </row>
    <row r="2367" spans="1:5" x14ac:dyDescent="0.2">
      <c r="A2367" s="269">
        <v>45910.613391203704</v>
      </c>
      <c r="B2367" t="s">
        <v>1429</v>
      </c>
      <c r="C2367" t="s">
        <v>101</v>
      </c>
      <c r="D2367" t="s">
        <v>1502</v>
      </c>
      <c r="E2367" t="s">
        <v>2055</v>
      </c>
    </row>
    <row r="2368" spans="1:5" x14ac:dyDescent="0.2">
      <c r="A2368" s="269">
        <v>45910.613437499997</v>
      </c>
      <c r="B2368" t="s">
        <v>1429</v>
      </c>
      <c r="C2368" t="s">
        <v>101</v>
      </c>
      <c r="D2368" t="s">
        <v>1504</v>
      </c>
      <c r="E2368" t="s">
        <v>2056</v>
      </c>
    </row>
    <row r="2369" spans="1:5" x14ac:dyDescent="0.2">
      <c r="A2369" s="269">
        <v>45910.61347222222</v>
      </c>
      <c r="B2369" t="s">
        <v>1429</v>
      </c>
      <c r="C2369" t="s">
        <v>101</v>
      </c>
      <c r="D2369" t="s">
        <v>1506</v>
      </c>
      <c r="E2369" t="s">
        <v>2057</v>
      </c>
    </row>
    <row r="2370" spans="1:5" x14ac:dyDescent="0.2">
      <c r="A2370" s="269">
        <v>45910.613518518519</v>
      </c>
      <c r="B2370" t="s">
        <v>1429</v>
      </c>
      <c r="C2370" t="s">
        <v>101</v>
      </c>
      <c r="D2370" t="s">
        <v>1508</v>
      </c>
      <c r="E2370" t="s">
        <v>2058</v>
      </c>
    </row>
    <row r="2371" spans="1:5" x14ac:dyDescent="0.2">
      <c r="A2371" s="269">
        <v>45910.613553240742</v>
      </c>
      <c r="B2371" t="s">
        <v>1429</v>
      </c>
      <c r="C2371" t="s">
        <v>101</v>
      </c>
      <c r="D2371" t="s">
        <v>1510</v>
      </c>
      <c r="E2371" t="s">
        <v>2059</v>
      </c>
    </row>
    <row r="2372" spans="1:5" x14ac:dyDescent="0.2">
      <c r="A2372" s="269">
        <v>45910.613599537035</v>
      </c>
      <c r="B2372" t="s">
        <v>1429</v>
      </c>
      <c r="C2372" t="s">
        <v>101</v>
      </c>
      <c r="D2372" t="s">
        <v>1512</v>
      </c>
      <c r="E2372" t="s">
        <v>2060</v>
      </c>
    </row>
    <row r="2373" spans="1:5" x14ac:dyDescent="0.2">
      <c r="A2373" s="269">
        <v>45910.613634259258</v>
      </c>
      <c r="B2373" t="s">
        <v>1429</v>
      </c>
      <c r="C2373" t="s">
        <v>101</v>
      </c>
      <c r="D2373" t="s">
        <v>1514</v>
      </c>
      <c r="E2373" t="s">
        <v>2061</v>
      </c>
    </row>
    <row r="2374" spans="1:5" x14ac:dyDescent="0.2">
      <c r="A2374" s="269">
        <v>45910.614803240744</v>
      </c>
      <c r="B2374" t="s">
        <v>1429</v>
      </c>
      <c r="C2374" t="s">
        <v>595</v>
      </c>
      <c r="D2374" t="s">
        <v>1791</v>
      </c>
      <c r="E2374" t="s">
        <v>38</v>
      </c>
    </row>
    <row r="2375" spans="1:5" x14ac:dyDescent="0.2">
      <c r="A2375" s="269">
        <v>45910.614918981482</v>
      </c>
      <c r="B2375" t="s">
        <v>1429</v>
      </c>
      <c r="C2375" t="s">
        <v>25</v>
      </c>
      <c r="D2375" t="s">
        <v>935</v>
      </c>
      <c r="E2375" t="s">
        <v>2062</v>
      </c>
    </row>
    <row r="2376" spans="1:5" x14ac:dyDescent="0.2">
      <c r="A2376" s="269">
        <v>45910.614965277775</v>
      </c>
      <c r="B2376" t="s">
        <v>1429</v>
      </c>
      <c r="C2376" t="s">
        <v>25</v>
      </c>
      <c r="D2376" t="s">
        <v>924</v>
      </c>
      <c r="E2376" t="s">
        <v>2063</v>
      </c>
    </row>
    <row r="2377" spans="1:5" x14ac:dyDescent="0.2">
      <c r="A2377" s="269">
        <v>45910.614999999998</v>
      </c>
      <c r="B2377" t="s">
        <v>1429</v>
      </c>
      <c r="C2377" t="s">
        <v>25</v>
      </c>
      <c r="D2377" t="s">
        <v>872</v>
      </c>
      <c r="E2377" t="s">
        <v>2064</v>
      </c>
    </row>
    <row r="2378" spans="1:5" x14ac:dyDescent="0.2">
      <c r="A2378" s="269">
        <v>45910.615046296298</v>
      </c>
      <c r="B2378" t="s">
        <v>1429</v>
      </c>
      <c r="C2378" t="s">
        <v>25</v>
      </c>
      <c r="D2378" t="s">
        <v>1481</v>
      </c>
      <c r="E2378" t="s">
        <v>2065</v>
      </c>
    </row>
    <row r="2379" spans="1:5" x14ac:dyDescent="0.2">
      <c r="A2379" s="269">
        <v>45910.615081018521</v>
      </c>
      <c r="B2379" t="s">
        <v>1429</v>
      </c>
      <c r="C2379" t="s">
        <v>25</v>
      </c>
      <c r="D2379" t="s">
        <v>1482</v>
      </c>
      <c r="E2379" t="s">
        <v>2066</v>
      </c>
    </row>
    <row r="2380" spans="1:5" x14ac:dyDescent="0.2">
      <c r="A2380" s="269">
        <v>45910.615115740744</v>
      </c>
      <c r="B2380" t="s">
        <v>1429</v>
      </c>
      <c r="C2380" t="s">
        <v>25</v>
      </c>
      <c r="D2380" t="s">
        <v>1483</v>
      </c>
      <c r="E2380" t="s">
        <v>2067</v>
      </c>
    </row>
    <row r="2381" spans="1:5" x14ac:dyDescent="0.2">
      <c r="A2381" s="269">
        <v>45910.615162037036</v>
      </c>
      <c r="B2381" t="s">
        <v>1429</v>
      </c>
      <c r="C2381" t="s">
        <v>25</v>
      </c>
      <c r="D2381" t="s">
        <v>1484</v>
      </c>
      <c r="E2381" t="s">
        <v>2068</v>
      </c>
    </row>
    <row r="2382" spans="1:5" x14ac:dyDescent="0.2">
      <c r="A2382" s="269">
        <v>45910.61519675926</v>
      </c>
      <c r="B2382" t="s">
        <v>1429</v>
      </c>
      <c r="C2382" t="s">
        <v>25</v>
      </c>
      <c r="D2382" t="s">
        <v>1485</v>
      </c>
      <c r="E2382" t="s">
        <v>2069</v>
      </c>
    </row>
    <row r="2383" spans="1:5" x14ac:dyDescent="0.2">
      <c r="A2383" s="269">
        <v>45910.615243055552</v>
      </c>
      <c r="B2383" t="s">
        <v>1429</v>
      </c>
      <c r="C2383" t="s">
        <v>25</v>
      </c>
      <c r="D2383" t="s">
        <v>1486</v>
      </c>
      <c r="E2383" t="s">
        <v>2070</v>
      </c>
    </row>
    <row r="2384" spans="1:5" x14ac:dyDescent="0.2">
      <c r="A2384" s="269">
        <v>45910.615277777775</v>
      </c>
      <c r="B2384" t="s">
        <v>1429</v>
      </c>
      <c r="C2384" t="s">
        <v>25</v>
      </c>
      <c r="D2384" t="s">
        <v>1487</v>
      </c>
      <c r="E2384" t="s">
        <v>2071</v>
      </c>
    </row>
    <row r="2385" spans="1:5" x14ac:dyDescent="0.2">
      <c r="A2385" s="269">
        <v>45910.615312499998</v>
      </c>
      <c r="B2385" t="s">
        <v>1429</v>
      </c>
      <c r="C2385" t="s">
        <v>25</v>
      </c>
      <c r="D2385" t="s">
        <v>1488</v>
      </c>
      <c r="E2385" t="s">
        <v>2072</v>
      </c>
    </row>
    <row r="2386" spans="1:5" x14ac:dyDescent="0.2">
      <c r="A2386" s="269">
        <v>45910.615347222221</v>
      </c>
      <c r="B2386" t="s">
        <v>1429</v>
      </c>
      <c r="C2386" t="s">
        <v>25</v>
      </c>
      <c r="D2386" t="s">
        <v>1489</v>
      </c>
      <c r="E2386" t="s">
        <v>2073</v>
      </c>
    </row>
    <row r="2387" spans="1:5" x14ac:dyDescent="0.2">
      <c r="A2387" s="269">
        <v>45910.64571759259</v>
      </c>
      <c r="B2387" t="s">
        <v>1429</v>
      </c>
      <c r="C2387" t="s">
        <v>595</v>
      </c>
      <c r="D2387" t="s">
        <v>1791</v>
      </c>
      <c r="E2387" t="s">
        <v>38</v>
      </c>
    </row>
    <row r="2388" spans="1:5" x14ac:dyDescent="0.2">
      <c r="A2388" s="269">
        <v>45910.657500000001</v>
      </c>
      <c r="B2388" t="s">
        <v>1429</v>
      </c>
      <c r="C2388" t="s">
        <v>609</v>
      </c>
      <c r="D2388" t="s">
        <v>1459</v>
      </c>
      <c r="E2388" t="s">
        <v>54</v>
      </c>
    </row>
    <row r="2389" spans="1:5" x14ac:dyDescent="0.2">
      <c r="A2389" s="269">
        <v>45910.659351851849</v>
      </c>
      <c r="B2389" t="s">
        <v>1429</v>
      </c>
      <c r="C2389" t="s">
        <v>14</v>
      </c>
      <c r="D2389" t="s">
        <v>980</v>
      </c>
      <c r="E2389" t="s">
        <v>2074</v>
      </c>
    </row>
    <row r="2390" spans="1:5" x14ac:dyDescent="0.2">
      <c r="A2390" s="269">
        <v>45910.659432870372</v>
      </c>
      <c r="B2390" t="s">
        <v>1429</v>
      </c>
      <c r="C2390" t="s">
        <v>14</v>
      </c>
      <c r="D2390" t="s">
        <v>980</v>
      </c>
      <c r="E2390" t="s">
        <v>2075</v>
      </c>
    </row>
    <row r="2391" spans="1:5" x14ac:dyDescent="0.2">
      <c r="A2391" s="269">
        <v>45910.671944444446</v>
      </c>
      <c r="B2391" t="s">
        <v>1429</v>
      </c>
      <c r="C2391" t="s">
        <v>14</v>
      </c>
      <c r="D2391" t="s">
        <v>1684</v>
      </c>
      <c r="E2391" t="s">
        <v>2076</v>
      </c>
    </row>
    <row r="2392" spans="1:5" x14ac:dyDescent="0.2">
      <c r="A2392" s="269">
        <v>45910.672430555554</v>
      </c>
      <c r="B2392" t="s">
        <v>1429</v>
      </c>
      <c r="C2392" t="s">
        <v>14</v>
      </c>
      <c r="D2392" t="s">
        <v>1685</v>
      </c>
      <c r="E2392" t="s">
        <v>2077</v>
      </c>
    </row>
    <row r="2393" spans="1:5" x14ac:dyDescent="0.2">
      <c r="A2393" s="269">
        <v>45910.673194444447</v>
      </c>
      <c r="B2393" t="s">
        <v>1429</v>
      </c>
      <c r="C2393" t="s">
        <v>14</v>
      </c>
      <c r="D2393" t="s">
        <v>1686</v>
      </c>
      <c r="E2393" t="s">
        <v>2078</v>
      </c>
    </row>
    <row r="2394" spans="1:5" x14ac:dyDescent="0.2">
      <c r="A2394" s="269">
        <v>45910.673622685186</v>
      </c>
      <c r="B2394" t="s">
        <v>1429</v>
      </c>
      <c r="C2394" t="s">
        <v>14</v>
      </c>
      <c r="D2394" t="s">
        <v>1687</v>
      </c>
      <c r="E2394" t="s">
        <v>2079</v>
      </c>
    </row>
    <row r="2395" spans="1:5" x14ac:dyDescent="0.2">
      <c r="A2395" s="269">
        <v>45910.674074074072</v>
      </c>
      <c r="B2395" t="s">
        <v>1429</v>
      </c>
      <c r="C2395" t="s">
        <v>14</v>
      </c>
      <c r="D2395" t="s">
        <v>1694</v>
      </c>
      <c r="E2395" t="s">
        <v>2080</v>
      </c>
    </row>
    <row r="2396" spans="1:5" x14ac:dyDescent="0.2">
      <c r="A2396" s="269">
        <v>45910.674537037034</v>
      </c>
      <c r="B2396" t="s">
        <v>1429</v>
      </c>
      <c r="C2396" t="s">
        <v>14</v>
      </c>
      <c r="D2396" t="s">
        <v>1695</v>
      </c>
      <c r="E2396" t="s">
        <v>2078</v>
      </c>
    </row>
    <row r="2397" spans="1:5" x14ac:dyDescent="0.2">
      <c r="A2397" s="269">
        <v>45910.674629629626</v>
      </c>
      <c r="B2397" t="s">
        <v>1429</v>
      </c>
      <c r="C2397" t="s">
        <v>14</v>
      </c>
      <c r="D2397" t="s">
        <v>1696</v>
      </c>
      <c r="E2397" t="s">
        <v>2078</v>
      </c>
    </row>
    <row r="2398" spans="1:5" x14ac:dyDescent="0.2">
      <c r="A2398" s="269">
        <v>45910.675138888888</v>
      </c>
      <c r="B2398" t="s">
        <v>1429</v>
      </c>
      <c r="C2398" t="s">
        <v>14</v>
      </c>
      <c r="D2398" t="s">
        <v>1697</v>
      </c>
      <c r="E2398" t="s">
        <v>2081</v>
      </c>
    </row>
    <row r="2399" spans="1:5" x14ac:dyDescent="0.2">
      <c r="A2399" s="269">
        <v>45910.675185185188</v>
      </c>
      <c r="B2399" t="s">
        <v>1429</v>
      </c>
      <c r="C2399" t="s">
        <v>14</v>
      </c>
      <c r="D2399" t="s">
        <v>980</v>
      </c>
      <c r="E2399" t="s">
        <v>2082</v>
      </c>
    </row>
    <row r="2400" spans="1:5" x14ac:dyDescent="0.2">
      <c r="A2400" s="269">
        <v>45910.675208333334</v>
      </c>
      <c r="B2400" t="s">
        <v>1429</v>
      </c>
      <c r="C2400" t="s">
        <v>14</v>
      </c>
      <c r="D2400" t="s">
        <v>1684</v>
      </c>
      <c r="E2400" t="s">
        <v>2083</v>
      </c>
    </row>
    <row r="2401" spans="1:5" x14ac:dyDescent="0.2">
      <c r="A2401" s="269">
        <v>45910.67523148148</v>
      </c>
      <c r="B2401" t="s">
        <v>1429</v>
      </c>
      <c r="C2401" t="s">
        <v>14</v>
      </c>
      <c r="D2401" t="s">
        <v>1685</v>
      </c>
      <c r="E2401" t="s">
        <v>2084</v>
      </c>
    </row>
    <row r="2402" spans="1:5" x14ac:dyDescent="0.2">
      <c r="A2402" s="269">
        <v>45910.675254629627</v>
      </c>
      <c r="B2402" t="s">
        <v>1429</v>
      </c>
      <c r="C2402" t="s">
        <v>14</v>
      </c>
      <c r="D2402" t="s">
        <v>1686</v>
      </c>
      <c r="E2402" t="s">
        <v>2085</v>
      </c>
    </row>
    <row r="2403" spans="1:5" x14ac:dyDescent="0.2">
      <c r="A2403" s="269">
        <v>45910.675266203703</v>
      </c>
      <c r="B2403" t="s">
        <v>1429</v>
      </c>
      <c r="C2403" t="s">
        <v>14</v>
      </c>
      <c r="D2403" t="s">
        <v>1687</v>
      </c>
      <c r="E2403" t="s">
        <v>2086</v>
      </c>
    </row>
    <row r="2404" spans="1:5" x14ac:dyDescent="0.2">
      <c r="A2404" s="269">
        <v>45910.67528935185</v>
      </c>
      <c r="B2404" t="s">
        <v>1429</v>
      </c>
      <c r="C2404" t="s">
        <v>14</v>
      </c>
      <c r="D2404" t="s">
        <v>1694</v>
      </c>
      <c r="E2404" t="s">
        <v>2087</v>
      </c>
    </row>
    <row r="2405" spans="1:5" x14ac:dyDescent="0.2">
      <c r="A2405" s="269">
        <v>45910.675312500003</v>
      </c>
      <c r="B2405" t="s">
        <v>1429</v>
      </c>
      <c r="C2405" t="s">
        <v>14</v>
      </c>
      <c r="D2405" t="s">
        <v>1695</v>
      </c>
      <c r="E2405" t="s">
        <v>2085</v>
      </c>
    </row>
    <row r="2406" spans="1:5" x14ac:dyDescent="0.2">
      <c r="A2406" s="269">
        <v>45910.67560185185</v>
      </c>
      <c r="B2406" t="s">
        <v>1429</v>
      </c>
      <c r="C2406" t="s">
        <v>14</v>
      </c>
      <c r="D2406" t="s">
        <v>1698</v>
      </c>
      <c r="E2406" t="s">
        <v>2088</v>
      </c>
    </row>
    <row r="2407" spans="1:5" x14ac:dyDescent="0.2">
      <c r="A2407" s="269">
        <v>45910.676168981481</v>
      </c>
      <c r="B2407" t="s">
        <v>1429</v>
      </c>
      <c r="C2407" t="s">
        <v>14</v>
      </c>
      <c r="D2407" t="s">
        <v>1699</v>
      </c>
      <c r="E2407" t="s">
        <v>2085</v>
      </c>
    </row>
    <row r="2408" spans="1:5" x14ac:dyDescent="0.2">
      <c r="A2408" s="269">
        <v>45910.676655092589</v>
      </c>
      <c r="B2408" t="s">
        <v>1429</v>
      </c>
      <c r="C2408" t="s">
        <v>14</v>
      </c>
      <c r="D2408" t="s">
        <v>1700</v>
      </c>
      <c r="E2408" t="s">
        <v>2084</v>
      </c>
    </row>
    <row r="2409" spans="1:5" x14ac:dyDescent="0.2">
      <c r="A2409" s="269">
        <v>45910.676770833335</v>
      </c>
      <c r="B2409" t="s">
        <v>1429</v>
      </c>
      <c r="C2409" t="s">
        <v>14</v>
      </c>
      <c r="D2409" t="s">
        <v>1701</v>
      </c>
      <c r="E2409" t="s">
        <v>2089</v>
      </c>
    </row>
    <row r="2410" spans="1:5" x14ac:dyDescent="0.2">
      <c r="A2410" s="269">
        <v>45910.677025462966</v>
      </c>
      <c r="B2410" t="s">
        <v>1429</v>
      </c>
      <c r="C2410" t="s">
        <v>14</v>
      </c>
      <c r="D2410" t="s">
        <v>1699</v>
      </c>
      <c r="E2410" t="s">
        <v>2090</v>
      </c>
    </row>
    <row r="2411" spans="1:5" x14ac:dyDescent="0.2">
      <c r="A2411" s="269">
        <v>45910.677546296298</v>
      </c>
      <c r="B2411" t="s">
        <v>1429</v>
      </c>
      <c r="C2411" t="s">
        <v>14</v>
      </c>
      <c r="D2411" t="s">
        <v>1702</v>
      </c>
      <c r="E2411" t="s">
        <v>2087</v>
      </c>
    </row>
    <row r="2412" spans="1:5" x14ac:dyDescent="0.2">
      <c r="A2412" s="269">
        <v>45910.678194444445</v>
      </c>
      <c r="B2412" t="s">
        <v>1429</v>
      </c>
      <c r="C2412" t="s">
        <v>14</v>
      </c>
      <c r="D2412" t="s">
        <v>1703</v>
      </c>
      <c r="E2412" t="s">
        <v>2091</v>
      </c>
    </row>
    <row r="2413" spans="1:5" x14ac:dyDescent="0.2">
      <c r="A2413" s="269">
        <v>45910.67832175926</v>
      </c>
      <c r="B2413" t="s">
        <v>1429</v>
      </c>
      <c r="C2413" t="s">
        <v>14</v>
      </c>
      <c r="D2413" t="s">
        <v>1704</v>
      </c>
      <c r="E2413" t="s">
        <v>2092</v>
      </c>
    </row>
    <row r="2414" spans="1:5" x14ac:dyDescent="0.2">
      <c r="A2414" s="269">
        <v>45910.678587962961</v>
      </c>
      <c r="B2414" t="s">
        <v>1429</v>
      </c>
      <c r="C2414" t="s">
        <v>14</v>
      </c>
      <c r="D2414" t="s">
        <v>1705</v>
      </c>
      <c r="E2414" t="s">
        <v>2084</v>
      </c>
    </row>
    <row r="2415" spans="1:5" x14ac:dyDescent="0.2">
      <c r="A2415" s="269">
        <v>45910.679039351853</v>
      </c>
      <c r="B2415" t="s">
        <v>1429</v>
      </c>
      <c r="C2415" t="s">
        <v>14</v>
      </c>
      <c r="D2415" t="s">
        <v>1706</v>
      </c>
      <c r="E2415" t="s">
        <v>2091</v>
      </c>
    </row>
    <row r="2416" spans="1:5" x14ac:dyDescent="0.2">
      <c r="A2416" s="269">
        <v>45910.679270833331</v>
      </c>
      <c r="B2416" t="s">
        <v>1429</v>
      </c>
      <c r="C2416" t="s">
        <v>14</v>
      </c>
      <c r="D2416" t="s">
        <v>1707</v>
      </c>
      <c r="E2416" t="s">
        <v>2085</v>
      </c>
    </row>
    <row r="2417" spans="1:5" x14ac:dyDescent="0.2">
      <c r="A2417" s="269">
        <v>45910.681226851855</v>
      </c>
      <c r="B2417" t="s">
        <v>1429</v>
      </c>
      <c r="C2417" t="s">
        <v>14</v>
      </c>
      <c r="D2417" t="s">
        <v>1708</v>
      </c>
      <c r="E2417" t="s">
        <v>2093</v>
      </c>
    </row>
    <row r="2418" spans="1:5" x14ac:dyDescent="0.2">
      <c r="A2418" s="269">
        <v>45910.682488425926</v>
      </c>
      <c r="B2418" t="s">
        <v>1429</v>
      </c>
      <c r="C2418" t="s">
        <v>14</v>
      </c>
      <c r="D2418" t="s">
        <v>1709</v>
      </c>
      <c r="E2418" t="s">
        <v>1712</v>
      </c>
    </row>
    <row r="2419" spans="1:5" x14ac:dyDescent="0.2">
      <c r="A2419" s="269">
        <v>45910.683946759258</v>
      </c>
      <c r="B2419" t="s">
        <v>1429</v>
      </c>
      <c r="C2419" t="s">
        <v>14</v>
      </c>
      <c r="D2419" t="s">
        <v>1709</v>
      </c>
      <c r="E2419" t="s">
        <v>2094</v>
      </c>
    </row>
    <row r="2420" spans="1:5" x14ac:dyDescent="0.2">
      <c r="A2420" s="269">
        <v>45910.684155092589</v>
      </c>
      <c r="B2420" t="s">
        <v>1429</v>
      </c>
      <c r="C2420" t="s">
        <v>14</v>
      </c>
      <c r="D2420" t="s">
        <v>1713</v>
      </c>
      <c r="E2420" t="s">
        <v>2095</v>
      </c>
    </row>
    <row r="2421" spans="1:5" x14ac:dyDescent="0.2">
      <c r="A2421" s="269">
        <v>45910.685127314813</v>
      </c>
      <c r="B2421" t="s">
        <v>1429</v>
      </c>
      <c r="C2421" t="s">
        <v>14</v>
      </c>
      <c r="D2421" t="s">
        <v>1792</v>
      </c>
      <c r="E2421" t="s">
        <v>1660</v>
      </c>
    </row>
    <row r="2422" spans="1:5" x14ac:dyDescent="0.2">
      <c r="A2422" s="269">
        <v>45910.685173611113</v>
      </c>
      <c r="B2422" t="s">
        <v>1429</v>
      </c>
      <c r="C2422" t="s">
        <v>14</v>
      </c>
      <c r="D2422" t="s">
        <v>1793</v>
      </c>
      <c r="E2422" t="s">
        <v>198</v>
      </c>
    </row>
    <row r="2423" spans="1:5" x14ac:dyDescent="0.2">
      <c r="A2423" s="269">
        <v>45910.685196759259</v>
      </c>
      <c r="B2423" t="s">
        <v>1429</v>
      </c>
      <c r="C2423" t="s">
        <v>14</v>
      </c>
      <c r="D2423" t="s">
        <v>1794</v>
      </c>
      <c r="E2423">
        <v>2</v>
      </c>
    </row>
    <row r="2424" spans="1:5" x14ac:dyDescent="0.2">
      <c r="A2424" s="269">
        <v>45910.685231481482</v>
      </c>
      <c r="B2424" t="s">
        <v>1429</v>
      </c>
      <c r="C2424" t="s">
        <v>14</v>
      </c>
      <c r="D2424" t="s">
        <v>1795</v>
      </c>
      <c r="E2424" t="s">
        <v>378</v>
      </c>
    </row>
    <row r="2425" spans="1:5" x14ac:dyDescent="0.2">
      <c r="A2425" s="269">
        <v>45910.685254629629</v>
      </c>
      <c r="B2425" t="s">
        <v>1429</v>
      </c>
      <c r="C2425" t="s">
        <v>14</v>
      </c>
      <c r="D2425" t="s">
        <v>1796</v>
      </c>
      <c r="E2425" t="s">
        <v>350</v>
      </c>
    </row>
    <row r="2426" spans="1:5" x14ac:dyDescent="0.2">
      <c r="A2426" s="269">
        <v>45910.685578703706</v>
      </c>
      <c r="B2426" t="s">
        <v>1429</v>
      </c>
      <c r="C2426" t="s">
        <v>14</v>
      </c>
      <c r="D2426" t="s">
        <v>2097</v>
      </c>
      <c r="E2426" t="s">
        <v>2096</v>
      </c>
    </row>
    <row r="2427" spans="1:5" x14ac:dyDescent="0.2">
      <c r="A2427" s="269">
        <v>45910.685856481483</v>
      </c>
      <c r="B2427" t="s">
        <v>1429</v>
      </c>
      <c r="C2427" t="s">
        <v>14</v>
      </c>
      <c r="D2427" t="s">
        <v>2097</v>
      </c>
      <c r="E2427" t="s">
        <v>2098</v>
      </c>
    </row>
    <row r="2428" spans="1:5" x14ac:dyDescent="0.2">
      <c r="A2428" s="269">
        <v>45910.686307870368</v>
      </c>
      <c r="B2428" t="s">
        <v>1429</v>
      </c>
      <c r="C2428" t="s">
        <v>14</v>
      </c>
      <c r="D2428" t="s">
        <v>2099</v>
      </c>
      <c r="E2428" t="s">
        <v>2082</v>
      </c>
    </row>
    <row r="2429" spans="1:5" x14ac:dyDescent="0.2">
      <c r="A2429" s="269">
        <v>45910.686354166668</v>
      </c>
      <c r="B2429" t="s">
        <v>1429</v>
      </c>
      <c r="C2429" t="s">
        <v>14</v>
      </c>
      <c r="D2429" t="s">
        <v>1768</v>
      </c>
    </row>
    <row r="2430" spans="1:5" x14ac:dyDescent="0.2">
      <c r="A2430" s="269">
        <v>45910.686365740738</v>
      </c>
      <c r="B2430" t="s">
        <v>1429</v>
      </c>
      <c r="C2430" t="s">
        <v>14</v>
      </c>
      <c r="D2430" t="s">
        <v>2100</v>
      </c>
      <c r="E2430">
        <v>11</v>
      </c>
    </row>
    <row r="2431" spans="1:5" x14ac:dyDescent="0.2">
      <c r="A2431" s="269">
        <v>45910.686608796299</v>
      </c>
      <c r="B2431" t="s">
        <v>1429</v>
      </c>
      <c r="C2431" t="s">
        <v>14</v>
      </c>
      <c r="D2431" t="s">
        <v>2100</v>
      </c>
    </row>
    <row r="2432" spans="1:5" x14ac:dyDescent="0.2">
      <c r="A2432" s="269">
        <v>45910.686631944445</v>
      </c>
      <c r="B2432" t="s">
        <v>1429</v>
      </c>
      <c r="C2432" t="s">
        <v>14</v>
      </c>
      <c r="D2432" t="s">
        <v>1768</v>
      </c>
      <c r="E2432">
        <v>11</v>
      </c>
    </row>
    <row r="2433" spans="1:5" x14ac:dyDescent="0.2">
      <c r="A2433" s="269">
        <v>45910.686643518522</v>
      </c>
      <c r="B2433" t="s">
        <v>1429</v>
      </c>
      <c r="C2433" t="s">
        <v>14</v>
      </c>
      <c r="D2433" t="s">
        <v>2099</v>
      </c>
      <c r="E2433" t="s">
        <v>1688</v>
      </c>
    </row>
    <row r="2434" spans="1:5" x14ac:dyDescent="0.2">
      <c r="A2434" s="269">
        <v>45910.686678240738</v>
      </c>
      <c r="B2434" t="s">
        <v>1429</v>
      </c>
      <c r="C2434" t="s">
        <v>14</v>
      </c>
      <c r="D2434" t="s">
        <v>2100</v>
      </c>
      <c r="E2434">
        <v>11</v>
      </c>
    </row>
    <row r="2435" spans="1:5" x14ac:dyDescent="0.2">
      <c r="A2435" s="269">
        <v>45910.686701388891</v>
      </c>
      <c r="B2435" t="s">
        <v>1429</v>
      </c>
      <c r="C2435" t="s">
        <v>14</v>
      </c>
      <c r="D2435" t="s">
        <v>1768</v>
      </c>
    </row>
    <row r="2436" spans="1:5" x14ac:dyDescent="0.2">
      <c r="A2436" s="269">
        <v>45910.686851851853</v>
      </c>
      <c r="B2436" t="s">
        <v>1429</v>
      </c>
      <c r="C2436" t="s">
        <v>14</v>
      </c>
      <c r="D2436" t="s">
        <v>2101</v>
      </c>
      <c r="E2436" t="s">
        <v>2087</v>
      </c>
    </row>
    <row r="2437" spans="1:5" x14ac:dyDescent="0.2">
      <c r="A2437" s="269">
        <v>45910.687268518515</v>
      </c>
      <c r="B2437" t="s">
        <v>1429</v>
      </c>
      <c r="C2437" t="s">
        <v>14</v>
      </c>
      <c r="D2437" t="s">
        <v>2101</v>
      </c>
      <c r="E2437" t="s">
        <v>1688</v>
      </c>
    </row>
    <row r="2438" spans="1:5" x14ac:dyDescent="0.2">
      <c r="A2438" s="269">
        <v>45910.687916666669</v>
      </c>
      <c r="B2438" t="s">
        <v>1429</v>
      </c>
      <c r="C2438" t="s">
        <v>14</v>
      </c>
      <c r="D2438" t="s">
        <v>2102</v>
      </c>
      <c r="E2438" t="s">
        <v>2082</v>
      </c>
    </row>
    <row r="2439" spans="1:5" x14ac:dyDescent="0.2">
      <c r="A2439" s="269">
        <v>45910.688680555555</v>
      </c>
      <c r="B2439" t="s">
        <v>1429</v>
      </c>
      <c r="C2439" t="s">
        <v>14</v>
      </c>
      <c r="D2439" t="s">
        <v>2102</v>
      </c>
      <c r="E2439" t="s">
        <v>1688</v>
      </c>
    </row>
    <row r="2440" spans="1:5" x14ac:dyDescent="0.2">
      <c r="A2440" s="269">
        <v>45910.688703703701</v>
      </c>
      <c r="B2440" t="s">
        <v>1429</v>
      </c>
      <c r="C2440" t="s">
        <v>14</v>
      </c>
      <c r="D2440" t="s">
        <v>1768</v>
      </c>
      <c r="E2440">
        <v>11</v>
      </c>
    </row>
    <row r="2441" spans="1:5" x14ac:dyDescent="0.2">
      <c r="A2441" s="269">
        <v>45910.688726851855</v>
      </c>
      <c r="B2441" t="s">
        <v>1429</v>
      </c>
      <c r="C2441" t="s">
        <v>14</v>
      </c>
      <c r="D2441" t="s">
        <v>1768</v>
      </c>
    </row>
    <row r="2442" spans="1:5" x14ac:dyDescent="0.2">
      <c r="A2442" s="269">
        <v>45910.690798611111</v>
      </c>
      <c r="B2442" t="s">
        <v>1429</v>
      </c>
      <c r="C2442" t="s">
        <v>14</v>
      </c>
      <c r="D2442" t="s">
        <v>2102</v>
      </c>
      <c r="E2442" t="s">
        <v>2082</v>
      </c>
    </row>
    <row r="2443" spans="1:5" x14ac:dyDescent="0.2">
      <c r="A2443" s="269">
        <v>45910.691192129627</v>
      </c>
      <c r="B2443" t="s">
        <v>1429</v>
      </c>
      <c r="C2443" t="s">
        <v>14</v>
      </c>
      <c r="D2443" t="s">
        <v>2103</v>
      </c>
      <c r="E2443" t="s">
        <v>2084</v>
      </c>
    </row>
    <row r="2444" spans="1:5" x14ac:dyDescent="0.2">
      <c r="A2444" s="269">
        <v>45910.691250000003</v>
      </c>
      <c r="B2444" t="s">
        <v>1429</v>
      </c>
      <c r="C2444" t="s">
        <v>14</v>
      </c>
      <c r="D2444" t="s">
        <v>2103</v>
      </c>
      <c r="E2444" t="s">
        <v>2084</v>
      </c>
    </row>
    <row r="2445" spans="1:5" x14ac:dyDescent="0.2">
      <c r="A2445" s="269">
        <v>45910.691284722219</v>
      </c>
      <c r="B2445" t="s">
        <v>1429</v>
      </c>
      <c r="C2445" t="s">
        <v>14</v>
      </c>
      <c r="D2445" t="s">
        <v>2104</v>
      </c>
      <c r="E2445" t="s">
        <v>2089</v>
      </c>
    </row>
    <row r="2446" spans="1:5" x14ac:dyDescent="0.2">
      <c r="A2446" s="269">
        <v>45910.691608796296</v>
      </c>
      <c r="B2446" t="s">
        <v>1429</v>
      </c>
      <c r="C2446" t="s">
        <v>14</v>
      </c>
      <c r="D2446" t="s">
        <v>1849</v>
      </c>
      <c r="E2446" t="s">
        <v>2094</v>
      </c>
    </row>
    <row r="2447" spans="1:5" x14ac:dyDescent="0.2">
      <c r="A2447" s="269">
        <v>45910.691805555558</v>
      </c>
      <c r="B2447" t="s">
        <v>1429</v>
      </c>
      <c r="C2447" t="s">
        <v>14</v>
      </c>
      <c r="D2447" t="s">
        <v>2105</v>
      </c>
      <c r="E2447" t="s">
        <v>2093</v>
      </c>
    </row>
    <row r="2448" spans="1:5" x14ac:dyDescent="0.2">
      <c r="A2448" s="269">
        <v>45910.692303240743</v>
      </c>
      <c r="B2448" t="s">
        <v>1429</v>
      </c>
      <c r="C2448" t="s">
        <v>14</v>
      </c>
      <c r="D2448" t="s">
        <v>1904</v>
      </c>
      <c r="E2448" t="s">
        <v>1661</v>
      </c>
    </row>
    <row r="2449" spans="1:5" x14ac:dyDescent="0.2">
      <c r="A2449" s="269">
        <v>45910.692928240744</v>
      </c>
      <c r="B2449" t="s">
        <v>1429</v>
      </c>
      <c r="C2449" t="s">
        <v>14</v>
      </c>
      <c r="D2449" t="s">
        <v>1708</v>
      </c>
      <c r="E2449" t="s">
        <v>2106</v>
      </c>
    </row>
    <row r="2450" spans="1:5" x14ac:dyDescent="0.2">
      <c r="A2450" s="269">
        <v>45910.692962962959</v>
      </c>
      <c r="B2450" t="s">
        <v>1429</v>
      </c>
      <c r="C2450" t="s">
        <v>14</v>
      </c>
      <c r="D2450" t="s">
        <v>1708</v>
      </c>
      <c r="E2450" t="s">
        <v>2106</v>
      </c>
    </row>
    <row r="2451" spans="1:5" x14ac:dyDescent="0.2">
      <c r="A2451" s="269">
        <v>45910.693020833336</v>
      </c>
      <c r="B2451" t="s">
        <v>1429</v>
      </c>
      <c r="C2451" t="s">
        <v>14</v>
      </c>
      <c r="D2451" t="s">
        <v>1709</v>
      </c>
      <c r="E2451" t="s">
        <v>2107</v>
      </c>
    </row>
    <row r="2452" spans="1:5" x14ac:dyDescent="0.2">
      <c r="A2452" s="269">
        <v>45910.693055555559</v>
      </c>
      <c r="B2452" t="s">
        <v>1429</v>
      </c>
      <c r="C2452" t="s">
        <v>14</v>
      </c>
      <c r="D2452" t="s">
        <v>1713</v>
      </c>
      <c r="E2452" t="s">
        <v>2108</v>
      </c>
    </row>
    <row r="2453" spans="1:5" x14ac:dyDescent="0.2">
      <c r="A2453" s="269">
        <v>45910.693206018521</v>
      </c>
      <c r="B2453" t="s">
        <v>1429</v>
      </c>
      <c r="C2453" t="s">
        <v>14</v>
      </c>
      <c r="D2453" t="s">
        <v>1767</v>
      </c>
    </row>
    <row r="2454" spans="1:5" x14ac:dyDescent="0.2">
      <c r="A2454" s="269">
        <v>45910.69332175926</v>
      </c>
      <c r="B2454" t="s">
        <v>1429</v>
      </c>
      <c r="C2454" t="s">
        <v>14</v>
      </c>
      <c r="D2454" t="s">
        <v>1849</v>
      </c>
      <c r="E2454" t="s">
        <v>2107</v>
      </c>
    </row>
    <row r="2455" spans="1:5" x14ac:dyDescent="0.2">
      <c r="A2455" s="269">
        <v>45910.693391203706</v>
      </c>
      <c r="B2455" t="s">
        <v>1429</v>
      </c>
      <c r="C2455" t="s">
        <v>14</v>
      </c>
      <c r="D2455" t="s">
        <v>2105</v>
      </c>
      <c r="E2455" t="s">
        <v>2106</v>
      </c>
    </row>
    <row r="2456" spans="1:5" x14ac:dyDescent="0.2">
      <c r="A2456" s="269">
        <v>45910.693541666667</v>
      </c>
      <c r="B2456" t="s">
        <v>1429</v>
      </c>
      <c r="C2456" t="s">
        <v>14</v>
      </c>
      <c r="D2456" t="s">
        <v>2109</v>
      </c>
      <c r="E2456" t="s">
        <v>198</v>
      </c>
    </row>
    <row r="2457" spans="1:5" x14ac:dyDescent="0.2">
      <c r="A2457" s="269">
        <v>45910.693599537037</v>
      </c>
      <c r="B2457" t="s">
        <v>1429</v>
      </c>
      <c r="C2457" t="s">
        <v>14</v>
      </c>
      <c r="D2457" t="s">
        <v>1907</v>
      </c>
      <c r="E2457">
        <v>2</v>
      </c>
    </row>
    <row r="2458" spans="1:5" x14ac:dyDescent="0.2">
      <c r="A2458" s="269">
        <v>45910.693657407406</v>
      </c>
      <c r="B2458" t="s">
        <v>1429</v>
      </c>
      <c r="C2458" t="s">
        <v>14</v>
      </c>
      <c r="D2458" t="s">
        <v>1910</v>
      </c>
      <c r="E2458" t="s">
        <v>370</v>
      </c>
    </row>
    <row r="2459" spans="1:5" x14ac:dyDescent="0.2">
      <c r="A2459" s="269">
        <v>45910.693680555552</v>
      </c>
      <c r="B2459" t="s">
        <v>1429</v>
      </c>
      <c r="C2459" t="s">
        <v>14</v>
      </c>
      <c r="D2459" t="s">
        <v>2110</v>
      </c>
      <c r="E2459" t="s">
        <v>350</v>
      </c>
    </row>
    <row r="2460" spans="1:5" x14ac:dyDescent="0.2">
      <c r="A2460" s="269">
        <v>45910.694027777776</v>
      </c>
      <c r="B2460" t="s">
        <v>1429</v>
      </c>
      <c r="C2460" t="s">
        <v>14</v>
      </c>
      <c r="D2460" t="s">
        <v>980</v>
      </c>
      <c r="E2460" t="s">
        <v>2082</v>
      </c>
    </row>
    <row r="2461" spans="1:5" x14ac:dyDescent="0.2">
      <c r="A2461" s="269">
        <v>45916.92560185185</v>
      </c>
      <c r="B2461" t="s">
        <v>594</v>
      </c>
      <c r="C2461" t="s">
        <v>595</v>
      </c>
      <c r="D2461" t="s">
        <v>1791</v>
      </c>
      <c r="E2461" t="s">
        <v>38</v>
      </c>
    </row>
    <row r="2462" spans="1:5" x14ac:dyDescent="0.2">
      <c r="A2462" s="269">
        <v>45916.925995370373</v>
      </c>
      <c r="B2462" t="s">
        <v>594</v>
      </c>
      <c r="C2462" t="s">
        <v>26</v>
      </c>
      <c r="D2462" t="s">
        <v>2111</v>
      </c>
      <c r="E2462" t="s">
        <v>51</v>
      </c>
    </row>
    <row r="2463" spans="1:5" x14ac:dyDescent="0.2">
      <c r="A2463" s="269">
        <v>45916.926053240742</v>
      </c>
      <c r="B2463" t="s">
        <v>594</v>
      </c>
      <c r="C2463" t="s">
        <v>26</v>
      </c>
      <c r="D2463" t="s">
        <v>2112</v>
      </c>
      <c r="E2463" t="s">
        <v>51</v>
      </c>
    </row>
    <row r="2464" spans="1:5" x14ac:dyDescent="0.2">
      <c r="A2464" s="269">
        <v>45916.926203703704</v>
      </c>
      <c r="B2464" t="s">
        <v>594</v>
      </c>
      <c r="C2464" t="s">
        <v>26</v>
      </c>
      <c r="D2464" t="s">
        <v>2113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1229</v>
      </c>
      <c r="B1" s="170"/>
      <c r="C1" s="169" t="s">
        <v>318</v>
      </c>
      <c r="D1" s="169" t="s">
        <v>1230</v>
      </c>
      <c r="E1" s="169" t="s">
        <v>1231</v>
      </c>
      <c r="I1" t="s">
        <v>329</v>
      </c>
      <c r="J1" t="s">
        <v>1230</v>
      </c>
      <c r="L1" s="15" t="s">
        <v>329</v>
      </c>
    </row>
    <row r="2" spans="1:14" ht="20" x14ac:dyDescent="0.2">
      <c r="A2" s="171">
        <v>6</v>
      </c>
      <c r="B2" s="172" t="s">
        <v>342</v>
      </c>
      <c r="C2" s="171" t="s">
        <v>1232</v>
      </c>
      <c r="D2" s="171" t="s">
        <v>1233</v>
      </c>
      <c r="E2" s="171" t="s">
        <v>1234</v>
      </c>
      <c r="F2" s="171" t="s">
        <v>1235</v>
      </c>
      <c r="I2" t="s">
        <v>342</v>
      </c>
      <c r="J2" t="s">
        <v>1233</v>
      </c>
      <c r="L2" s="16" t="s">
        <v>342</v>
      </c>
      <c r="N2" t="str">
        <f t="shared" ref="N2:N65" si="0">IF(I2=L2,"","X")</f>
        <v/>
      </c>
    </row>
    <row r="3" spans="1:14" ht="20" x14ac:dyDescent="0.2">
      <c r="A3" s="171">
        <v>22</v>
      </c>
      <c r="B3" s="169" t="s">
        <v>353</v>
      </c>
      <c r="C3" s="171" t="s">
        <v>1236</v>
      </c>
      <c r="D3" s="171" t="s">
        <v>1237</v>
      </c>
      <c r="E3" s="171" t="s">
        <v>1234</v>
      </c>
      <c r="F3" s="171" t="s">
        <v>1238</v>
      </c>
      <c r="I3" t="s">
        <v>353</v>
      </c>
      <c r="J3" t="s">
        <v>1237</v>
      </c>
      <c r="L3" s="16" t="s">
        <v>353</v>
      </c>
      <c r="N3" t="str">
        <f t="shared" si="0"/>
        <v/>
      </c>
    </row>
    <row r="4" spans="1:14" ht="20" x14ac:dyDescent="0.2">
      <c r="A4" s="171">
        <v>74</v>
      </c>
      <c r="B4" s="169" t="s">
        <v>364</v>
      </c>
      <c r="C4" s="171" t="s">
        <v>1239</v>
      </c>
      <c r="D4" s="171" t="s">
        <v>1240</v>
      </c>
      <c r="E4" s="171" t="s">
        <v>334</v>
      </c>
      <c r="F4" s="171" t="s">
        <v>1241</v>
      </c>
      <c r="I4" t="s">
        <v>364</v>
      </c>
      <c r="J4" t="s">
        <v>1240</v>
      </c>
      <c r="L4" s="16" t="s">
        <v>364</v>
      </c>
      <c r="N4" t="str">
        <f t="shared" si="0"/>
        <v/>
      </c>
    </row>
    <row r="5" spans="1:14" ht="20" x14ac:dyDescent="0.2">
      <c r="A5" s="171">
        <v>62</v>
      </c>
      <c r="B5" s="169" t="s">
        <v>373</v>
      </c>
      <c r="C5" s="171" t="s">
        <v>1242</v>
      </c>
      <c r="D5" s="171" t="s">
        <v>1240</v>
      </c>
      <c r="E5" s="171" t="s">
        <v>1234</v>
      </c>
      <c r="F5" s="171" t="s">
        <v>1243</v>
      </c>
      <c r="I5" t="s">
        <v>373</v>
      </c>
      <c r="J5" t="s">
        <v>1240</v>
      </c>
      <c r="L5" s="16" t="s">
        <v>373</v>
      </c>
      <c r="N5" t="str">
        <f t="shared" si="0"/>
        <v/>
      </c>
    </row>
    <row r="6" spans="1:14" ht="20" x14ac:dyDescent="0.2">
      <c r="A6" s="171">
        <v>136</v>
      </c>
      <c r="B6" s="169" t="s">
        <v>380</v>
      </c>
      <c r="C6" s="171" t="s">
        <v>1244</v>
      </c>
      <c r="D6" s="171" t="s">
        <v>1240</v>
      </c>
      <c r="E6" s="171" t="s">
        <v>358</v>
      </c>
      <c r="F6" s="171" t="s">
        <v>1245</v>
      </c>
      <c r="I6" t="s">
        <v>380</v>
      </c>
      <c r="J6" t="s">
        <v>1240</v>
      </c>
      <c r="L6" s="16" t="s">
        <v>380</v>
      </c>
      <c r="N6" t="str">
        <f t="shared" si="0"/>
        <v/>
      </c>
    </row>
    <row r="7" spans="1:14" ht="20" x14ac:dyDescent="0.2">
      <c r="A7" s="171">
        <v>75</v>
      </c>
      <c r="B7" s="169" t="s">
        <v>386</v>
      </c>
      <c r="C7" s="171" t="s">
        <v>1246</v>
      </c>
      <c r="D7" s="171" t="s">
        <v>1240</v>
      </c>
      <c r="E7" s="171" t="s">
        <v>334</v>
      </c>
      <c r="F7" s="171" t="s">
        <v>1241</v>
      </c>
      <c r="I7" t="s">
        <v>386</v>
      </c>
      <c r="J7" t="s">
        <v>1240</v>
      </c>
      <c r="L7" s="16" t="s">
        <v>386</v>
      </c>
      <c r="N7" t="str">
        <f t="shared" si="0"/>
        <v/>
      </c>
    </row>
    <row r="8" spans="1:14" ht="20" x14ac:dyDescent="0.2">
      <c r="A8" s="171">
        <v>137</v>
      </c>
      <c r="B8" s="169" t="s">
        <v>390</v>
      </c>
      <c r="C8" s="171" t="s">
        <v>1247</v>
      </c>
      <c r="D8" s="171" t="s">
        <v>1240</v>
      </c>
      <c r="E8" s="171" t="s">
        <v>358</v>
      </c>
      <c r="F8" s="171" t="s">
        <v>1245</v>
      </c>
      <c r="I8" t="s">
        <v>390</v>
      </c>
      <c r="J8" t="s">
        <v>1240</v>
      </c>
      <c r="L8" s="16" t="s">
        <v>390</v>
      </c>
      <c r="N8" t="str">
        <f t="shared" si="0"/>
        <v/>
      </c>
    </row>
    <row r="9" spans="1:14" ht="20" x14ac:dyDescent="0.2">
      <c r="A9" s="171">
        <v>29</v>
      </c>
      <c r="B9" s="169" t="s">
        <v>393</v>
      </c>
      <c r="C9" s="171" t="s">
        <v>1248</v>
      </c>
      <c r="D9" s="171" t="s">
        <v>1240</v>
      </c>
      <c r="E9" s="171" t="s">
        <v>1234</v>
      </c>
      <c r="F9" s="171" t="s">
        <v>1238</v>
      </c>
      <c r="I9" t="s">
        <v>393</v>
      </c>
      <c r="J9" t="s">
        <v>1240</v>
      </c>
      <c r="L9" s="16" t="s">
        <v>393</v>
      </c>
      <c r="N9" t="str">
        <f t="shared" si="0"/>
        <v/>
      </c>
    </row>
    <row r="10" spans="1:14" ht="20" x14ac:dyDescent="0.2">
      <c r="A10" s="171">
        <v>96</v>
      </c>
      <c r="B10" s="169" t="s">
        <v>396</v>
      </c>
      <c r="C10" s="171" t="s">
        <v>1249</v>
      </c>
      <c r="D10" s="171" t="s">
        <v>1250</v>
      </c>
      <c r="E10" s="171" t="s">
        <v>334</v>
      </c>
      <c r="F10" s="171" t="s">
        <v>1251</v>
      </c>
      <c r="I10" t="s">
        <v>396</v>
      </c>
      <c r="J10" t="s">
        <v>1250</v>
      </c>
      <c r="L10" s="16" t="s">
        <v>396</v>
      </c>
      <c r="N10" t="str">
        <f t="shared" si="0"/>
        <v/>
      </c>
    </row>
    <row r="11" spans="1:14" ht="20" x14ac:dyDescent="0.2">
      <c r="A11" s="171">
        <v>59</v>
      </c>
      <c r="B11" s="169" t="s">
        <v>1252</v>
      </c>
      <c r="C11" s="171" t="s">
        <v>1253</v>
      </c>
      <c r="D11" s="171" t="s">
        <v>1254</v>
      </c>
      <c r="E11" s="171" t="s">
        <v>1234</v>
      </c>
      <c r="F11" s="171" t="s">
        <v>1255</v>
      </c>
      <c r="I11" t="s">
        <v>1252</v>
      </c>
      <c r="J11" t="s">
        <v>1254</v>
      </c>
      <c r="L11" t="s">
        <v>1252</v>
      </c>
      <c r="N11" t="str">
        <f t="shared" si="0"/>
        <v/>
      </c>
    </row>
    <row r="12" spans="1:14" ht="20" x14ac:dyDescent="0.2">
      <c r="A12" s="171">
        <v>145</v>
      </c>
      <c r="B12" s="169" t="s">
        <v>399</v>
      </c>
      <c r="C12" s="171" t="s">
        <v>1256</v>
      </c>
      <c r="D12" s="171" t="s">
        <v>1250</v>
      </c>
      <c r="E12" s="171" t="s">
        <v>358</v>
      </c>
      <c r="F12" s="171" t="s">
        <v>1257</v>
      </c>
      <c r="I12" t="s">
        <v>399</v>
      </c>
      <c r="J12" t="s">
        <v>1250</v>
      </c>
      <c r="L12" s="16" t="s">
        <v>399</v>
      </c>
      <c r="N12" t="str">
        <f t="shared" si="0"/>
        <v/>
      </c>
    </row>
    <row r="13" spans="1:14" ht="20" x14ac:dyDescent="0.2">
      <c r="A13" s="171">
        <v>21</v>
      </c>
      <c r="B13" s="169" t="s">
        <v>403</v>
      </c>
      <c r="C13" s="171" t="s">
        <v>1258</v>
      </c>
      <c r="D13" s="171" t="s">
        <v>1250</v>
      </c>
      <c r="E13" s="171" t="s">
        <v>1234</v>
      </c>
      <c r="F13" s="171" t="s">
        <v>1259</v>
      </c>
      <c r="I13" t="s">
        <v>403</v>
      </c>
      <c r="J13" t="s">
        <v>1250</v>
      </c>
      <c r="L13" s="16" t="s">
        <v>403</v>
      </c>
      <c r="N13" t="str">
        <f t="shared" si="0"/>
        <v/>
      </c>
    </row>
    <row r="14" spans="1:14" ht="20" x14ac:dyDescent="0.2">
      <c r="A14" s="171">
        <v>45</v>
      </c>
      <c r="B14" s="169" t="s">
        <v>406</v>
      </c>
      <c r="C14" s="171" t="s">
        <v>1260</v>
      </c>
      <c r="D14" s="171" t="s">
        <v>1240</v>
      </c>
      <c r="E14" s="171" t="s">
        <v>1234</v>
      </c>
      <c r="F14" s="171" t="s">
        <v>1261</v>
      </c>
      <c r="I14" t="s">
        <v>406</v>
      </c>
      <c r="J14" t="s">
        <v>1240</v>
      </c>
      <c r="L14" s="16" t="s">
        <v>406</v>
      </c>
      <c r="N14" t="str">
        <f t="shared" si="0"/>
        <v/>
      </c>
    </row>
    <row r="15" spans="1:14" ht="20" x14ac:dyDescent="0.2">
      <c r="A15" s="171">
        <v>46</v>
      </c>
      <c r="B15" s="169" t="s">
        <v>410</v>
      </c>
      <c r="C15" s="171" t="s">
        <v>1262</v>
      </c>
      <c r="D15" s="171" t="s">
        <v>1240</v>
      </c>
      <c r="E15" s="171" t="s">
        <v>1234</v>
      </c>
      <c r="F15" s="171" t="s">
        <v>1261</v>
      </c>
      <c r="I15" t="s">
        <v>410</v>
      </c>
      <c r="J15" t="s">
        <v>1240</v>
      </c>
      <c r="L15" s="16" t="s">
        <v>410</v>
      </c>
      <c r="N15" t="str">
        <f t="shared" si="0"/>
        <v/>
      </c>
    </row>
    <row r="16" spans="1:14" ht="20" x14ac:dyDescent="0.2">
      <c r="A16" s="171">
        <v>2</v>
      </c>
      <c r="B16" s="172" t="s">
        <v>412</v>
      </c>
      <c r="C16" s="171" t="s">
        <v>1263</v>
      </c>
      <c r="D16" s="171" t="s">
        <v>1240</v>
      </c>
      <c r="E16" s="171" t="s">
        <v>1234</v>
      </c>
      <c r="F16" s="171" t="s">
        <v>1235</v>
      </c>
      <c r="I16" t="s">
        <v>412</v>
      </c>
      <c r="J16" t="s">
        <v>1240</v>
      </c>
      <c r="L16" s="16" t="s">
        <v>412</v>
      </c>
      <c r="N16" t="str">
        <f t="shared" si="0"/>
        <v/>
      </c>
    </row>
    <row r="17" spans="1:14" ht="20" x14ac:dyDescent="0.2">
      <c r="A17" s="171">
        <v>84</v>
      </c>
      <c r="B17" s="169" t="s">
        <v>414</v>
      </c>
      <c r="C17" s="171" t="s">
        <v>1264</v>
      </c>
      <c r="D17" s="171" t="s">
        <v>1237</v>
      </c>
      <c r="E17" s="171" t="s">
        <v>334</v>
      </c>
      <c r="F17" s="171" t="s">
        <v>1251</v>
      </c>
      <c r="I17" t="s">
        <v>414</v>
      </c>
      <c r="J17" t="s">
        <v>1237</v>
      </c>
      <c r="L17" s="16" t="s">
        <v>414</v>
      </c>
      <c r="N17" t="str">
        <f t="shared" si="0"/>
        <v/>
      </c>
    </row>
    <row r="18" spans="1:14" ht="20" x14ac:dyDescent="0.2">
      <c r="A18" s="171">
        <v>99</v>
      </c>
      <c r="B18" s="169" t="s">
        <v>416</v>
      </c>
      <c r="C18" s="171" t="s">
        <v>1265</v>
      </c>
      <c r="D18" s="171" t="s">
        <v>1240</v>
      </c>
      <c r="E18" s="171" t="s">
        <v>334</v>
      </c>
      <c r="F18" s="171" t="s">
        <v>1266</v>
      </c>
      <c r="I18" t="s">
        <v>416</v>
      </c>
      <c r="J18" t="s">
        <v>1240</v>
      </c>
      <c r="L18" s="16" t="s">
        <v>416</v>
      </c>
      <c r="N18" t="str">
        <f t="shared" si="0"/>
        <v/>
      </c>
    </row>
    <row r="19" spans="1:14" ht="20" x14ac:dyDescent="0.2">
      <c r="A19" s="171">
        <v>51</v>
      </c>
      <c r="B19" s="169" t="s">
        <v>418</v>
      </c>
      <c r="C19" s="171" t="s">
        <v>1267</v>
      </c>
      <c r="D19" s="171" t="s">
        <v>1250</v>
      </c>
      <c r="E19" s="171" t="s">
        <v>1234</v>
      </c>
      <c r="F19" s="171" t="s">
        <v>1255</v>
      </c>
      <c r="I19" t="s">
        <v>418</v>
      </c>
      <c r="J19" t="s">
        <v>1250</v>
      </c>
      <c r="L19" s="16" t="s">
        <v>418</v>
      </c>
      <c r="N19" t="str">
        <f t="shared" si="0"/>
        <v/>
      </c>
    </row>
    <row r="20" spans="1:14" ht="20" x14ac:dyDescent="0.2">
      <c r="A20" s="171">
        <v>85</v>
      </c>
      <c r="B20" s="169" t="s">
        <v>420</v>
      </c>
      <c r="C20" s="171" t="s">
        <v>1268</v>
      </c>
      <c r="D20" s="171" t="s">
        <v>1237</v>
      </c>
      <c r="E20" s="171" t="s">
        <v>334</v>
      </c>
      <c r="F20" s="171" t="s">
        <v>1251</v>
      </c>
      <c r="I20" t="s">
        <v>420</v>
      </c>
      <c r="J20" t="s">
        <v>1237</v>
      </c>
      <c r="L20" s="16" t="s">
        <v>420</v>
      </c>
      <c r="N20" t="str">
        <f t="shared" si="0"/>
        <v/>
      </c>
    </row>
    <row r="21" spans="1:14" ht="20" x14ac:dyDescent="0.2">
      <c r="A21" s="171">
        <v>89</v>
      </c>
      <c r="B21" s="169" t="s">
        <v>422</v>
      </c>
      <c r="C21" s="171" t="s">
        <v>1269</v>
      </c>
      <c r="D21" s="171" t="s">
        <v>1240</v>
      </c>
      <c r="E21" s="171" t="s">
        <v>334</v>
      </c>
      <c r="F21" s="171" t="s">
        <v>1251</v>
      </c>
      <c r="I21" t="s">
        <v>422</v>
      </c>
      <c r="J21" t="s">
        <v>1240</v>
      </c>
      <c r="L21" s="16" t="s">
        <v>422</v>
      </c>
      <c r="N21" t="str">
        <f t="shared" si="0"/>
        <v/>
      </c>
    </row>
    <row r="22" spans="1:14" ht="20" x14ac:dyDescent="0.2">
      <c r="A22" s="171">
        <v>90</v>
      </c>
      <c r="B22" s="169" t="s">
        <v>424</v>
      </c>
      <c r="C22" s="171" t="s">
        <v>1270</v>
      </c>
      <c r="D22" s="171" t="s">
        <v>1240</v>
      </c>
      <c r="E22" s="171" t="s">
        <v>334</v>
      </c>
      <c r="F22" s="171" t="s">
        <v>1251</v>
      </c>
      <c r="I22" t="s">
        <v>424</v>
      </c>
      <c r="J22" t="s">
        <v>1240</v>
      </c>
      <c r="L22" s="16" t="s">
        <v>424</v>
      </c>
      <c r="N22" t="str">
        <f t="shared" si="0"/>
        <v/>
      </c>
    </row>
    <row r="23" spans="1:14" ht="20" x14ac:dyDescent="0.2">
      <c r="A23" s="171">
        <v>150</v>
      </c>
      <c r="B23" s="169" t="s">
        <v>426</v>
      </c>
      <c r="C23" s="171" t="s">
        <v>1271</v>
      </c>
      <c r="D23" s="171" t="s">
        <v>1254</v>
      </c>
      <c r="E23" s="171" t="s">
        <v>358</v>
      </c>
      <c r="F23" s="171" t="s">
        <v>1257</v>
      </c>
      <c r="I23" t="s">
        <v>426</v>
      </c>
      <c r="J23" t="s">
        <v>1254</v>
      </c>
      <c r="L23" s="16" t="s">
        <v>426</v>
      </c>
      <c r="N23" t="str">
        <f t="shared" si="0"/>
        <v/>
      </c>
    </row>
    <row r="24" spans="1:14" ht="20" x14ac:dyDescent="0.2">
      <c r="A24" s="171">
        <v>118</v>
      </c>
      <c r="B24" s="169" t="s">
        <v>428</v>
      </c>
      <c r="C24" s="171" t="s">
        <v>1272</v>
      </c>
      <c r="D24" s="171" t="s">
        <v>1240</v>
      </c>
      <c r="E24" s="171" t="s">
        <v>358</v>
      </c>
      <c r="F24" s="171" t="s">
        <v>1273</v>
      </c>
      <c r="I24" t="s">
        <v>428</v>
      </c>
      <c r="J24" t="s">
        <v>1240</v>
      </c>
      <c r="L24" s="16" t="s">
        <v>428</v>
      </c>
      <c r="N24" t="str">
        <f t="shared" si="0"/>
        <v/>
      </c>
    </row>
    <row r="25" spans="1:14" ht="20" x14ac:dyDescent="0.2">
      <c r="A25" s="171">
        <v>15</v>
      </c>
      <c r="B25" s="169" t="s">
        <v>430</v>
      </c>
      <c r="C25" s="171" t="s">
        <v>1274</v>
      </c>
      <c r="D25" s="171" t="s">
        <v>1240</v>
      </c>
      <c r="E25" s="171" t="s">
        <v>1234</v>
      </c>
      <c r="F25" s="171" t="s">
        <v>1259</v>
      </c>
      <c r="I25" t="s">
        <v>430</v>
      </c>
      <c r="J25" t="s">
        <v>1240</v>
      </c>
      <c r="L25" s="16" t="s">
        <v>430</v>
      </c>
      <c r="N25" t="str">
        <f t="shared" si="0"/>
        <v/>
      </c>
    </row>
    <row r="26" spans="1:14" ht="20" x14ac:dyDescent="0.2">
      <c r="A26" s="171">
        <v>16</v>
      </c>
      <c r="B26" s="169" t="s">
        <v>432</v>
      </c>
      <c r="C26" s="171" t="s">
        <v>1275</v>
      </c>
      <c r="D26" s="171" t="s">
        <v>1240</v>
      </c>
      <c r="E26" s="171" t="s">
        <v>1234</v>
      </c>
      <c r="F26" s="171" t="s">
        <v>1259</v>
      </c>
      <c r="I26" t="s">
        <v>432</v>
      </c>
      <c r="J26" t="s">
        <v>1240</v>
      </c>
      <c r="L26" s="16" t="s">
        <v>432</v>
      </c>
      <c r="N26" t="str">
        <f t="shared" si="0"/>
        <v/>
      </c>
    </row>
    <row r="27" spans="1:14" ht="20" x14ac:dyDescent="0.2">
      <c r="A27" s="171">
        <v>119</v>
      </c>
      <c r="B27" s="169" t="s">
        <v>434</v>
      </c>
      <c r="C27" s="171" t="s">
        <v>1276</v>
      </c>
      <c r="D27" s="171" t="s">
        <v>1240</v>
      </c>
      <c r="E27" s="171" t="s">
        <v>358</v>
      </c>
      <c r="F27" s="171" t="s">
        <v>1273</v>
      </c>
      <c r="I27" t="s">
        <v>434</v>
      </c>
      <c r="J27" t="s">
        <v>1240</v>
      </c>
      <c r="L27" s="16" t="s">
        <v>434</v>
      </c>
      <c r="N27" t="str">
        <f t="shared" si="0"/>
        <v/>
      </c>
    </row>
    <row r="28" spans="1:14" ht="20" x14ac:dyDescent="0.2">
      <c r="A28" s="171">
        <v>63</v>
      </c>
      <c r="B28" s="169" t="s">
        <v>436</v>
      </c>
      <c r="C28" s="171" t="s">
        <v>1277</v>
      </c>
      <c r="D28" s="171" t="s">
        <v>1240</v>
      </c>
      <c r="E28" s="171" t="s">
        <v>1234</v>
      </c>
      <c r="F28" s="171" t="s">
        <v>1243</v>
      </c>
      <c r="I28" t="s">
        <v>436</v>
      </c>
      <c r="J28" t="s">
        <v>1240</v>
      </c>
      <c r="L28" s="16" t="s">
        <v>436</v>
      </c>
      <c r="N28" t="str">
        <f t="shared" si="0"/>
        <v/>
      </c>
    </row>
    <row r="29" spans="1:14" ht="20" x14ac:dyDescent="0.2">
      <c r="A29" s="171">
        <v>76</v>
      </c>
      <c r="B29" s="169" t="s">
        <v>437</v>
      </c>
      <c r="C29" s="171" t="s">
        <v>1278</v>
      </c>
      <c r="D29" s="171" t="s">
        <v>1240</v>
      </c>
      <c r="E29" s="171" t="s">
        <v>334</v>
      </c>
      <c r="F29" s="171" t="s">
        <v>1241</v>
      </c>
      <c r="I29" t="s">
        <v>437</v>
      </c>
      <c r="J29" t="s">
        <v>1240</v>
      </c>
      <c r="L29" s="16" t="s">
        <v>437</v>
      </c>
      <c r="N29" t="str">
        <f t="shared" si="0"/>
        <v/>
      </c>
    </row>
    <row r="30" spans="1:14" ht="20" x14ac:dyDescent="0.2">
      <c r="A30" s="171">
        <v>146</v>
      </c>
      <c r="B30" s="169" t="s">
        <v>438</v>
      </c>
      <c r="C30" s="171" t="s">
        <v>1279</v>
      </c>
      <c r="D30" s="171" t="s">
        <v>1250</v>
      </c>
      <c r="E30" s="171" t="s">
        <v>358</v>
      </c>
      <c r="F30" s="171" t="s">
        <v>1257</v>
      </c>
      <c r="I30" t="s">
        <v>438</v>
      </c>
      <c r="J30" t="s">
        <v>1250</v>
      </c>
      <c r="L30" s="16" t="s">
        <v>438</v>
      </c>
      <c r="N30" t="str">
        <f t="shared" si="0"/>
        <v/>
      </c>
    </row>
    <row r="31" spans="1:14" ht="20" x14ac:dyDescent="0.2">
      <c r="A31" s="171">
        <v>64</v>
      </c>
      <c r="B31" s="169" t="s">
        <v>439</v>
      </c>
      <c r="C31" s="171" t="s">
        <v>1280</v>
      </c>
      <c r="D31" s="171" t="s">
        <v>1240</v>
      </c>
      <c r="E31" s="171" t="s">
        <v>1234</v>
      </c>
      <c r="F31" s="171" t="s">
        <v>1243</v>
      </c>
      <c r="I31" t="s">
        <v>439</v>
      </c>
      <c r="J31" t="s">
        <v>1240</v>
      </c>
      <c r="L31" s="16" t="s">
        <v>439</v>
      </c>
      <c r="N31" t="str">
        <f t="shared" si="0"/>
        <v/>
      </c>
    </row>
    <row r="32" spans="1:14" ht="20" x14ac:dyDescent="0.2">
      <c r="A32" s="171">
        <v>65</v>
      </c>
      <c r="B32" s="169" t="s">
        <v>440</v>
      </c>
      <c r="C32" s="171" t="s">
        <v>1281</v>
      </c>
      <c r="D32" s="171" t="s">
        <v>1240</v>
      </c>
      <c r="E32" s="171" t="s">
        <v>1234</v>
      </c>
      <c r="F32" s="171" t="s">
        <v>1243</v>
      </c>
      <c r="I32" t="s">
        <v>440</v>
      </c>
      <c r="J32" t="s">
        <v>1240</v>
      </c>
      <c r="L32" s="16" t="s">
        <v>440</v>
      </c>
      <c r="N32" t="str">
        <f t="shared" si="0"/>
        <v/>
      </c>
    </row>
    <row r="33" spans="1:14" ht="20" x14ac:dyDescent="0.2">
      <c r="A33" s="171">
        <v>66</v>
      </c>
      <c r="B33" s="169" t="s">
        <v>441</v>
      </c>
      <c r="C33" s="171" t="s">
        <v>1282</v>
      </c>
      <c r="D33" s="171" t="s">
        <v>1240</v>
      </c>
      <c r="E33" s="171" t="s">
        <v>1234</v>
      </c>
      <c r="F33" s="171" t="s">
        <v>1243</v>
      </c>
      <c r="I33" t="s">
        <v>441</v>
      </c>
      <c r="J33" t="s">
        <v>1240</v>
      </c>
      <c r="L33" s="16" t="s">
        <v>441</v>
      </c>
      <c r="N33" t="str">
        <f t="shared" si="0"/>
        <v/>
      </c>
    </row>
    <row r="34" spans="1:14" ht="20" x14ac:dyDescent="0.2">
      <c r="A34" s="171">
        <v>67</v>
      </c>
      <c r="B34" s="169" t="s">
        <v>442</v>
      </c>
      <c r="C34" s="171" t="s">
        <v>1283</v>
      </c>
      <c r="D34" s="171" t="s">
        <v>1240</v>
      </c>
      <c r="E34" s="171" t="s">
        <v>1234</v>
      </c>
      <c r="F34" s="171" t="s">
        <v>1243</v>
      </c>
      <c r="I34" t="s">
        <v>442</v>
      </c>
      <c r="J34" t="s">
        <v>1240</v>
      </c>
      <c r="L34" s="16" t="s">
        <v>442</v>
      </c>
      <c r="N34" t="str">
        <f t="shared" si="0"/>
        <v/>
      </c>
    </row>
    <row r="35" spans="1:14" ht="20" x14ac:dyDescent="0.2">
      <c r="A35" s="171">
        <v>91</v>
      </c>
      <c r="B35" s="169" t="s">
        <v>443</v>
      </c>
      <c r="C35" s="171" t="s">
        <v>1284</v>
      </c>
      <c r="D35" s="171" t="s">
        <v>1240</v>
      </c>
      <c r="E35" s="171" t="s">
        <v>334</v>
      </c>
      <c r="F35" s="171" t="s">
        <v>1251</v>
      </c>
      <c r="I35" t="s">
        <v>443</v>
      </c>
      <c r="J35" t="s">
        <v>1240</v>
      </c>
      <c r="L35" s="16" t="s">
        <v>443</v>
      </c>
      <c r="N35" t="str">
        <f t="shared" si="0"/>
        <v/>
      </c>
    </row>
    <row r="36" spans="1:14" ht="20" x14ac:dyDescent="0.2">
      <c r="A36" s="171">
        <v>92</v>
      </c>
      <c r="B36" s="169" t="s">
        <v>444</v>
      </c>
      <c r="C36" s="171" t="s">
        <v>1285</v>
      </c>
      <c r="D36" s="171" t="s">
        <v>1240</v>
      </c>
      <c r="E36" s="171" t="s">
        <v>334</v>
      </c>
      <c r="F36" s="171" t="s">
        <v>1251</v>
      </c>
      <c r="I36" t="s">
        <v>444</v>
      </c>
      <c r="J36" t="s">
        <v>1240</v>
      </c>
      <c r="L36" s="16" t="s">
        <v>444</v>
      </c>
      <c r="N36" t="str">
        <f t="shared" si="0"/>
        <v/>
      </c>
    </row>
    <row r="37" spans="1:14" ht="20" x14ac:dyDescent="0.2">
      <c r="A37" s="171">
        <v>93</v>
      </c>
      <c r="B37" s="169" t="s">
        <v>445</v>
      </c>
      <c r="C37" s="171" t="s">
        <v>1286</v>
      </c>
      <c r="D37" s="171" t="s">
        <v>1240</v>
      </c>
      <c r="E37" s="171" t="s">
        <v>334</v>
      </c>
      <c r="F37" s="171" t="s">
        <v>1251</v>
      </c>
      <c r="I37" t="s">
        <v>445</v>
      </c>
      <c r="J37" t="s">
        <v>1240</v>
      </c>
      <c r="L37" s="16" t="s">
        <v>445</v>
      </c>
      <c r="N37" t="str">
        <f t="shared" si="0"/>
        <v/>
      </c>
    </row>
    <row r="38" spans="1:14" ht="20" x14ac:dyDescent="0.2">
      <c r="A38" s="171">
        <v>23</v>
      </c>
      <c r="B38" s="169" t="s">
        <v>446</v>
      </c>
      <c r="C38" s="171" t="s">
        <v>1287</v>
      </c>
      <c r="D38" s="171" t="s">
        <v>1237</v>
      </c>
      <c r="E38" s="171" t="s">
        <v>1234</v>
      </c>
      <c r="F38" s="171" t="s">
        <v>1238</v>
      </c>
      <c r="I38" t="s">
        <v>446</v>
      </c>
      <c r="J38" t="s">
        <v>1237</v>
      </c>
      <c r="L38" s="16" t="s">
        <v>446</v>
      </c>
      <c r="N38" t="str">
        <f t="shared" si="0"/>
        <v/>
      </c>
    </row>
    <row r="39" spans="1:14" ht="20" x14ac:dyDescent="0.2">
      <c r="A39" s="171">
        <v>97</v>
      </c>
      <c r="B39" s="169" t="s">
        <v>447</v>
      </c>
      <c r="C39" s="171" t="s">
        <v>1288</v>
      </c>
      <c r="D39" s="171" t="s">
        <v>1250</v>
      </c>
      <c r="E39" s="171" t="s">
        <v>334</v>
      </c>
      <c r="F39" s="171" t="s">
        <v>1251</v>
      </c>
      <c r="I39" t="s">
        <v>447</v>
      </c>
      <c r="J39" t="s">
        <v>1250</v>
      </c>
      <c r="L39" s="16" t="s">
        <v>447</v>
      </c>
      <c r="N39" t="str">
        <f t="shared" si="0"/>
        <v/>
      </c>
    </row>
    <row r="40" spans="1:14" ht="20" x14ac:dyDescent="0.2">
      <c r="A40" s="171">
        <v>24</v>
      </c>
      <c r="B40" s="169" t="s">
        <v>448</v>
      </c>
      <c r="C40" s="171" t="s">
        <v>1289</v>
      </c>
      <c r="D40" s="171" t="s">
        <v>1237</v>
      </c>
      <c r="E40" s="171" t="s">
        <v>1234</v>
      </c>
      <c r="F40" s="171" t="s">
        <v>1238</v>
      </c>
      <c r="I40" t="s">
        <v>448</v>
      </c>
      <c r="J40" t="s">
        <v>1237</v>
      </c>
      <c r="L40" s="16" t="s">
        <v>448</v>
      </c>
      <c r="N40" t="str">
        <f t="shared" si="0"/>
        <v/>
      </c>
    </row>
    <row r="41" spans="1:14" ht="20" x14ac:dyDescent="0.2">
      <c r="A41" s="171">
        <v>77</v>
      </c>
      <c r="B41" s="169" t="s">
        <v>449</v>
      </c>
      <c r="C41" s="171" t="s">
        <v>1290</v>
      </c>
      <c r="D41" s="171" t="s">
        <v>1240</v>
      </c>
      <c r="E41" s="171" t="s">
        <v>334</v>
      </c>
      <c r="F41" s="171" t="s">
        <v>1241</v>
      </c>
      <c r="I41" t="s">
        <v>449</v>
      </c>
      <c r="J41" t="s">
        <v>1240</v>
      </c>
      <c r="L41" t="s">
        <v>449</v>
      </c>
      <c r="N41" t="str">
        <f t="shared" si="0"/>
        <v/>
      </c>
    </row>
    <row r="42" spans="1:14" ht="20" x14ac:dyDescent="0.2">
      <c r="A42" s="171">
        <v>9</v>
      </c>
      <c r="B42" s="172" t="s">
        <v>450</v>
      </c>
      <c r="C42" s="171" t="s">
        <v>1291</v>
      </c>
      <c r="D42" s="171" t="s">
        <v>1240</v>
      </c>
      <c r="E42" s="171" t="s">
        <v>1234</v>
      </c>
      <c r="F42" s="171" t="s">
        <v>1292</v>
      </c>
      <c r="I42" t="s">
        <v>450</v>
      </c>
      <c r="J42" t="s">
        <v>1240</v>
      </c>
      <c r="L42" s="16" t="s">
        <v>450</v>
      </c>
      <c r="N42" t="str">
        <f t="shared" si="0"/>
        <v/>
      </c>
    </row>
    <row r="43" spans="1:14" ht="20" x14ac:dyDescent="0.2">
      <c r="A43" s="171">
        <v>116</v>
      </c>
      <c r="B43" s="169" t="s">
        <v>451</v>
      </c>
      <c r="C43" s="171" t="s">
        <v>1293</v>
      </c>
      <c r="D43" s="171" t="s">
        <v>1237</v>
      </c>
      <c r="E43" s="171" t="s">
        <v>358</v>
      </c>
      <c r="F43" s="171" t="s">
        <v>1273</v>
      </c>
      <c r="I43" t="s">
        <v>451</v>
      </c>
      <c r="J43" t="s">
        <v>1237</v>
      </c>
      <c r="L43" s="16" t="s">
        <v>451</v>
      </c>
      <c r="N43" t="str">
        <f t="shared" si="0"/>
        <v/>
      </c>
    </row>
    <row r="44" spans="1:14" ht="20" x14ac:dyDescent="0.2">
      <c r="A44" s="171">
        <v>130</v>
      </c>
      <c r="B44" s="169" t="s">
        <v>452</v>
      </c>
      <c r="C44" s="171" t="s">
        <v>1294</v>
      </c>
      <c r="D44" s="171" t="s">
        <v>1237</v>
      </c>
      <c r="E44" s="171" t="s">
        <v>358</v>
      </c>
      <c r="F44" s="171" t="s">
        <v>1295</v>
      </c>
      <c r="I44" t="s">
        <v>452</v>
      </c>
      <c r="J44" t="s">
        <v>1237</v>
      </c>
      <c r="L44" s="16" t="s">
        <v>452</v>
      </c>
      <c r="N44" t="str">
        <f t="shared" si="0"/>
        <v/>
      </c>
    </row>
    <row r="45" spans="1:14" ht="20" x14ac:dyDescent="0.2">
      <c r="A45" s="171">
        <v>60</v>
      </c>
      <c r="B45" s="169" t="s">
        <v>453</v>
      </c>
      <c r="C45" s="171" t="s">
        <v>1296</v>
      </c>
      <c r="D45" s="171" t="s">
        <v>1254</v>
      </c>
      <c r="E45" s="171" t="s">
        <v>1234</v>
      </c>
      <c r="F45" s="171" t="s">
        <v>1255</v>
      </c>
      <c r="I45" t="s">
        <v>453</v>
      </c>
      <c r="J45" t="s">
        <v>1254</v>
      </c>
      <c r="L45" s="16" t="s">
        <v>453</v>
      </c>
      <c r="N45" t="str">
        <f t="shared" si="0"/>
        <v/>
      </c>
    </row>
    <row r="46" spans="1:14" ht="20" x14ac:dyDescent="0.2">
      <c r="A46" s="171">
        <v>61</v>
      </c>
      <c r="B46" s="169" t="s">
        <v>454</v>
      </c>
      <c r="C46" s="171" t="s">
        <v>1297</v>
      </c>
      <c r="D46" s="171" t="s">
        <v>1254</v>
      </c>
      <c r="E46" s="171" t="s">
        <v>1234</v>
      </c>
      <c r="F46" s="171" t="s">
        <v>1255</v>
      </c>
      <c r="I46" t="s">
        <v>454</v>
      </c>
      <c r="J46" t="s">
        <v>1254</v>
      </c>
      <c r="L46" s="16" t="s">
        <v>454</v>
      </c>
      <c r="N46" t="str">
        <f t="shared" si="0"/>
        <v/>
      </c>
    </row>
    <row r="47" spans="1:14" ht="20" x14ac:dyDescent="0.2">
      <c r="A47" s="171">
        <v>131</v>
      </c>
      <c r="B47" s="169" t="s">
        <v>455</v>
      </c>
      <c r="C47" s="171" t="s">
        <v>1298</v>
      </c>
      <c r="D47" s="171" t="s">
        <v>1240</v>
      </c>
      <c r="E47" s="171" t="s">
        <v>358</v>
      </c>
      <c r="F47" s="171" t="s">
        <v>1295</v>
      </c>
      <c r="I47" t="s">
        <v>455</v>
      </c>
      <c r="J47" t="s">
        <v>1240</v>
      </c>
      <c r="L47" s="16" t="s">
        <v>455</v>
      </c>
      <c r="N47" t="str">
        <f t="shared" si="0"/>
        <v/>
      </c>
    </row>
    <row r="48" spans="1:14" ht="20" x14ac:dyDescent="0.2">
      <c r="A48" s="171">
        <v>132</v>
      </c>
      <c r="B48" s="169" t="s">
        <v>456</v>
      </c>
      <c r="C48" s="171" t="s">
        <v>1299</v>
      </c>
      <c r="D48" s="171" t="s">
        <v>1240</v>
      </c>
      <c r="E48" s="171" t="s">
        <v>358</v>
      </c>
      <c r="F48" s="171" t="s">
        <v>1295</v>
      </c>
      <c r="I48" t="s">
        <v>456</v>
      </c>
      <c r="J48" t="s">
        <v>1240</v>
      </c>
      <c r="L48" s="16" t="s">
        <v>456</v>
      </c>
      <c r="N48" t="str">
        <f t="shared" si="0"/>
        <v/>
      </c>
    </row>
    <row r="49" spans="1:14" ht="20" x14ac:dyDescent="0.2">
      <c r="A49" s="171">
        <v>127</v>
      </c>
      <c r="B49" s="169" t="s">
        <v>457</v>
      </c>
      <c r="C49" s="171" t="s">
        <v>1300</v>
      </c>
      <c r="D49" s="171" t="s">
        <v>1240</v>
      </c>
      <c r="E49" s="171" t="s">
        <v>358</v>
      </c>
      <c r="F49" s="171" t="s">
        <v>1301</v>
      </c>
      <c r="I49" t="s">
        <v>457</v>
      </c>
      <c r="J49" t="s">
        <v>1240</v>
      </c>
      <c r="L49" t="s">
        <v>457</v>
      </c>
      <c r="N49" t="str">
        <f t="shared" si="0"/>
        <v/>
      </c>
    </row>
    <row r="50" spans="1:14" ht="20" x14ac:dyDescent="0.2">
      <c r="A50" s="171">
        <v>128</v>
      </c>
      <c r="B50" s="169" t="s">
        <v>458</v>
      </c>
      <c r="C50" s="171" t="s">
        <v>1302</v>
      </c>
      <c r="D50" s="171" t="s">
        <v>1240</v>
      </c>
      <c r="E50" s="171" t="s">
        <v>358</v>
      </c>
      <c r="F50" s="171" t="s">
        <v>1301</v>
      </c>
      <c r="I50" t="s">
        <v>458</v>
      </c>
      <c r="J50" t="s">
        <v>1240</v>
      </c>
      <c r="L50" s="16" t="s">
        <v>458</v>
      </c>
      <c r="N50" t="str">
        <f t="shared" si="0"/>
        <v/>
      </c>
    </row>
    <row r="51" spans="1:14" ht="20" x14ac:dyDescent="0.2">
      <c r="A51" s="171">
        <v>7</v>
      </c>
      <c r="B51" s="172" t="s">
        <v>459</v>
      </c>
      <c r="C51" s="171" t="s">
        <v>1303</v>
      </c>
      <c r="D51" s="171" t="s">
        <v>1237</v>
      </c>
      <c r="E51" s="171" t="s">
        <v>1234</v>
      </c>
      <c r="F51" s="171" t="s">
        <v>1292</v>
      </c>
      <c r="I51" t="s">
        <v>459</v>
      </c>
      <c r="J51" t="s">
        <v>1237</v>
      </c>
      <c r="L51" s="16" t="s">
        <v>459</v>
      </c>
      <c r="N51" t="str">
        <f t="shared" si="0"/>
        <v/>
      </c>
    </row>
    <row r="52" spans="1:14" ht="20" x14ac:dyDescent="0.2">
      <c r="A52" s="171">
        <v>142</v>
      </c>
      <c r="B52" s="169" t="s">
        <v>460</v>
      </c>
      <c r="C52" s="171" t="s">
        <v>1304</v>
      </c>
      <c r="D52" s="171" t="s">
        <v>1250</v>
      </c>
      <c r="E52" s="171" t="s">
        <v>358</v>
      </c>
      <c r="F52" s="171" t="s">
        <v>1245</v>
      </c>
      <c r="I52" t="s">
        <v>460</v>
      </c>
      <c r="J52" t="s">
        <v>1250</v>
      </c>
      <c r="L52" s="16" t="s">
        <v>460</v>
      </c>
      <c r="N52" t="str">
        <f t="shared" si="0"/>
        <v/>
      </c>
    </row>
    <row r="53" spans="1:14" ht="20" x14ac:dyDescent="0.2">
      <c r="A53" s="171">
        <v>126</v>
      </c>
      <c r="B53" s="169" t="s">
        <v>461</v>
      </c>
      <c r="C53" s="171" t="s">
        <v>1305</v>
      </c>
      <c r="D53" s="171" t="s">
        <v>1237</v>
      </c>
      <c r="E53" s="171" t="s">
        <v>358</v>
      </c>
      <c r="F53" s="171" t="s">
        <v>1301</v>
      </c>
      <c r="I53" t="s">
        <v>461</v>
      </c>
      <c r="J53" t="s">
        <v>1237</v>
      </c>
      <c r="L53" s="16" t="s">
        <v>461</v>
      </c>
      <c r="N53" t="str">
        <f t="shared" si="0"/>
        <v/>
      </c>
    </row>
    <row r="54" spans="1:14" ht="20" x14ac:dyDescent="0.2">
      <c r="A54" s="171">
        <v>129</v>
      </c>
      <c r="B54" s="169" t="s">
        <v>462</v>
      </c>
      <c r="C54" s="171" t="s">
        <v>1306</v>
      </c>
      <c r="D54" s="171" t="s">
        <v>1240</v>
      </c>
      <c r="E54" s="171" t="s">
        <v>358</v>
      </c>
      <c r="F54" s="171" t="s">
        <v>1301</v>
      </c>
      <c r="I54" t="s">
        <v>462</v>
      </c>
      <c r="J54" t="s">
        <v>1240</v>
      </c>
      <c r="L54" s="16" t="s">
        <v>462</v>
      </c>
      <c r="N54" t="str">
        <f t="shared" si="0"/>
        <v/>
      </c>
    </row>
    <row r="55" spans="1:14" ht="20" x14ac:dyDescent="0.2">
      <c r="A55" s="171">
        <v>100</v>
      </c>
      <c r="B55" s="169" t="s">
        <v>463</v>
      </c>
      <c r="C55" s="171" t="s">
        <v>1307</v>
      </c>
      <c r="D55" s="171" t="s">
        <v>1240</v>
      </c>
      <c r="E55" s="171" t="s">
        <v>334</v>
      </c>
      <c r="F55" s="171" t="s">
        <v>1266</v>
      </c>
      <c r="I55" t="s">
        <v>463</v>
      </c>
      <c r="J55" t="s">
        <v>1240</v>
      </c>
      <c r="L55" s="16" t="s">
        <v>463</v>
      </c>
      <c r="N55" t="str">
        <f t="shared" si="0"/>
        <v/>
      </c>
    </row>
    <row r="56" spans="1:14" ht="20" x14ac:dyDescent="0.2">
      <c r="A56" s="171">
        <v>101</v>
      </c>
      <c r="B56" s="169" t="s">
        <v>464</v>
      </c>
      <c r="C56" s="171" t="s">
        <v>1308</v>
      </c>
      <c r="D56" s="171" t="s">
        <v>1240</v>
      </c>
      <c r="E56" s="171" t="s">
        <v>334</v>
      </c>
      <c r="F56" s="171" t="s">
        <v>1266</v>
      </c>
      <c r="I56" t="s">
        <v>464</v>
      </c>
      <c r="J56" t="s">
        <v>1240</v>
      </c>
      <c r="L56" s="16" t="s">
        <v>464</v>
      </c>
      <c r="N56" t="str">
        <f t="shared" si="0"/>
        <v/>
      </c>
    </row>
    <row r="57" spans="1:14" ht="20" x14ac:dyDescent="0.2">
      <c r="A57" s="171">
        <v>50</v>
      </c>
      <c r="B57" s="169" t="s">
        <v>465</v>
      </c>
      <c r="C57" s="171" t="s">
        <v>1309</v>
      </c>
      <c r="D57" s="171" t="s">
        <v>1254</v>
      </c>
      <c r="E57" s="171" t="s">
        <v>1234</v>
      </c>
      <c r="F57" s="171" t="s">
        <v>1261</v>
      </c>
      <c r="I57" t="s">
        <v>465</v>
      </c>
      <c r="J57" t="s">
        <v>1254</v>
      </c>
      <c r="L57" s="16" t="s">
        <v>465</v>
      </c>
      <c r="N57" t="str">
        <f t="shared" si="0"/>
        <v/>
      </c>
    </row>
    <row r="58" spans="1:14" ht="20" x14ac:dyDescent="0.2">
      <c r="A58" s="171">
        <v>120</v>
      </c>
      <c r="B58" s="169" t="s">
        <v>466</v>
      </c>
      <c r="C58" s="171" t="s">
        <v>1310</v>
      </c>
      <c r="D58" s="171" t="s">
        <v>1240</v>
      </c>
      <c r="E58" s="171" t="s">
        <v>358</v>
      </c>
      <c r="F58" s="171" t="s">
        <v>1273</v>
      </c>
      <c r="I58" t="s">
        <v>466</v>
      </c>
      <c r="J58" t="s">
        <v>1240</v>
      </c>
      <c r="L58" s="16" t="s">
        <v>466</v>
      </c>
      <c r="N58" t="str">
        <f t="shared" si="0"/>
        <v/>
      </c>
    </row>
    <row r="59" spans="1:14" ht="20" x14ac:dyDescent="0.2">
      <c r="A59" s="171">
        <v>70</v>
      </c>
      <c r="B59" s="169" t="s">
        <v>467</v>
      </c>
      <c r="C59" s="171" t="s">
        <v>1311</v>
      </c>
      <c r="D59" s="171" t="s">
        <v>1250</v>
      </c>
      <c r="E59" s="171" t="s">
        <v>1234</v>
      </c>
      <c r="F59" s="171" t="s">
        <v>1243</v>
      </c>
      <c r="I59" t="s">
        <v>467</v>
      </c>
      <c r="J59" t="s">
        <v>1250</v>
      </c>
      <c r="L59" s="16" t="s">
        <v>467</v>
      </c>
      <c r="N59" t="str">
        <f t="shared" si="0"/>
        <v/>
      </c>
    </row>
    <row r="60" spans="1:14" ht="20" x14ac:dyDescent="0.2">
      <c r="A60" s="171">
        <v>47</v>
      </c>
      <c r="B60" s="169" t="s">
        <v>468</v>
      </c>
      <c r="C60" s="171" t="s">
        <v>1312</v>
      </c>
      <c r="D60" s="171" t="s">
        <v>1240</v>
      </c>
      <c r="E60" s="171" t="s">
        <v>1234</v>
      </c>
      <c r="F60" s="171" t="s">
        <v>1261</v>
      </c>
      <c r="I60" t="s">
        <v>468</v>
      </c>
      <c r="J60" t="s">
        <v>1240</v>
      </c>
      <c r="L60" s="16" t="s">
        <v>468</v>
      </c>
      <c r="N60" t="str">
        <f t="shared" si="0"/>
        <v/>
      </c>
    </row>
    <row r="61" spans="1:14" ht="20" x14ac:dyDescent="0.2">
      <c r="A61" s="171">
        <v>78</v>
      </c>
      <c r="B61" s="169" t="s">
        <v>469</v>
      </c>
      <c r="C61" s="171" t="s">
        <v>1313</v>
      </c>
      <c r="D61" s="171" t="s">
        <v>1240</v>
      </c>
      <c r="E61" s="171" t="s">
        <v>334</v>
      </c>
      <c r="F61" s="171" t="s">
        <v>1241</v>
      </c>
      <c r="I61" t="s">
        <v>469</v>
      </c>
      <c r="J61" t="s">
        <v>1240</v>
      </c>
      <c r="L61" s="16" t="s">
        <v>469</v>
      </c>
      <c r="N61" t="str">
        <f t="shared" si="0"/>
        <v/>
      </c>
    </row>
    <row r="62" spans="1:14" ht="20" x14ac:dyDescent="0.2">
      <c r="A62" s="171">
        <v>110</v>
      </c>
      <c r="B62" s="169" t="s">
        <v>470</v>
      </c>
      <c r="C62" s="171" t="s">
        <v>1314</v>
      </c>
      <c r="D62" s="171" t="s">
        <v>1315</v>
      </c>
      <c r="E62" s="171" t="s">
        <v>334</v>
      </c>
      <c r="F62" s="171" t="s">
        <v>1266</v>
      </c>
      <c r="I62" t="s">
        <v>470</v>
      </c>
      <c r="J62" t="s">
        <v>1315</v>
      </c>
      <c r="L62" s="16" t="s">
        <v>470</v>
      </c>
      <c r="N62" t="str">
        <f t="shared" si="0"/>
        <v/>
      </c>
    </row>
    <row r="63" spans="1:14" ht="20" x14ac:dyDescent="0.2">
      <c r="A63" s="171">
        <v>44</v>
      </c>
      <c r="B63" s="169" t="s">
        <v>1316</v>
      </c>
      <c r="C63" s="171" t="s">
        <v>1317</v>
      </c>
      <c r="D63" s="171" t="s">
        <v>1237</v>
      </c>
      <c r="E63" s="171" t="s">
        <v>1234</v>
      </c>
      <c r="F63" s="171" t="s">
        <v>1261</v>
      </c>
      <c r="I63" t="s">
        <v>471</v>
      </c>
      <c r="J63" t="s">
        <v>1237</v>
      </c>
      <c r="L63" s="16" t="s">
        <v>471</v>
      </c>
      <c r="N63" t="str">
        <f t="shared" si="0"/>
        <v/>
      </c>
    </row>
    <row r="64" spans="1:14" ht="20" x14ac:dyDescent="0.2">
      <c r="A64" s="171">
        <v>3</v>
      </c>
      <c r="B64" s="172" t="s">
        <v>472</v>
      </c>
      <c r="C64" s="171" t="s">
        <v>1318</v>
      </c>
      <c r="D64" s="171" t="s">
        <v>1240</v>
      </c>
      <c r="E64" s="171" t="s">
        <v>1234</v>
      </c>
      <c r="F64" s="171" t="s">
        <v>1235</v>
      </c>
      <c r="I64" t="s">
        <v>472</v>
      </c>
      <c r="J64" t="s">
        <v>1240</v>
      </c>
      <c r="L64" s="16" t="s">
        <v>472</v>
      </c>
      <c r="N64" t="str">
        <f t="shared" si="0"/>
        <v/>
      </c>
    </row>
    <row r="65" spans="1:14" ht="20" x14ac:dyDescent="0.2">
      <c r="A65" s="171">
        <v>79</v>
      </c>
      <c r="B65" s="169" t="s">
        <v>473</v>
      </c>
      <c r="C65" s="171" t="s">
        <v>1319</v>
      </c>
      <c r="D65" s="171" t="s">
        <v>1240</v>
      </c>
      <c r="E65" s="171" t="s">
        <v>334</v>
      </c>
      <c r="F65" s="171" t="s">
        <v>1241</v>
      </c>
      <c r="I65" t="s">
        <v>473</v>
      </c>
      <c r="J65" t="s">
        <v>1240</v>
      </c>
      <c r="L65" s="16" t="s">
        <v>473</v>
      </c>
      <c r="N65" t="str">
        <f t="shared" si="0"/>
        <v/>
      </c>
    </row>
    <row r="66" spans="1:14" ht="20" x14ac:dyDescent="0.2">
      <c r="A66" s="171">
        <v>80</v>
      </c>
      <c r="B66" s="169" t="s">
        <v>474</v>
      </c>
      <c r="C66" s="171" t="s">
        <v>1320</v>
      </c>
      <c r="D66" s="171" t="s">
        <v>1240</v>
      </c>
      <c r="E66" s="171" t="s">
        <v>334</v>
      </c>
      <c r="F66" s="171" t="s">
        <v>1241</v>
      </c>
      <c r="I66" t="s">
        <v>474</v>
      </c>
      <c r="J66" t="s">
        <v>1240</v>
      </c>
      <c r="L66" s="16" t="s">
        <v>474</v>
      </c>
      <c r="N66" t="str">
        <f t="shared" ref="N66:N129" si="1">IF(I66=L66,"","X")</f>
        <v/>
      </c>
    </row>
    <row r="67" spans="1:14" ht="20" x14ac:dyDescent="0.2">
      <c r="A67" s="171">
        <v>81</v>
      </c>
      <c r="B67" s="169" t="s">
        <v>475</v>
      </c>
      <c r="C67" s="171" t="s">
        <v>1321</v>
      </c>
      <c r="D67" s="171" t="s">
        <v>1240</v>
      </c>
      <c r="E67" s="171" t="s">
        <v>334</v>
      </c>
      <c r="F67" s="171" t="s">
        <v>1241</v>
      </c>
      <c r="I67" t="s">
        <v>475</v>
      </c>
      <c r="J67" t="s">
        <v>1240</v>
      </c>
      <c r="L67" s="16" t="s">
        <v>475</v>
      </c>
      <c r="N67" t="str">
        <f t="shared" si="1"/>
        <v/>
      </c>
    </row>
    <row r="68" spans="1:14" ht="20" x14ac:dyDescent="0.2">
      <c r="A68" s="171">
        <v>117</v>
      </c>
      <c r="B68" s="169" t="s">
        <v>476</v>
      </c>
      <c r="C68" s="171" t="s">
        <v>1322</v>
      </c>
      <c r="D68" s="171" t="s">
        <v>1237</v>
      </c>
      <c r="E68" s="171" t="s">
        <v>358</v>
      </c>
      <c r="F68" s="171" t="s">
        <v>1273</v>
      </c>
      <c r="I68" t="s">
        <v>476</v>
      </c>
      <c r="J68" t="s">
        <v>1237</v>
      </c>
      <c r="L68" s="16" t="s">
        <v>476</v>
      </c>
      <c r="N68" t="str">
        <f t="shared" si="1"/>
        <v/>
      </c>
    </row>
    <row r="69" spans="1:14" ht="20" x14ac:dyDescent="0.2">
      <c r="A69" s="171">
        <v>10</v>
      </c>
      <c r="B69" s="172" t="s">
        <v>477</v>
      </c>
      <c r="C69" s="171" t="s">
        <v>1323</v>
      </c>
      <c r="D69" s="171" t="s">
        <v>1240</v>
      </c>
      <c r="E69" s="171" t="s">
        <v>1234</v>
      </c>
      <c r="F69" s="171" t="s">
        <v>1292</v>
      </c>
      <c r="I69" t="s">
        <v>477</v>
      </c>
      <c r="J69" t="s">
        <v>1240</v>
      </c>
      <c r="L69" s="16" t="s">
        <v>477</v>
      </c>
      <c r="N69" t="str">
        <f t="shared" si="1"/>
        <v/>
      </c>
    </row>
    <row r="70" spans="1:14" ht="20" x14ac:dyDescent="0.2">
      <c r="A70" s="171">
        <v>11</v>
      </c>
      <c r="B70" s="169" t="s">
        <v>478</v>
      </c>
      <c r="C70" s="171" t="s">
        <v>1324</v>
      </c>
      <c r="D70" s="171" t="s">
        <v>1240</v>
      </c>
      <c r="E70" s="171" t="s">
        <v>1234</v>
      </c>
      <c r="F70" s="171" t="s">
        <v>1292</v>
      </c>
      <c r="I70" t="s">
        <v>478</v>
      </c>
      <c r="J70" t="s">
        <v>1240</v>
      </c>
      <c r="L70" s="16" t="s">
        <v>478</v>
      </c>
      <c r="N70" t="str">
        <f t="shared" si="1"/>
        <v/>
      </c>
    </row>
    <row r="71" spans="1:14" ht="20" x14ac:dyDescent="0.2">
      <c r="A71" s="171">
        <v>17</v>
      </c>
      <c r="B71" s="169" t="s">
        <v>479</v>
      </c>
      <c r="C71" s="171" t="s">
        <v>1325</v>
      </c>
      <c r="D71" s="171" t="s">
        <v>1240</v>
      </c>
      <c r="E71" s="171" t="s">
        <v>1234</v>
      </c>
      <c r="F71" s="171" t="s">
        <v>1259</v>
      </c>
      <c r="I71" t="s">
        <v>479</v>
      </c>
      <c r="J71" t="s">
        <v>1240</v>
      </c>
      <c r="L71" s="16" t="s">
        <v>479</v>
      </c>
      <c r="N71" t="str">
        <f t="shared" si="1"/>
        <v/>
      </c>
    </row>
    <row r="72" spans="1:14" ht="20" x14ac:dyDescent="0.2">
      <c r="A72" s="171">
        <v>18</v>
      </c>
      <c r="B72" s="169" t="s">
        <v>480</v>
      </c>
      <c r="C72" s="171" t="s">
        <v>1326</v>
      </c>
      <c r="D72" s="171" t="s">
        <v>1233</v>
      </c>
      <c r="E72" s="171" t="s">
        <v>1234</v>
      </c>
      <c r="F72" s="171" t="s">
        <v>1259</v>
      </c>
      <c r="I72" t="s">
        <v>480</v>
      </c>
      <c r="J72" t="s">
        <v>1233</v>
      </c>
      <c r="L72" s="16" t="s">
        <v>480</v>
      </c>
      <c r="N72" t="str">
        <f t="shared" si="1"/>
        <v/>
      </c>
    </row>
    <row r="73" spans="1:14" ht="20" x14ac:dyDescent="0.2">
      <c r="A73" s="171">
        <v>4</v>
      </c>
      <c r="B73" s="172" t="s">
        <v>481</v>
      </c>
      <c r="C73" s="171" t="s">
        <v>1327</v>
      </c>
      <c r="D73" s="171" t="s">
        <v>1240</v>
      </c>
      <c r="E73" s="171" t="s">
        <v>1234</v>
      </c>
      <c r="F73" s="171" t="s">
        <v>1235</v>
      </c>
      <c r="I73" t="s">
        <v>481</v>
      </c>
      <c r="J73" t="s">
        <v>1240</v>
      </c>
      <c r="L73" s="16" t="s">
        <v>481</v>
      </c>
      <c r="N73" t="str">
        <f t="shared" si="1"/>
        <v/>
      </c>
    </row>
    <row r="74" spans="1:14" ht="20" x14ac:dyDescent="0.2">
      <c r="A74" s="171">
        <v>121</v>
      </c>
      <c r="B74" s="169" t="s">
        <v>482</v>
      </c>
      <c r="C74" s="171" t="s">
        <v>1328</v>
      </c>
      <c r="D74" s="171" t="s">
        <v>1240</v>
      </c>
      <c r="E74" s="171" t="s">
        <v>358</v>
      </c>
      <c r="F74" s="171" t="s">
        <v>1273</v>
      </c>
      <c r="I74" t="s">
        <v>482</v>
      </c>
      <c r="J74" t="s">
        <v>1240</v>
      </c>
      <c r="L74" s="16" t="s">
        <v>482</v>
      </c>
      <c r="N74" t="str">
        <f t="shared" si="1"/>
        <v/>
      </c>
    </row>
    <row r="75" spans="1:14" ht="20" x14ac:dyDescent="0.2">
      <c r="A75" s="171">
        <v>143</v>
      </c>
      <c r="B75" s="169" t="s">
        <v>483</v>
      </c>
      <c r="C75" s="171" t="s">
        <v>1329</v>
      </c>
      <c r="D75" s="171" t="s">
        <v>1240</v>
      </c>
      <c r="E75" s="171" t="s">
        <v>358</v>
      </c>
      <c r="F75" s="171" t="s">
        <v>1257</v>
      </c>
      <c r="I75" t="s">
        <v>483</v>
      </c>
      <c r="J75" t="s">
        <v>1240</v>
      </c>
      <c r="L75" s="16" t="s">
        <v>483</v>
      </c>
      <c r="N75" t="str">
        <f t="shared" si="1"/>
        <v/>
      </c>
    </row>
    <row r="76" spans="1:14" ht="20" x14ac:dyDescent="0.2">
      <c r="A76" s="171">
        <v>102</v>
      </c>
      <c r="B76" s="169" t="s">
        <v>484</v>
      </c>
      <c r="C76" s="171" t="s">
        <v>1330</v>
      </c>
      <c r="D76" s="171" t="s">
        <v>1240</v>
      </c>
      <c r="E76" s="171" t="s">
        <v>334</v>
      </c>
      <c r="F76" s="171" t="s">
        <v>1266</v>
      </c>
      <c r="I76" t="s">
        <v>484</v>
      </c>
      <c r="J76" t="s">
        <v>1240</v>
      </c>
      <c r="L76" s="16" t="s">
        <v>484</v>
      </c>
      <c r="N76" t="str">
        <f t="shared" si="1"/>
        <v/>
      </c>
    </row>
    <row r="77" spans="1:14" ht="20" x14ac:dyDescent="0.2">
      <c r="A77" s="171">
        <v>103</v>
      </c>
      <c r="B77" s="169" t="s">
        <v>485</v>
      </c>
      <c r="C77" s="171" t="s">
        <v>1331</v>
      </c>
      <c r="D77" s="171" t="s">
        <v>1240</v>
      </c>
      <c r="E77" s="171" t="s">
        <v>334</v>
      </c>
      <c r="F77" s="171" t="s">
        <v>1266</v>
      </c>
      <c r="I77" t="s">
        <v>485</v>
      </c>
      <c r="J77" t="s">
        <v>1240</v>
      </c>
      <c r="L77" s="16" t="s">
        <v>485</v>
      </c>
      <c r="N77" t="str">
        <f t="shared" si="1"/>
        <v/>
      </c>
    </row>
    <row r="78" spans="1:14" ht="20" x14ac:dyDescent="0.2">
      <c r="A78" s="171">
        <v>104</v>
      </c>
      <c r="B78" s="169" t="s">
        <v>486</v>
      </c>
      <c r="C78" s="171" t="s">
        <v>1332</v>
      </c>
      <c r="D78" s="171" t="s">
        <v>1240</v>
      </c>
      <c r="E78" s="171" t="s">
        <v>334</v>
      </c>
      <c r="F78" s="171" t="s">
        <v>1266</v>
      </c>
      <c r="I78" t="s">
        <v>486</v>
      </c>
      <c r="J78" t="s">
        <v>1240</v>
      </c>
      <c r="L78" s="16" t="s">
        <v>486</v>
      </c>
      <c r="N78" t="str">
        <f t="shared" si="1"/>
        <v/>
      </c>
    </row>
    <row r="79" spans="1:14" ht="20" x14ac:dyDescent="0.2">
      <c r="A79" s="171">
        <v>105</v>
      </c>
      <c r="B79" s="169" t="s">
        <v>487</v>
      </c>
      <c r="C79" s="171" t="s">
        <v>1333</v>
      </c>
      <c r="D79" s="171" t="s">
        <v>1240</v>
      </c>
      <c r="E79" s="171" t="s">
        <v>334</v>
      </c>
      <c r="F79" s="171" t="s">
        <v>1266</v>
      </c>
      <c r="I79" t="s">
        <v>487</v>
      </c>
      <c r="J79" t="s">
        <v>1240</v>
      </c>
      <c r="L79" s="16" t="s">
        <v>487</v>
      </c>
      <c r="N79" t="str">
        <f t="shared" si="1"/>
        <v/>
      </c>
    </row>
    <row r="80" spans="1:14" ht="20" x14ac:dyDescent="0.2">
      <c r="A80" s="171">
        <v>51</v>
      </c>
      <c r="B80" s="169" t="s">
        <v>488</v>
      </c>
      <c r="C80" s="171" t="s">
        <v>1334</v>
      </c>
      <c r="D80" s="171"/>
      <c r="E80" s="171"/>
      <c r="F80" s="171" t="s">
        <v>1335</v>
      </c>
      <c r="I80" t="s">
        <v>488</v>
      </c>
      <c r="L80" s="16" t="s">
        <v>488</v>
      </c>
      <c r="N80" t="str">
        <f t="shared" si="1"/>
        <v/>
      </c>
    </row>
    <row r="81" spans="1:14" ht="20" x14ac:dyDescent="0.2">
      <c r="A81" s="171">
        <v>52</v>
      </c>
      <c r="B81" s="169" t="s">
        <v>489</v>
      </c>
      <c r="C81" s="171" t="s">
        <v>1336</v>
      </c>
      <c r="D81" s="171" t="s">
        <v>1250</v>
      </c>
      <c r="E81" s="171" t="s">
        <v>1234</v>
      </c>
      <c r="F81" s="171" t="s">
        <v>1255</v>
      </c>
      <c r="I81" t="s">
        <v>489</v>
      </c>
      <c r="J81" t="s">
        <v>1250</v>
      </c>
      <c r="L81" s="16" t="s">
        <v>489</v>
      </c>
      <c r="N81" t="str">
        <f t="shared" si="1"/>
        <v/>
      </c>
    </row>
    <row r="82" spans="1:14" ht="20" x14ac:dyDescent="0.2">
      <c r="A82" s="171">
        <v>8</v>
      </c>
      <c r="B82" s="172" t="s">
        <v>490</v>
      </c>
      <c r="C82" s="171" t="s">
        <v>1337</v>
      </c>
      <c r="D82" s="171" t="s">
        <v>1237</v>
      </c>
      <c r="E82" s="171" t="s">
        <v>1234</v>
      </c>
      <c r="F82" s="171" t="s">
        <v>1292</v>
      </c>
      <c r="I82" t="s">
        <v>490</v>
      </c>
      <c r="J82" t="s">
        <v>1237</v>
      </c>
      <c r="L82" s="16" t="s">
        <v>490</v>
      </c>
      <c r="N82" t="str">
        <f t="shared" si="1"/>
        <v/>
      </c>
    </row>
    <row r="83" spans="1:14" ht="20" x14ac:dyDescent="0.2">
      <c r="A83" s="171">
        <v>12</v>
      </c>
      <c r="B83" s="169" t="s">
        <v>491</v>
      </c>
      <c r="C83" s="171" t="s">
        <v>1338</v>
      </c>
      <c r="D83" s="171" t="s">
        <v>1240</v>
      </c>
      <c r="E83" s="171" t="s">
        <v>1234</v>
      </c>
      <c r="F83" s="171" t="s">
        <v>1292</v>
      </c>
      <c r="I83" t="s">
        <v>491</v>
      </c>
      <c r="J83" t="s">
        <v>1240</v>
      </c>
      <c r="L83" s="16" t="s">
        <v>491</v>
      </c>
      <c r="N83" t="str">
        <f t="shared" si="1"/>
        <v/>
      </c>
    </row>
    <row r="84" spans="1:14" ht="20" x14ac:dyDescent="0.2">
      <c r="A84" s="171">
        <v>144</v>
      </c>
      <c r="B84" s="169" t="s">
        <v>492</v>
      </c>
      <c r="C84" s="171" t="s">
        <v>1339</v>
      </c>
      <c r="D84" s="171" t="s">
        <v>1240</v>
      </c>
      <c r="E84" s="171" t="s">
        <v>358</v>
      </c>
      <c r="F84" s="171" t="s">
        <v>1257</v>
      </c>
      <c r="I84" t="s">
        <v>492</v>
      </c>
      <c r="J84" t="s">
        <v>1240</v>
      </c>
      <c r="L84" s="16" t="s">
        <v>492</v>
      </c>
      <c r="N84" t="str">
        <f t="shared" si="1"/>
        <v/>
      </c>
    </row>
    <row r="85" spans="1:14" ht="20" x14ac:dyDescent="0.2">
      <c r="A85" s="171">
        <v>152</v>
      </c>
      <c r="B85" s="169" t="s">
        <v>493</v>
      </c>
      <c r="C85" s="171" t="s">
        <v>493</v>
      </c>
      <c r="D85" s="171"/>
      <c r="E85" s="171"/>
      <c r="F85" s="171" t="s">
        <v>1335</v>
      </c>
      <c r="I85" t="s">
        <v>493</v>
      </c>
      <c r="L85" s="16" t="s">
        <v>493</v>
      </c>
      <c r="N85" t="str">
        <f t="shared" si="1"/>
        <v/>
      </c>
    </row>
    <row r="86" spans="1:14" ht="20" x14ac:dyDescent="0.2">
      <c r="A86" s="171">
        <v>53</v>
      </c>
      <c r="B86" s="169" t="s">
        <v>494</v>
      </c>
      <c r="C86" s="171" t="s">
        <v>1340</v>
      </c>
      <c r="D86" s="171" t="s">
        <v>1250</v>
      </c>
      <c r="E86" s="171" t="s">
        <v>1234</v>
      </c>
      <c r="F86" s="171" t="s">
        <v>1255</v>
      </c>
      <c r="I86" t="s">
        <v>494</v>
      </c>
      <c r="J86" t="s">
        <v>1250</v>
      </c>
      <c r="L86" s="16" t="s">
        <v>494</v>
      </c>
      <c r="N86" t="str">
        <f t="shared" si="1"/>
        <v/>
      </c>
    </row>
    <row r="87" spans="1:14" ht="20" x14ac:dyDescent="0.2">
      <c r="A87" s="171">
        <v>71</v>
      </c>
      <c r="B87" s="169" t="s">
        <v>495</v>
      </c>
      <c r="C87" s="171" t="s">
        <v>1341</v>
      </c>
      <c r="D87" s="171" t="s">
        <v>1250</v>
      </c>
      <c r="E87" s="171" t="s">
        <v>1234</v>
      </c>
      <c r="F87" s="171" t="s">
        <v>1243</v>
      </c>
      <c r="I87" t="s">
        <v>495</v>
      </c>
      <c r="J87" t="s">
        <v>1250</v>
      </c>
      <c r="L87" s="16" t="s">
        <v>495</v>
      </c>
      <c r="N87" t="str">
        <f t="shared" si="1"/>
        <v/>
      </c>
    </row>
    <row r="88" spans="1:14" ht="20" x14ac:dyDescent="0.2">
      <c r="A88" s="171">
        <v>86</v>
      </c>
      <c r="B88" s="169" t="s">
        <v>496</v>
      </c>
      <c r="C88" s="171" t="s">
        <v>1342</v>
      </c>
      <c r="D88" s="171" t="s">
        <v>1237</v>
      </c>
      <c r="E88" s="171" t="s">
        <v>334</v>
      </c>
      <c r="F88" s="171" t="s">
        <v>1251</v>
      </c>
      <c r="I88" t="s">
        <v>496</v>
      </c>
      <c r="J88" t="s">
        <v>1237</v>
      </c>
      <c r="L88" s="16" t="s">
        <v>496</v>
      </c>
      <c r="N88" t="str">
        <f t="shared" si="1"/>
        <v/>
      </c>
    </row>
    <row r="89" spans="1:14" ht="20" x14ac:dyDescent="0.2">
      <c r="A89" s="171">
        <v>73</v>
      </c>
      <c r="B89" s="169" t="s">
        <v>497</v>
      </c>
      <c r="C89" s="171" t="s">
        <v>1343</v>
      </c>
      <c r="D89" s="171" t="s">
        <v>1237</v>
      </c>
      <c r="E89" s="171" t="s">
        <v>334</v>
      </c>
      <c r="F89" s="171" t="s">
        <v>1241</v>
      </c>
      <c r="I89" t="s">
        <v>497</v>
      </c>
      <c r="J89" t="s">
        <v>1237</v>
      </c>
      <c r="L89" s="16" t="s">
        <v>497</v>
      </c>
      <c r="N89" t="str">
        <f t="shared" si="1"/>
        <v/>
      </c>
    </row>
    <row r="90" spans="1:14" ht="20" x14ac:dyDescent="0.2">
      <c r="A90" s="171">
        <v>1</v>
      </c>
      <c r="B90" s="172" t="s">
        <v>110</v>
      </c>
      <c r="C90" s="171" t="s">
        <v>1344</v>
      </c>
      <c r="D90" s="171" t="s">
        <v>1237</v>
      </c>
      <c r="E90" s="171" t="s">
        <v>1234</v>
      </c>
      <c r="F90" s="171" t="s">
        <v>1345</v>
      </c>
      <c r="I90" t="s">
        <v>110</v>
      </c>
      <c r="J90" t="s">
        <v>1237</v>
      </c>
      <c r="L90" s="16" t="s">
        <v>110</v>
      </c>
      <c r="N90" t="str">
        <f t="shared" si="1"/>
        <v/>
      </c>
    </row>
    <row r="91" spans="1:14" ht="20" x14ac:dyDescent="0.2">
      <c r="A91" s="171">
        <v>87</v>
      </c>
      <c r="B91" s="169" t="s">
        <v>498</v>
      </c>
      <c r="C91" s="171" t="s">
        <v>1346</v>
      </c>
      <c r="D91" s="171" t="s">
        <v>1237</v>
      </c>
      <c r="E91" s="171" t="s">
        <v>334</v>
      </c>
      <c r="F91" s="171" t="s">
        <v>1251</v>
      </c>
      <c r="I91" t="s">
        <v>498</v>
      </c>
      <c r="J91" t="s">
        <v>1237</v>
      </c>
      <c r="L91" s="16" t="s">
        <v>498</v>
      </c>
      <c r="N91" t="str">
        <f t="shared" si="1"/>
        <v/>
      </c>
    </row>
    <row r="92" spans="1:14" ht="20" x14ac:dyDescent="0.2">
      <c r="A92" s="171">
        <v>111</v>
      </c>
      <c r="B92" s="169" t="s">
        <v>499</v>
      </c>
      <c r="C92" s="171" t="s">
        <v>1347</v>
      </c>
      <c r="D92" s="171" t="s">
        <v>1315</v>
      </c>
      <c r="E92" s="171" t="s">
        <v>334</v>
      </c>
      <c r="F92" s="171" t="s">
        <v>1266</v>
      </c>
      <c r="I92" t="s">
        <v>499</v>
      </c>
      <c r="J92" t="s">
        <v>1315</v>
      </c>
      <c r="L92" s="16" t="s">
        <v>499</v>
      </c>
      <c r="N92" t="str">
        <f t="shared" si="1"/>
        <v/>
      </c>
    </row>
    <row r="93" spans="1:14" ht="20" x14ac:dyDescent="0.2">
      <c r="A93" s="171">
        <v>122</v>
      </c>
      <c r="B93" s="169" t="s">
        <v>500</v>
      </c>
      <c r="C93" s="171" t="s">
        <v>1348</v>
      </c>
      <c r="D93" s="171" t="s">
        <v>1240</v>
      </c>
      <c r="E93" s="171" t="s">
        <v>358</v>
      </c>
      <c r="F93" s="171" t="s">
        <v>1273</v>
      </c>
      <c r="I93" t="s">
        <v>500</v>
      </c>
      <c r="J93" t="s">
        <v>1240</v>
      </c>
      <c r="L93" s="16" t="s">
        <v>500</v>
      </c>
      <c r="N93" t="str">
        <f t="shared" si="1"/>
        <v/>
      </c>
    </row>
    <row r="94" spans="1:14" ht="20" x14ac:dyDescent="0.2">
      <c r="A94" s="171">
        <v>123</v>
      </c>
      <c r="B94" s="169" t="s">
        <v>501</v>
      </c>
      <c r="C94" s="171" t="s">
        <v>1349</v>
      </c>
      <c r="D94" s="171" t="s">
        <v>1240</v>
      </c>
      <c r="E94" s="171" t="s">
        <v>358</v>
      </c>
      <c r="F94" s="171" t="s">
        <v>1273</v>
      </c>
      <c r="I94" t="s">
        <v>501</v>
      </c>
      <c r="J94" t="s">
        <v>1240</v>
      </c>
      <c r="L94" s="16" t="s">
        <v>501</v>
      </c>
      <c r="N94" t="str">
        <f t="shared" si="1"/>
        <v/>
      </c>
    </row>
    <row r="95" spans="1:14" ht="20" x14ac:dyDescent="0.2">
      <c r="A95" s="171">
        <v>5</v>
      </c>
      <c r="B95" s="172" t="s">
        <v>502</v>
      </c>
      <c r="C95" s="171" t="s">
        <v>1350</v>
      </c>
      <c r="D95" s="171" t="s">
        <v>1240</v>
      </c>
      <c r="E95" s="171" t="s">
        <v>1234</v>
      </c>
      <c r="F95" s="171" t="s">
        <v>1235</v>
      </c>
      <c r="I95" t="s">
        <v>502</v>
      </c>
      <c r="J95" t="s">
        <v>1240</v>
      </c>
      <c r="L95" s="16" t="s">
        <v>502</v>
      </c>
      <c r="N95" t="str">
        <f t="shared" si="1"/>
        <v/>
      </c>
    </row>
    <row r="96" spans="1:14" ht="20" x14ac:dyDescent="0.2">
      <c r="A96" s="171">
        <v>124</v>
      </c>
      <c r="B96" s="169" t="s">
        <v>503</v>
      </c>
      <c r="C96" s="171" t="s">
        <v>1351</v>
      </c>
      <c r="D96" s="171" t="s">
        <v>1240</v>
      </c>
      <c r="E96" s="171" t="s">
        <v>358</v>
      </c>
      <c r="F96" s="171" t="s">
        <v>1273</v>
      </c>
      <c r="I96" t="s">
        <v>503</v>
      </c>
      <c r="J96" t="s">
        <v>1240</v>
      </c>
      <c r="L96" s="16" t="s">
        <v>503</v>
      </c>
      <c r="N96" t="str">
        <f t="shared" si="1"/>
        <v/>
      </c>
    </row>
    <row r="97" spans="1:15" ht="20" x14ac:dyDescent="0.2">
      <c r="A97" s="171">
        <v>125</v>
      </c>
      <c r="B97" s="169" t="s">
        <v>504</v>
      </c>
      <c r="C97" s="171" t="s">
        <v>1352</v>
      </c>
      <c r="D97" s="171" t="s">
        <v>1240</v>
      </c>
      <c r="E97" s="171" t="s">
        <v>358</v>
      </c>
      <c r="F97" s="171" t="s">
        <v>1273</v>
      </c>
      <c r="I97" t="s">
        <v>504</v>
      </c>
      <c r="J97" t="s">
        <v>1240</v>
      </c>
      <c r="L97" s="16" t="s">
        <v>504</v>
      </c>
      <c r="N97" t="str">
        <f t="shared" si="1"/>
        <v/>
      </c>
    </row>
    <row r="98" spans="1:15" ht="20" x14ac:dyDescent="0.2">
      <c r="A98" s="171">
        <v>30</v>
      </c>
      <c r="B98" s="169" t="s">
        <v>505</v>
      </c>
      <c r="C98" s="171" t="s">
        <v>1353</v>
      </c>
      <c r="D98" s="171" t="s">
        <v>1240</v>
      </c>
      <c r="E98" s="171" t="s">
        <v>1234</v>
      </c>
      <c r="F98" s="171" t="s">
        <v>1238</v>
      </c>
      <c r="I98" t="s">
        <v>505</v>
      </c>
      <c r="J98" t="s">
        <v>1240</v>
      </c>
      <c r="L98" s="16" t="s">
        <v>505</v>
      </c>
      <c r="N98" t="str">
        <f t="shared" si="1"/>
        <v/>
      </c>
    </row>
    <row r="99" spans="1:15" ht="20" x14ac:dyDescent="0.2">
      <c r="A99" s="171">
        <v>31</v>
      </c>
      <c r="B99" s="169" t="s">
        <v>506</v>
      </c>
      <c r="C99" s="171" t="s">
        <v>1354</v>
      </c>
      <c r="D99" s="171" t="s">
        <v>1240</v>
      </c>
      <c r="E99" s="171" t="s">
        <v>1234</v>
      </c>
      <c r="F99" s="171" t="s">
        <v>1238</v>
      </c>
      <c r="I99" t="s">
        <v>506</v>
      </c>
      <c r="J99" t="s">
        <v>1240</v>
      </c>
      <c r="L99" t="s">
        <v>506</v>
      </c>
      <c r="N99" t="str">
        <f t="shared" si="1"/>
        <v/>
      </c>
    </row>
    <row r="100" spans="1:15" ht="20" x14ac:dyDescent="0.2">
      <c r="A100" s="171">
        <v>32</v>
      </c>
      <c r="B100" s="169" t="s">
        <v>507</v>
      </c>
      <c r="C100" s="171" t="s">
        <v>1355</v>
      </c>
      <c r="D100" s="171" t="s">
        <v>1240</v>
      </c>
      <c r="E100" s="171" t="s">
        <v>1234</v>
      </c>
      <c r="F100" s="171" t="s">
        <v>1238</v>
      </c>
      <c r="I100" t="s">
        <v>507</v>
      </c>
      <c r="J100" t="s">
        <v>1240</v>
      </c>
      <c r="L100" t="s">
        <v>507</v>
      </c>
      <c r="N100" t="str">
        <f t="shared" si="1"/>
        <v/>
      </c>
    </row>
    <row r="101" spans="1:15" ht="20" x14ac:dyDescent="0.2">
      <c r="A101" s="171">
        <v>83</v>
      </c>
      <c r="B101" s="169" t="s">
        <v>509</v>
      </c>
      <c r="C101" s="171" t="s">
        <v>1356</v>
      </c>
      <c r="D101" s="171" t="s">
        <v>1233</v>
      </c>
      <c r="E101" s="171" t="s">
        <v>334</v>
      </c>
      <c r="F101" s="171" t="s">
        <v>1241</v>
      </c>
      <c r="L101" s="16" t="s">
        <v>508</v>
      </c>
      <c r="N101" t="str">
        <f t="shared" si="1"/>
        <v>X</v>
      </c>
      <c r="O101" s="16" t="s">
        <v>508</v>
      </c>
    </row>
    <row r="102" spans="1:15" ht="20" x14ac:dyDescent="0.2">
      <c r="A102" s="171">
        <v>82</v>
      </c>
      <c r="B102" s="169" t="s">
        <v>511</v>
      </c>
      <c r="C102" s="171" t="s">
        <v>1357</v>
      </c>
      <c r="D102" s="171" t="s">
        <v>1240</v>
      </c>
      <c r="E102" s="171" t="s">
        <v>334</v>
      </c>
      <c r="F102" s="171" t="s">
        <v>1241</v>
      </c>
      <c r="I102" t="s">
        <v>509</v>
      </c>
      <c r="J102" t="s">
        <v>1233</v>
      </c>
      <c r="L102" s="16" t="s">
        <v>509</v>
      </c>
      <c r="N102" t="str">
        <f t="shared" si="1"/>
        <v/>
      </c>
    </row>
    <row r="103" spans="1:15" ht="20" x14ac:dyDescent="0.2">
      <c r="A103" s="171">
        <v>94</v>
      </c>
      <c r="B103" s="169" t="s">
        <v>512</v>
      </c>
      <c r="C103" s="171" t="s">
        <v>1358</v>
      </c>
      <c r="D103" s="171" t="s">
        <v>1240</v>
      </c>
      <c r="E103" s="171" t="s">
        <v>334</v>
      </c>
      <c r="F103" s="171" t="s">
        <v>1251</v>
      </c>
      <c r="L103" s="16" t="s">
        <v>510</v>
      </c>
      <c r="N103" t="str">
        <f t="shared" si="1"/>
        <v>X</v>
      </c>
      <c r="O103" s="16" t="s">
        <v>510</v>
      </c>
    </row>
    <row r="104" spans="1:15" ht="20" x14ac:dyDescent="0.2">
      <c r="A104" s="171">
        <v>95</v>
      </c>
      <c r="B104" s="169" t="s">
        <v>513</v>
      </c>
      <c r="C104" s="171" t="s">
        <v>1359</v>
      </c>
      <c r="D104" s="171" t="s">
        <v>1233</v>
      </c>
      <c r="E104" s="171" t="s">
        <v>334</v>
      </c>
      <c r="F104" s="171" t="s">
        <v>1251</v>
      </c>
      <c r="I104" t="s">
        <v>511</v>
      </c>
      <c r="J104" t="s">
        <v>1240</v>
      </c>
      <c r="L104" s="16" t="s">
        <v>511</v>
      </c>
      <c r="N104" t="str">
        <f t="shared" si="1"/>
        <v/>
      </c>
    </row>
    <row r="105" spans="1:15" ht="20" x14ac:dyDescent="0.2">
      <c r="A105" s="171">
        <v>106</v>
      </c>
      <c r="B105" s="169" t="s">
        <v>514</v>
      </c>
      <c r="C105" s="171" t="s">
        <v>1360</v>
      </c>
      <c r="D105" s="171" t="s">
        <v>1240</v>
      </c>
      <c r="E105" s="171" t="s">
        <v>334</v>
      </c>
      <c r="F105" s="171" t="s">
        <v>1266</v>
      </c>
      <c r="I105" t="s">
        <v>512</v>
      </c>
      <c r="J105" t="s">
        <v>1240</v>
      </c>
      <c r="L105" s="16" t="s">
        <v>512</v>
      </c>
      <c r="N105" t="str">
        <f t="shared" si="1"/>
        <v/>
      </c>
    </row>
    <row r="106" spans="1:15" ht="20" x14ac:dyDescent="0.2">
      <c r="A106" s="171">
        <v>19</v>
      </c>
      <c r="B106" s="169" t="s">
        <v>515</v>
      </c>
      <c r="C106" s="171" t="s">
        <v>1361</v>
      </c>
      <c r="D106" s="171" t="s">
        <v>1233</v>
      </c>
      <c r="E106" s="171" t="s">
        <v>1234</v>
      </c>
      <c r="F106" s="171" t="s">
        <v>1259</v>
      </c>
      <c r="I106" t="s">
        <v>513</v>
      </c>
      <c r="J106" t="s">
        <v>1233</v>
      </c>
      <c r="L106" s="16" t="s">
        <v>513</v>
      </c>
      <c r="N106" t="str">
        <f t="shared" si="1"/>
        <v/>
      </c>
    </row>
    <row r="107" spans="1:15" ht="20" x14ac:dyDescent="0.2">
      <c r="A107" s="171">
        <v>25</v>
      </c>
      <c r="B107" s="169" t="s">
        <v>516</v>
      </c>
      <c r="C107" s="171" t="s">
        <v>1362</v>
      </c>
      <c r="D107" s="171" t="s">
        <v>1237</v>
      </c>
      <c r="E107" s="171" t="s">
        <v>1234</v>
      </c>
      <c r="F107" s="171" t="s">
        <v>1238</v>
      </c>
      <c r="I107" t="s">
        <v>514</v>
      </c>
      <c r="J107" t="s">
        <v>1240</v>
      </c>
      <c r="L107" s="16" t="s">
        <v>514</v>
      </c>
      <c r="N107" t="str">
        <f t="shared" si="1"/>
        <v/>
      </c>
    </row>
    <row r="108" spans="1:15" ht="20" x14ac:dyDescent="0.2">
      <c r="A108" s="171">
        <v>54</v>
      </c>
      <c r="B108" s="169" t="s">
        <v>517</v>
      </c>
      <c r="C108" s="171" t="s">
        <v>1363</v>
      </c>
      <c r="D108" s="171" t="s">
        <v>1250</v>
      </c>
      <c r="E108" s="171" t="s">
        <v>1234</v>
      </c>
      <c r="F108" s="171" t="s">
        <v>1255</v>
      </c>
      <c r="I108" t="s">
        <v>515</v>
      </c>
      <c r="J108" t="s">
        <v>1233</v>
      </c>
      <c r="L108" s="16" t="s">
        <v>515</v>
      </c>
      <c r="N108" t="str">
        <f t="shared" si="1"/>
        <v/>
      </c>
    </row>
    <row r="109" spans="1:15" ht="20" x14ac:dyDescent="0.2">
      <c r="A109" s="171">
        <v>55</v>
      </c>
      <c r="B109" s="169" t="s">
        <v>518</v>
      </c>
      <c r="C109" s="171" t="s">
        <v>1364</v>
      </c>
      <c r="D109" s="171" t="s">
        <v>1250</v>
      </c>
      <c r="E109" s="171" t="s">
        <v>1234</v>
      </c>
      <c r="F109" s="171" t="s">
        <v>1255</v>
      </c>
      <c r="I109" t="s">
        <v>516</v>
      </c>
      <c r="J109" t="s">
        <v>1237</v>
      </c>
      <c r="L109" s="16" t="s">
        <v>516</v>
      </c>
      <c r="N109" t="str">
        <f t="shared" si="1"/>
        <v/>
      </c>
    </row>
    <row r="110" spans="1:15" ht="20" x14ac:dyDescent="0.2">
      <c r="A110" s="171">
        <v>56</v>
      </c>
      <c r="B110" s="169" t="s">
        <v>519</v>
      </c>
      <c r="C110" s="171" t="s">
        <v>1365</v>
      </c>
      <c r="D110" s="171" t="s">
        <v>1366</v>
      </c>
      <c r="E110" s="171" t="s">
        <v>1234</v>
      </c>
      <c r="F110" s="171" t="s">
        <v>1255</v>
      </c>
      <c r="I110" t="s">
        <v>517</v>
      </c>
      <c r="J110" t="s">
        <v>1250</v>
      </c>
      <c r="L110" s="16" t="s">
        <v>517</v>
      </c>
      <c r="N110" t="str">
        <f t="shared" si="1"/>
        <v/>
      </c>
    </row>
    <row r="111" spans="1:15" ht="20" x14ac:dyDescent="0.2">
      <c r="A111" s="171">
        <v>43</v>
      </c>
      <c r="B111" s="169" t="s">
        <v>520</v>
      </c>
      <c r="C111" s="171" t="s">
        <v>1367</v>
      </c>
      <c r="D111" s="171" t="s">
        <v>1254</v>
      </c>
      <c r="E111" s="171" t="s">
        <v>1234</v>
      </c>
      <c r="F111" s="171" t="s">
        <v>1238</v>
      </c>
      <c r="I111" t="s">
        <v>518</v>
      </c>
      <c r="J111" t="s">
        <v>1250</v>
      </c>
      <c r="L111" s="16" t="s">
        <v>518</v>
      </c>
      <c r="N111" t="str">
        <f t="shared" si="1"/>
        <v/>
      </c>
    </row>
    <row r="112" spans="1:15" ht="20" x14ac:dyDescent="0.2">
      <c r="A112" s="171">
        <v>13</v>
      </c>
      <c r="B112" s="169" t="s">
        <v>521</v>
      </c>
      <c r="C112" s="171" t="s">
        <v>1368</v>
      </c>
      <c r="D112" s="171" t="s">
        <v>1233</v>
      </c>
      <c r="E112" s="171" t="s">
        <v>1234</v>
      </c>
      <c r="F112" s="171" t="s">
        <v>1292</v>
      </c>
      <c r="I112" t="s">
        <v>519</v>
      </c>
      <c r="J112" t="s">
        <v>1366</v>
      </c>
      <c r="L112" s="16" t="s">
        <v>519</v>
      </c>
      <c r="N112" t="str">
        <f t="shared" si="1"/>
        <v/>
      </c>
    </row>
    <row r="113" spans="1:14" ht="20" x14ac:dyDescent="0.2">
      <c r="A113" s="171">
        <v>14</v>
      </c>
      <c r="B113" s="169" t="s">
        <v>522</v>
      </c>
      <c r="C113" s="171" t="s">
        <v>1369</v>
      </c>
      <c r="D113" s="171" t="s">
        <v>1233</v>
      </c>
      <c r="E113" s="171" t="s">
        <v>1234</v>
      </c>
      <c r="F113" s="171" t="s">
        <v>1292</v>
      </c>
      <c r="I113" t="s">
        <v>520</v>
      </c>
      <c r="J113" t="s">
        <v>1254</v>
      </c>
      <c r="L113" s="16" t="s">
        <v>520</v>
      </c>
      <c r="N113" t="str">
        <f t="shared" si="1"/>
        <v/>
      </c>
    </row>
    <row r="114" spans="1:14" ht="20" x14ac:dyDescent="0.2">
      <c r="A114" s="171">
        <v>33</v>
      </c>
      <c r="B114" s="169" t="s">
        <v>523</v>
      </c>
      <c r="C114" s="171" t="s">
        <v>1370</v>
      </c>
      <c r="D114" s="171" t="s">
        <v>1240</v>
      </c>
      <c r="E114" s="171" t="s">
        <v>1234</v>
      </c>
      <c r="F114" s="171" t="s">
        <v>1238</v>
      </c>
      <c r="I114" t="s">
        <v>521</v>
      </c>
      <c r="J114" t="s">
        <v>1233</v>
      </c>
      <c r="L114" s="16" t="s">
        <v>521</v>
      </c>
      <c r="N114" t="str">
        <f t="shared" si="1"/>
        <v/>
      </c>
    </row>
    <row r="115" spans="1:14" ht="20" x14ac:dyDescent="0.2">
      <c r="A115" s="171">
        <v>34</v>
      </c>
      <c r="B115" s="169" t="s">
        <v>524</v>
      </c>
      <c r="C115" s="171" t="s">
        <v>1371</v>
      </c>
      <c r="D115" s="171" t="s">
        <v>1240</v>
      </c>
      <c r="E115" s="171" t="s">
        <v>1234</v>
      </c>
      <c r="F115" s="171" t="s">
        <v>1238</v>
      </c>
      <c r="I115" t="s">
        <v>522</v>
      </c>
      <c r="J115" t="s">
        <v>1233</v>
      </c>
      <c r="L115" s="16" t="s">
        <v>522</v>
      </c>
      <c r="N115" t="str">
        <f t="shared" si="1"/>
        <v/>
      </c>
    </row>
    <row r="116" spans="1:14" ht="20" x14ac:dyDescent="0.2">
      <c r="A116" s="171">
        <v>35</v>
      </c>
      <c r="B116" s="169" t="s">
        <v>525</v>
      </c>
      <c r="C116" s="171" t="s">
        <v>1372</v>
      </c>
      <c r="D116" s="171" t="s">
        <v>1240</v>
      </c>
      <c r="E116" s="171" t="s">
        <v>1234</v>
      </c>
      <c r="F116" s="171" t="s">
        <v>1238</v>
      </c>
      <c r="I116" t="s">
        <v>523</v>
      </c>
      <c r="J116" t="s">
        <v>1240</v>
      </c>
      <c r="L116" s="16" t="s">
        <v>523</v>
      </c>
      <c r="N116" t="str">
        <f t="shared" si="1"/>
        <v/>
      </c>
    </row>
    <row r="117" spans="1:14" ht="20" x14ac:dyDescent="0.2">
      <c r="A117" s="171">
        <v>36</v>
      </c>
      <c r="B117" s="169" t="s">
        <v>526</v>
      </c>
      <c r="C117" s="171" t="s">
        <v>1373</v>
      </c>
      <c r="D117" s="171" t="s">
        <v>1240</v>
      </c>
      <c r="E117" s="171" t="s">
        <v>1234</v>
      </c>
      <c r="F117" s="171" t="s">
        <v>1238</v>
      </c>
      <c r="I117" t="s">
        <v>524</v>
      </c>
      <c r="J117" t="s">
        <v>1240</v>
      </c>
      <c r="L117" s="16" t="s">
        <v>524</v>
      </c>
      <c r="N117" t="str">
        <f t="shared" si="1"/>
        <v/>
      </c>
    </row>
    <row r="118" spans="1:14" ht="20" x14ac:dyDescent="0.2">
      <c r="A118" s="171">
        <v>37</v>
      </c>
      <c r="B118" s="169" t="s">
        <v>527</v>
      </c>
      <c r="C118" s="171" t="s">
        <v>1374</v>
      </c>
      <c r="D118" s="171" t="s">
        <v>1240</v>
      </c>
      <c r="E118" s="171" t="s">
        <v>1234</v>
      </c>
      <c r="F118" s="171" t="s">
        <v>1238</v>
      </c>
      <c r="I118" t="s">
        <v>525</v>
      </c>
      <c r="J118" t="s">
        <v>1240</v>
      </c>
      <c r="L118" s="16" t="s">
        <v>525</v>
      </c>
      <c r="N118" t="str">
        <f t="shared" si="1"/>
        <v/>
      </c>
    </row>
    <row r="119" spans="1:14" ht="20" x14ac:dyDescent="0.2">
      <c r="A119" s="171">
        <v>98</v>
      </c>
      <c r="B119" s="169" t="s">
        <v>528</v>
      </c>
      <c r="C119" s="171" t="s">
        <v>1375</v>
      </c>
      <c r="D119" s="171" t="s">
        <v>1250</v>
      </c>
      <c r="E119" s="171" t="s">
        <v>334</v>
      </c>
      <c r="F119" s="171" t="s">
        <v>1251</v>
      </c>
      <c r="I119" t="s">
        <v>526</v>
      </c>
      <c r="J119" t="s">
        <v>1240</v>
      </c>
      <c r="L119" s="16" t="s">
        <v>526</v>
      </c>
      <c r="N119" t="str">
        <f t="shared" si="1"/>
        <v/>
      </c>
    </row>
    <row r="120" spans="1:14" ht="20" x14ac:dyDescent="0.2">
      <c r="A120" s="171">
        <v>48</v>
      </c>
      <c r="B120" s="169" t="s">
        <v>529</v>
      </c>
      <c r="C120" s="171" t="s">
        <v>1376</v>
      </c>
      <c r="D120" s="171" t="s">
        <v>1240</v>
      </c>
      <c r="E120" s="171" t="s">
        <v>1234</v>
      </c>
      <c r="F120" s="171" t="s">
        <v>1261</v>
      </c>
      <c r="I120" t="s">
        <v>527</v>
      </c>
      <c r="J120" t="s">
        <v>1240</v>
      </c>
      <c r="L120" s="16" t="s">
        <v>527</v>
      </c>
      <c r="N120" t="str">
        <f t="shared" si="1"/>
        <v/>
      </c>
    </row>
    <row r="121" spans="1:14" ht="20" x14ac:dyDescent="0.2">
      <c r="A121" s="171">
        <v>49</v>
      </c>
      <c r="B121" s="169" t="s">
        <v>530</v>
      </c>
      <c r="C121" s="171" t="s">
        <v>1377</v>
      </c>
      <c r="D121" s="171" t="s">
        <v>1240</v>
      </c>
      <c r="E121" s="171" t="s">
        <v>1234</v>
      </c>
      <c r="F121" s="171" t="s">
        <v>1261</v>
      </c>
      <c r="I121" t="s">
        <v>528</v>
      </c>
      <c r="J121" t="s">
        <v>1250</v>
      </c>
      <c r="L121" s="16" t="s">
        <v>528</v>
      </c>
      <c r="N121" t="str">
        <f t="shared" si="1"/>
        <v/>
      </c>
    </row>
    <row r="122" spans="1:14" ht="20" x14ac:dyDescent="0.2">
      <c r="A122" s="171">
        <v>20</v>
      </c>
      <c r="B122" s="169" t="s">
        <v>531</v>
      </c>
      <c r="C122" s="171" t="s">
        <v>1378</v>
      </c>
      <c r="D122" s="171" t="s">
        <v>1233</v>
      </c>
      <c r="E122" s="171" t="s">
        <v>1234</v>
      </c>
      <c r="F122" s="171" t="s">
        <v>1259</v>
      </c>
      <c r="I122" t="s">
        <v>529</v>
      </c>
      <c r="J122" t="s">
        <v>1240</v>
      </c>
      <c r="L122" s="16" t="s">
        <v>529</v>
      </c>
      <c r="N122" t="str">
        <f t="shared" si="1"/>
        <v/>
      </c>
    </row>
    <row r="123" spans="1:14" ht="20" x14ac:dyDescent="0.2">
      <c r="A123" s="171">
        <v>57</v>
      </c>
      <c r="B123" s="169" t="s">
        <v>532</v>
      </c>
      <c r="C123" s="171" t="s">
        <v>1379</v>
      </c>
      <c r="D123" s="171" t="s">
        <v>1250</v>
      </c>
      <c r="E123" s="171" t="s">
        <v>1234</v>
      </c>
      <c r="F123" s="171" t="s">
        <v>1255</v>
      </c>
      <c r="I123" t="s">
        <v>530</v>
      </c>
      <c r="J123" t="s">
        <v>1240</v>
      </c>
      <c r="L123" s="16" t="s">
        <v>530</v>
      </c>
      <c r="N123" t="str">
        <f t="shared" si="1"/>
        <v/>
      </c>
    </row>
    <row r="124" spans="1:14" ht="20" x14ac:dyDescent="0.2">
      <c r="A124" s="171">
        <v>38</v>
      </c>
      <c r="B124" s="169" t="s">
        <v>533</v>
      </c>
      <c r="C124" s="171" t="s">
        <v>1380</v>
      </c>
      <c r="D124" s="171" t="s">
        <v>1240</v>
      </c>
      <c r="E124" s="171" t="s">
        <v>1234</v>
      </c>
      <c r="F124" s="171" t="s">
        <v>1238</v>
      </c>
      <c r="I124" t="s">
        <v>531</v>
      </c>
      <c r="J124" t="s">
        <v>1233</v>
      </c>
      <c r="L124" s="16" t="s">
        <v>531</v>
      </c>
      <c r="N124" t="str">
        <f t="shared" si="1"/>
        <v/>
      </c>
    </row>
    <row r="125" spans="1:14" ht="20" x14ac:dyDescent="0.2">
      <c r="A125" s="171">
        <v>107</v>
      </c>
      <c r="B125" s="169" t="s">
        <v>534</v>
      </c>
      <c r="C125" s="171" t="s">
        <v>1381</v>
      </c>
      <c r="D125" s="171" t="s">
        <v>1240</v>
      </c>
      <c r="E125" s="171" t="s">
        <v>334</v>
      </c>
      <c r="F125" s="171" t="s">
        <v>1266</v>
      </c>
      <c r="I125" t="s">
        <v>532</v>
      </c>
      <c r="J125" t="s">
        <v>1250</v>
      </c>
      <c r="L125" s="16" t="s">
        <v>532</v>
      </c>
      <c r="N125" t="str">
        <f t="shared" si="1"/>
        <v/>
      </c>
    </row>
    <row r="126" spans="1:14" ht="20" x14ac:dyDescent="0.2">
      <c r="A126" s="171">
        <v>108</v>
      </c>
      <c r="B126" s="169" t="s">
        <v>535</v>
      </c>
      <c r="C126" s="171" t="s">
        <v>1382</v>
      </c>
      <c r="D126" s="171" t="s">
        <v>1240</v>
      </c>
      <c r="E126" s="171" t="s">
        <v>334</v>
      </c>
      <c r="F126" s="171" t="s">
        <v>1266</v>
      </c>
      <c r="I126" t="s">
        <v>533</v>
      </c>
      <c r="J126" t="s">
        <v>1240</v>
      </c>
      <c r="L126" s="16" t="s">
        <v>533</v>
      </c>
      <c r="N126" t="str">
        <f t="shared" si="1"/>
        <v/>
      </c>
    </row>
    <row r="127" spans="1:14" ht="20" x14ac:dyDescent="0.2">
      <c r="A127" s="171">
        <v>26</v>
      </c>
      <c r="B127" s="169" t="s">
        <v>536</v>
      </c>
      <c r="C127" s="171" t="s">
        <v>1383</v>
      </c>
      <c r="D127" s="171" t="s">
        <v>1237</v>
      </c>
      <c r="E127" s="171" t="s">
        <v>1234</v>
      </c>
      <c r="F127" s="171" t="s">
        <v>1238</v>
      </c>
      <c r="I127" t="s">
        <v>534</v>
      </c>
      <c r="J127" t="s">
        <v>1240</v>
      </c>
      <c r="L127" s="16" t="s">
        <v>534</v>
      </c>
      <c r="N127" t="str">
        <f t="shared" si="1"/>
        <v/>
      </c>
    </row>
    <row r="128" spans="1:14" ht="20" x14ac:dyDescent="0.2">
      <c r="A128" s="171">
        <v>27</v>
      </c>
      <c r="B128" s="169" t="s">
        <v>537</v>
      </c>
      <c r="C128" s="171" t="s">
        <v>1384</v>
      </c>
      <c r="D128" s="171" t="s">
        <v>1237</v>
      </c>
      <c r="E128" s="171" t="s">
        <v>1234</v>
      </c>
      <c r="F128" s="171" t="s">
        <v>1238</v>
      </c>
      <c r="I128" t="s">
        <v>535</v>
      </c>
      <c r="J128" t="s">
        <v>1240</v>
      </c>
      <c r="L128" s="16" t="s">
        <v>535</v>
      </c>
      <c r="N128" t="str">
        <f t="shared" si="1"/>
        <v/>
      </c>
    </row>
    <row r="129" spans="1:14" ht="20" x14ac:dyDescent="0.2">
      <c r="A129" s="171">
        <v>138</v>
      </c>
      <c r="B129" s="169" t="s">
        <v>538</v>
      </c>
      <c r="C129" s="171" t="s">
        <v>1385</v>
      </c>
      <c r="D129" s="171" t="s">
        <v>1240</v>
      </c>
      <c r="E129" s="171" t="s">
        <v>358</v>
      </c>
      <c r="F129" s="171" t="s">
        <v>1245</v>
      </c>
      <c r="I129" t="s">
        <v>536</v>
      </c>
      <c r="J129" t="s">
        <v>1237</v>
      </c>
      <c r="L129" s="16" t="s">
        <v>536</v>
      </c>
      <c r="N129" t="str">
        <f t="shared" si="1"/>
        <v/>
      </c>
    </row>
    <row r="130" spans="1:14" ht="20" x14ac:dyDescent="0.2">
      <c r="A130" s="171">
        <v>147</v>
      </c>
      <c r="B130" s="169" t="s">
        <v>539</v>
      </c>
      <c r="C130" s="171" t="s">
        <v>1386</v>
      </c>
      <c r="D130" s="171" t="s">
        <v>1250</v>
      </c>
      <c r="E130" s="171" t="s">
        <v>358</v>
      </c>
      <c r="F130" s="171" t="s">
        <v>1257</v>
      </c>
      <c r="I130" t="s">
        <v>537</v>
      </c>
      <c r="J130" t="s">
        <v>1237</v>
      </c>
      <c r="L130" s="16" t="s">
        <v>537</v>
      </c>
      <c r="N130" t="str">
        <f t="shared" ref="N130:N156" si="2">IF(I130=L130,"","X")</f>
        <v/>
      </c>
    </row>
    <row r="131" spans="1:14" ht="20" x14ac:dyDescent="0.2">
      <c r="A131" s="171">
        <v>133</v>
      </c>
      <c r="B131" s="169" t="s">
        <v>540</v>
      </c>
      <c r="C131" s="171" t="s">
        <v>1387</v>
      </c>
      <c r="D131" s="171" t="s">
        <v>1240</v>
      </c>
      <c r="E131" s="171" t="s">
        <v>358</v>
      </c>
      <c r="F131" s="171" t="s">
        <v>1295</v>
      </c>
      <c r="I131" t="s">
        <v>538</v>
      </c>
      <c r="J131" t="s">
        <v>1240</v>
      </c>
      <c r="L131" s="16" t="s">
        <v>538</v>
      </c>
      <c r="N131" t="str">
        <f t="shared" si="2"/>
        <v/>
      </c>
    </row>
    <row r="132" spans="1:14" ht="20" x14ac:dyDescent="0.2">
      <c r="A132" s="171">
        <v>134</v>
      </c>
      <c r="B132" s="169" t="s">
        <v>541</v>
      </c>
      <c r="C132" s="171" t="s">
        <v>1388</v>
      </c>
      <c r="D132" s="171" t="s">
        <v>1240</v>
      </c>
      <c r="E132" s="171" t="s">
        <v>358</v>
      </c>
      <c r="F132" s="171" t="s">
        <v>1295</v>
      </c>
      <c r="I132" t="s">
        <v>539</v>
      </c>
      <c r="J132" t="s">
        <v>1250</v>
      </c>
      <c r="L132" s="16" t="s">
        <v>539</v>
      </c>
      <c r="N132" t="str">
        <f t="shared" si="2"/>
        <v/>
      </c>
    </row>
    <row r="133" spans="1:14" ht="20" x14ac:dyDescent="0.2">
      <c r="A133" s="171">
        <v>109</v>
      </c>
      <c r="B133" s="169" t="s">
        <v>542</v>
      </c>
      <c r="C133" s="171" t="s">
        <v>1389</v>
      </c>
      <c r="D133" s="171" t="s">
        <v>1240</v>
      </c>
      <c r="E133" s="171" t="s">
        <v>334</v>
      </c>
      <c r="F133" s="171" t="s">
        <v>1266</v>
      </c>
      <c r="I133" t="s">
        <v>540</v>
      </c>
      <c r="J133" t="s">
        <v>1240</v>
      </c>
      <c r="L133" s="16" t="s">
        <v>540</v>
      </c>
      <c r="N133" t="str">
        <f t="shared" si="2"/>
        <v/>
      </c>
    </row>
    <row r="134" spans="1:14" ht="20" x14ac:dyDescent="0.2">
      <c r="A134" s="171">
        <v>68</v>
      </c>
      <c r="B134" s="169" t="s">
        <v>543</v>
      </c>
      <c r="C134" s="171" t="s">
        <v>1390</v>
      </c>
      <c r="D134" s="171" t="s">
        <v>1240</v>
      </c>
      <c r="E134" s="171" t="s">
        <v>1234</v>
      </c>
      <c r="F134" s="171" t="s">
        <v>1243</v>
      </c>
      <c r="I134" t="s">
        <v>541</v>
      </c>
      <c r="J134" t="s">
        <v>1240</v>
      </c>
      <c r="L134" s="16" t="s">
        <v>541</v>
      </c>
      <c r="N134" t="str">
        <f t="shared" si="2"/>
        <v/>
      </c>
    </row>
    <row r="135" spans="1:14" ht="20" x14ac:dyDescent="0.2">
      <c r="A135" s="171">
        <v>69</v>
      </c>
      <c r="B135" s="169" t="s">
        <v>544</v>
      </c>
      <c r="C135" s="171" t="s">
        <v>1391</v>
      </c>
      <c r="D135" s="171" t="s">
        <v>1233</v>
      </c>
      <c r="E135" s="171" t="s">
        <v>1234</v>
      </c>
      <c r="F135" s="171" t="s">
        <v>1243</v>
      </c>
      <c r="I135" t="s">
        <v>542</v>
      </c>
      <c r="J135" t="s">
        <v>1240</v>
      </c>
      <c r="L135" s="16" t="s">
        <v>542</v>
      </c>
      <c r="N135" t="str">
        <f t="shared" si="2"/>
        <v/>
      </c>
    </row>
    <row r="136" spans="1:14" ht="20" x14ac:dyDescent="0.2">
      <c r="A136" s="171">
        <v>135</v>
      </c>
      <c r="B136" s="169" t="s">
        <v>545</v>
      </c>
      <c r="C136" s="171" t="s">
        <v>1392</v>
      </c>
      <c r="D136" s="171" t="s">
        <v>1240</v>
      </c>
      <c r="E136" s="171" t="s">
        <v>358</v>
      </c>
      <c r="F136" s="171" t="s">
        <v>1295</v>
      </c>
      <c r="I136" t="s">
        <v>543</v>
      </c>
      <c r="J136" t="s">
        <v>1240</v>
      </c>
      <c r="L136" s="16" t="s">
        <v>543</v>
      </c>
      <c r="N136" t="str">
        <f t="shared" si="2"/>
        <v/>
      </c>
    </row>
    <row r="137" spans="1:14" ht="20" x14ac:dyDescent="0.2">
      <c r="A137" s="171">
        <v>148</v>
      </c>
      <c r="B137" s="169" t="s">
        <v>546</v>
      </c>
      <c r="C137" s="171" t="s">
        <v>1393</v>
      </c>
      <c r="D137" s="171" t="s">
        <v>1250</v>
      </c>
      <c r="E137" s="171" t="s">
        <v>358</v>
      </c>
      <c r="F137" s="171" t="s">
        <v>1257</v>
      </c>
      <c r="I137" t="s">
        <v>544</v>
      </c>
      <c r="J137" t="s">
        <v>1233</v>
      </c>
      <c r="L137" s="16" t="s">
        <v>544</v>
      </c>
      <c r="N137" t="str">
        <f t="shared" si="2"/>
        <v/>
      </c>
    </row>
    <row r="138" spans="1:14" ht="20" x14ac:dyDescent="0.2">
      <c r="A138" s="171">
        <v>139</v>
      </c>
      <c r="B138" s="169" t="s">
        <v>547</v>
      </c>
      <c r="C138" s="171" t="s">
        <v>1394</v>
      </c>
      <c r="D138" s="171" t="s">
        <v>1240</v>
      </c>
      <c r="E138" s="171" t="s">
        <v>358</v>
      </c>
      <c r="F138" s="171" t="s">
        <v>1245</v>
      </c>
      <c r="I138" t="s">
        <v>545</v>
      </c>
      <c r="J138" t="s">
        <v>1240</v>
      </c>
      <c r="L138" s="16" t="s">
        <v>545</v>
      </c>
      <c r="N138" t="str">
        <f t="shared" si="2"/>
        <v/>
      </c>
    </row>
    <row r="139" spans="1:14" ht="20" x14ac:dyDescent="0.2">
      <c r="A139" s="171">
        <v>140</v>
      </c>
      <c r="B139" s="169" t="s">
        <v>548</v>
      </c>
      <c r="C139" s="171" t="s">
        <v>1395</v>
      </c>
      <c r="D139" s="171" t="s">
        <v>1240</v>
      </c>
      <c r="E139" s="171" t="s">
        <v>358</v>
      </c>
      <c r="F139" s="171" t="s">
        <v>1245</v>
      </c>
      <c r="I139" t="s">
        <v>546</v>
      </c>
      <c r="J139" t="s">
        <v>1250</v>
      </c>
      <c r="L139" s="16" t="s">
        <v>546</v>
      </c>
      <c r="N139" t="str">
        <f t="shared" si="2"/>
        <v/>
      </c>
    </row>
    <row r="140" spans="1:14" ht="20" x14ac:dyDescent="0.2">
      <c r="A140" s="171">
        <v>41</v>
      </c>
      <c r="B140" s="169" t="s">
        <v>549</v>
      </c>
      <c r="C140" s="171" t="s">
        <v>1396</v>
      </c>
      <c r="D140" s="171" t="s">
        <v>1240</v>
      </c>
      <c r="E140" s="171" t="s">
        <v>358</v>
      </c>
      <c r="F140" s="171" t="s">
        <v>1245</v>
      </c>
      <c r="I140" t="s">
        <v>547</v>
      </c>
      <c r="J140" t="s">
        <v>1240</v>
      </c>
      <c r="L140" s="16" t="s">
        <v>547</v>
      </c>
      <c r="N140" t="str">
        <f t="shared" si="2"/>
        <v/>
      </c>
    </row>
    <row r="141" spans="1:14" ht="20" x14ac:dyDescent="0.2">
      <c r="A141" s="171">
        <v>39</v>
      </c>
      <c r="B141" s="169" t="s">
        <v>550</v>
      </c>
      <c r="C141" s="171" t="s">
        <v>1397</v>
      </c>
      <c r="D141" s="171" t="s">
        <v>1240</v>
      </c>
      <c r="E141" s="171" t="s">
        <v>1234</v>
      </c>
      <c r="F141" s="171" t="s">
        <v>1238</v>
      </c>
      <c r="I141" t="s">
        <v>548</v>
      </c>
      <c r="J141" t="s">
        <v>1240</v>
      </c>
      <c r="L141" s="16" t="s">
        <v>548</v>
      </c>
      <c r="N141" t="str">
        <f t="shared" si="2"/>
        <v/>
      </c>
    </row>
    <row r="142" spans="1:14" ht="20" x14ac:dyDescent="0.2">
      <c r="A142" s="171">
        <v>40</v>
      </c>
      <c r="B142" s="169" t="s">
        <v>551</v>
      </c>
      <c r="C142" s="171" t="s">
        <v>1398</v>
      </c>
      <c r="D142" s="171" t="s">
        <v>1240</v>
      </c>
      <c r="E142" s="171" t="s">
        <v>1234</v>
      </c>
      <c r="F142" s="171" t="s">
        <v>1238</v>
      </c>
      <c r="I142" t="s">
        <v>549</v>
      </c>
      <c r="J142" t="s">
        <v>1240</v>
      </c>
      <c r="L142" s="16" t="s">
        <v>549</v>
      </c>
      <c r="N142" t="str">
        <f t="shared" si="2"/>
        <v/>
      </c>
    </row>
    <row r="143" spans="1:14" ht="20" x14ac:dyDescent="0.2">
      <c r="A143" s="171">
        <v>149</v>
      </c>
      <c r="B143" s="169" t="s">
        <v>552</v>
      </c>
      <c r="C143" s="171" t="s">
        <v>1399</v>
      </c>
      <c r="D143" s="171" t="s">
        <v>1250</v>
      </c>
      <c r="E143" s="171" t="s">
        <v>358</v>
      </c>
      <c r="F143" s="171" t="s">
        <v>1257</v>
      </c>
      <c r="I143" t="s">
        <v>550</v>
      </c>
      <c r="J143" t="s">
        <v>1240</v>
      </c>
      <c r="L143" s="16" t="s">
        <v>550</v>
      </c>
      <c r="N143" t="str">
        <f t="shared" si="2"/>
        <v/>
      </c>
    </row>
    <row r="144" spans="1:14" ht="20" x14ac:dyDescent="0.2">
      <c r="A144" s="171">
        <v>28</v>
      </c>
      <c r="B144" s="169" t="s">
        <v>553</v>
      </c>
      <c r="C144" s="171" t="s">
        <v>1400</v>
      </c>
      <c r="D144" s="171" t="s">
        <v>1237</v>
      </c>
      <c r="E144" s="171" t="s">
        <v>1234</v>
      </c>
      <c r="F144" s="171" t="s">
        <v>1238</v>
      </c>
      <c r="I144" t="s">
        <v>551</v>
      </c>
      <c r="J144" t="s">
        <v>1240</v>
      </c>
      <c r="L144" s="16" t="s">
        <v>551</v>
      </c>
      <c r="N144" t="str">
        <f t="shared" si="2"/>
        <v/>
      </c>
    </row>
    <row r="145" spans="1:14" ht="20" x14ac:dyDescent="0.2">
      <c r="A145" s="171">
        <v>58</v>
      </c>
      <c r="B145" s="169" t="s">
        <v>554</v>
      </c>
      <c r="C145" s="171" t="s">
        <v>1401</v>
      </c>
      <c r="D145" s="171" t="s">
        <v>1250</v>
      </c>
      <c r="E145" s="171" t="s">
        <v>1234</v>
      </c>
      <c r="F145" s="171" t="s">
        <v>1255</v>
      </c>
      <c r="I145" t="s">
        <v>552</v>
      </c>
      <c r="J145" t="s">
        <v>1250</v>
      </c>
      <c r="L145" s="16" t="s">
        <v>552</v>
      </c>
      <c r="N145" t="str">
        <f t="shared" si="2"/>
        <v/>
      </c>
    </row>
    <row r="146" spans="1:14" ht="20" x14ac:dyDescent="0.2">
      <c r="A146" s="171">
        <v>72</v>
      </c>
      <c r="B146" s="169" t="s">
        <v>555</v>
      </c>
      <c r="C146" s="171" t="s">
        <v>1402</v>
      </c>
      <c r="D146" s="171" t="s">
        <v>1250</v>
      </c>
      <c r="E146" s="171" t="s">
        <v>1234</v>
      </c>
      <c r="F146" s="171" t="s">
        <v>1243</v>
      </c>
      <c r="I146" t="s">
        <v>553</v>
      </c>
      <c r="J146" t="s">
        <v>1237</v>
      </c>
      <c r="L146" s="16" t="s">
        <v>553</v>
      </c>
      <c r="N146" t="str">
        <f t="shared" si="2"/>
        <v/>
      </c>
    </row>
    <row r="147" spans="1:14" ht="20" x14ac:dyDescent="0.2">
      <c r="A147" s="171">
        <v>88</v>
      </c>
      <c r="B147" s="169" t="s">
        <v>556</v>
      </c>
      <c r="C147" s="171" t="s">
        <v>1403</v>
      </c>
      <c r="D147" s="171" t="s">
        <v>1237</v>
      </c>
      <c r="E147" s="171" t="s">
        <v>334</v>
      </c>
      <c r="F147" s="171" t="s">
        <v>1251</v>
      </c>
      <c r="I147" t="s">
        <v>554</v>
      </c>
      <c r="J147" t="s">
        <v>1250</v>
      </c>
      <c r="L147" s="16" t="s">
        <v>554</v>
      </c>
      <c r="N147" t="str">
        <f t="shared" si="2"/>
        <v/>
      </c>
    </row>
    <row r="148" spans="1:14" ht="20" x14ac:dyDescent="0.2">
      <c r="A148" s="171">
        <v>112</v>
      </c>
      <c r="B148" s="169" t="s">
        <v>557</v>
      </c>
      <c r="C148" s="171" t="s">
        <v>1404</v>
      </c>
      <c r="D148" s="171" t="s">
        <v>1240</v>
      </c>
      <c r="E148" s="171" t="s">
        <v>358</v>
      </c>
      <c r="F148" s="171" t="s">
        <v>1405</v>
      </c>
      <c r="I148" t="s">
        <v>555</v>
      </c>
      <c r="J148" t="s">
        <v>1250</v>
      </c>
      <c r="L148" s="16" t="s">
        <v>555</v>
      </c>
      <c r="N148" t="str">
        <f t="shared" si="2"/>
        <v/>
      </c>
    </row>
    <row r="149" spans="1:14" ht="20" x14ac:dyDescent="0.2">
      <c r="A149" s="171">
        <v>41</v>
      </c>
      <c r="B149" s="169" t="s">
        <v>558</v>
      </c>
      <c r="C149" s="171" t="s">
        <v>1406</v>
      </c>
      <c r="D149" s="171" t="s">
        <v>1240</v>
      </c>
      <c r="E149" s="171" t="s">
        <v>1234</v>
      </c>
      <c r="F149" s="171" t="s">
        <v>1238</v>
      </c>
      <c r="I149" t="s">
        <v>556</v>
      </c>
      <c r="J149" t="s">
        <v>1237</v>
      </c>
      <c r="L149" s="16" t="s">
        <v>556</v>
      </c>
      <c r="N149" t="str">
        <f t="shared" si="2"/>
        <v/>
      </c>
    </row>
    <row r="150" spans="1:14" ht="20" x14ac:dyDescent="0.2">
      <c r="A150" s="171">
        <v>42</v>
      </c>
      <c r="B150" s="169" t="s">
        <v>559</v>
      </c>
      <c r="C150" s="171" t="s">
        <v>1407</v>
      </c>
      <c r="D150" s="171" t="s">
        <v>1240</v>
      </c>
      <c r="E150" s="171" t="s">
        <v>1234</v>
      </c>
      <c r="F150" s="171" t="s">
        <v>1238</v>
      </c>
      <c r="I150" t="s">
        <v>557</v>
      </c>
      <c r="J150" t="s">
        <v>1240</v>
      </c>
      <c r="L150" s="16" t="s">
        <v>557</v>
      </c>
      <c r="N150" t="str">
        <f t="shared" si="2"/>
        <v/>
      </c>
    </row>
    <row r="151" spans="1:14" ht="20" x14ac:dyDescent="0.2">
      <c r="A151" s="171">
        <v>113</v>
      </c>
      <c r="B151" s="169" t="s">
        <v>560</v>
      </c>
      <c r="C151" s="171" t="s">
        <v>1408</v>
      </c>
      <c r="D151" s="171" t="s">
        <v>1240</v>
      </c>
      <c r="E151" s="171" t="s">
        <v>358</v>
      </c>
      <c r="F151" s="171" t="s">
        <v>1405</v>
      </c>
      <c r="I151" t="s">
        <v>558</v>
      </c>
      <c r="J151" t="s">
        <v>1240</v>
      </c>
      <c r="L151" s="16" t="s">
        <v>558</v>
      </c>
      <c r="N151" t="str">
        <f t="shared" si="2"/>
        <v/>
      </c>
    </row>
    <row r="152" spans="1:14" ht="20" x14ac:dyDescent="0.2">
      <c r="A152" s="171">
        <v>114</v>
      </c>
      <c r="B152" s="169" t="s">
        <v>561</v>
      </c>
      <c r="C152" s="171" t="s">
        <v>1409</v>
      </c>
      <c r="D152" s="171" t="s">
        <v>1240</v>
      </c>
      <c r="E152" s="171" t="s">
        <v>358</v>
      </c>
      <c r="F152" s="171" t="s">
        <v>1405</v>
      </c>
      <c r="I152" t="s">
        <v>559</v>
      </c>
      <c r="J152" t="s">
        <v>1240</v>
      </c>
      <c r="L152" s="16" t="s">
        <v>559</v>
      </c>
      <c r="N152" t="str">
        <f t="shared" si="2"/>
        <v/>
      </c>
    </row>
    <row r="153" spans="1:14" ht="20" x14ac:dyDescent="0.2">
      <c r="A153" s="171">
        <v>115</v>
      </c>
      <c r="B153" s="169" t="s">
        <v>562</v>
      </c>
      <c r="C153" s="171" t="s">
        <v>1410</v>
      </c>
      <c r="D153" s="171" t="s">
        <v>1240</v>
      </c>
      <c r="E153" s="171" t="s">
        <v>358</v>
      </c>
      <c r="F153" s="171" t="s">
        <v>1405</v>
      </c>
      <c r="I153" t="s">
        <v>560</v>
      </c>
      <c r="J153" t="s">
        <v>1240</v>
      </c>
      <c r="L153" s="16" t="s">
        <v>560</v>
      </c>
      <c r="N153" t="str">
        <f t="shared" si="2"/>
        <v/>
      </c>
    </row>
    <row r="154" spans="1:14" x14ac:dyDescent="0.2">
      <c r="I154" t="s">
        <v>561</v>
      </c>
      <c r="J154" t="s">
        <v>1240</v>
      </c>
      <c r="L154" s="16" t="s">
        <v>561</v>
      </c>
      <c r="N154" t="str">
        <f t="shared" si="2"/>
        <v/>
      </c>
    </row>
    <row r="155" spans="1:14" x14ac:dyDescent="0.2">
      <c r="I155" t="s">
        <v>562</v>
      </c>
      <c r="J155" t="s">
        <v>1240</v>
      </c>
      <c r="L155" s="16" t="s">
        <v>562</v>
      </c>
      <c r="N155" t="str">
        <f t="shared" si="2"/>
        <v/>
      </c>
    </row>
    <row r="156" spans="1:14" x14ac:dyDescent="0.2">
      <c r="L156" s="16" t="s">
        <v>362</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1411</v>
      </c>
      <c r="C1" s="1" t="s">
        <v>1412</v>
      </c>
      <c r="D1" s="7" t="s">
        <v>1413</v>
      </c>
    </row>
    <row r="2" spans="1:5" ht="304" x14ac:dyDescent="0.2">
      <c r="A2" s="4" t="s">
        <v>1414</v>
      </c>
      <c r="B2" s="4" t="s">
        <v>1415</v>
      </c>
      <c r="C2" t="s">
        <v>1416</v>
      </c>
      <c r="D2" s="6" t="s">
        <v>1417</v>
      </c>
      <c r="E2" s="4" t="s">
        <v>1418</v>
      </c>
    </row>
    <row r="3" spans="1:5" ht="144" x14ac:dyDescent="0.2">
      <c r="A3" s="4" t="s">
        <v>153</v>
      </c>
      <c r="B3" s="4" t="s">
        <v>1419</v>
      </c>
      <c r="C3" s="8" t="s">
        <v>1420</v>
      </c>
      <c r="D3" s="6" t="s">
        <v>1421</v>
      </c>
    </row>
    <row r="4" spans="1:5" ht="272" x14ac:dyDescent="0.2">
      <c r="A4" s="4" t="s">
        <v>155</v>
      </c>
      <c r="B4" s="4" t="s">
        <v>1422</v>
      </c>
      <c r="C4" t="s">
        <v>1423</v>
      </c>
      <c r="D4" s="7" t="s">
        <v>1424</v>
      </c>
    </row>
    <row r="5" spans="1:5" ht="208" x14ac:dyDescent="0.2">
      <c r="A5" s="4" t="s">
        <v>156</v>
      </c>
      <c r="B5" s="4" t="s">
        <v>1425</v>
      </c>
      <c r="D5" s="6" t="s">
        <v>1426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2025-09-16T14:13:44Z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