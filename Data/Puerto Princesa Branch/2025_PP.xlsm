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Puerto Princesa Branch/"/>
    </mc:Choice>
  </mc:AlternateContent>
  <xr:revisionPtr revIDLastSave="0" documentId="13_ncr:1_{FCAB0B98-931B-7644-8889-0A00F27391A8}" xr6:coauthVersionLast="47" xr6:coauthVersionMax="47" xr10:uidLastSave="{00000000-0000-0000-0000-000000000000}"/>
  <bookViews>
    <workbookView xWindow="0" yWindow="740" windowWidth="29400" windowHeight="17100" tabRatio="781" activeTab="2" xr2:uid="{886A8D89-6609-4846-8644-18317714B220}"/>
  </bookViews>
  <sheets>
    <sheet name="1. Data Info and Summary" sheetId="37" r:id="rId1"/>
    <sheet name="Instructions" sheetId="1"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45" r:id="rId19"/>
    <pivotCache cacheId="846" r:id="rId20"/>
    <pivotCache cacheId="847" r:id="rId21"/>
    <pivotCache cacheId="848" r:id="rId22"/>
    <pivotCache cacheId="849" r:id="rId23"/>
    <pivotCache cacheId="857"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N12" i="34"/>
  <c r="N13" i="34"/>
  <c r="N14" i="34"/>
  <c r="N15" i="34"/>
  <c r="N16" i="34"/>
  <c r="N17" i="34"/>
  <c r="N18" i="34"/>
  <c r="M15" i="40"/>
  <c r="M14" i="40"/>
  <c r="M17" i="40"/>
  <c r="M12" i="40" l="1"/>
  <c r="M11" i="40"/>
  <c r="M10" i="40"/>
  <c r="M9" i="40"/>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45" i="40"/>
  <c r="I46" i="40" s="1"/>
  <c r="I47" i="40" s="1"/>
  <c r="I48" i="40" s="1"/>
  <c r="I49" i="40" s="1"/>
  <c r="I50" i="40" s="1"/>
  <c r="I51" i="40" s="1"/>
  <c r="I52" i="40" s="1"/>
  <c r="I53" i="40" s="1"/>
  <c r="I54" i="40" s="1"/>
  <c r="I55" i="40" s="1"/>
  <c r="I44" i="40"/>
  <c r="I32" i="40"/>
  <c r="I33" i="40" s="1"/>
  <c r="I34" i="40" s="1"/>
  <c r="I35" i="40" s="1"/>
  <c r="I36" i="40" s="1"/>
  <c r="I37" i="40" s="1"/>
  <c r="I38" i="40" s="1"/>
  <c r="I39" i="40" s="1"/>
  <c r="I40" i="40" s="1"/>
  <c r="I41" i="40" s="1"/>
  <c r="I42" i="40" s="1"/>
  <c r="I43" i="40" s="1"/>
  <c r="I20" i="40"/>
  <c r="I21" i="40" s="1"/>
  <c r="I22" i="40" s="1"/>
  <c r="I23" i="40" s="1"/>
  <c r="I24" i="40" s="1"/>
  <c r="I25" i="40" s="1"/>
  <c r="I26" i="40" s="1"/>
  <c r="I27" i="40" s="1"/>
  <c r="I28" i="40" s="1"/>
  <c r="I29" i="40" s="1"/>
  <c r="I30" i="40" s="1"/>
  <c r="I31" i="40" s="1"/>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9" i="50"/>
  <c r="I10" i="50" s="1"/>
  <c r="I11" i="50" s="1"/>
  <c r="I12" i="50" s="1"/>
  <c r="I13" i="50" s="1"/>
  <c r="I14" i="50" s="1"/>
  <c r="I15" i="50" s="1"/>
  <c r="I16" i="50" s="1"/>
  <c r="I17" i="50" s="1"/>
  <c r="I18" i="50" s="1"/>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s="1"/>
  <c r="P14" i="41" s="1"/>
  <c r="P15" i="41" s="1"/>
  <c r="P16" i="41" s="1"/>
  <c r="P17" i="41" s="1"/>
  <c r="P18" i="41" s="1"/>
  <c r="P19" i="41" s="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2" i="38" l="1"/>
  <c r="G12" i="38"/>
  <c r="D12" i="38"/>
  <c r="E12"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49" i="37" l="1"/>
  <c r="F13" i="37"/>
  <c r="E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4" l="1"/>
  <c r="F11" i="44"/>
  <c r="E11" i="44"/>
  <c r="D11" i="44"/>
  <c r="G12" i="44"/>
  <c r="F12" i="44"/>
  <c r="D12" i="44"/>
  <c r="E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2" i="34" l="1"/>
  <c r="E12" i="34"/>
  <c r="F12" i="34"/>
  <c r="D12" i="34"/>
  <c r="E14" i="34"/>
  <c r="F14" i="34"/>
  <c r="D14" i="34"/>
  <c r="G14" i="34"/>
  <c r="E13" i="34"/>
  <c r="F13" i="34"/>
  <c r="D13" i="34"/>
  <c r="G13" i="34"/>
  <c r="E11" i="34"/>
  <c r="F11" i="34"/>
  <c r="G11" i="34"/>
  <c r="D11" i="34"/>
  <c r="D15" i="34"/>
  <c r="G15" i="34"/>
  <c r="E15" i="34"/>
  <c r="F15" i="34"/>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<sst xmlns="http://schemas.openxmlformats.org/spreadsheetml/2006/main" count="7254" uniqueCount="1597">
  <si>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</si>
  <si>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</si>
  <si>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</si>
  <si>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</si>
  <si>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</si>
  <si>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</si>
  <si>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</si>
  <si>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</si>
  <si>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</si>
  <si>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</si>
  <si>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</si>
  <si>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</si>
  <si>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</si>
  <si>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</si>
  <si>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</si>
  <si>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</si>
  <si>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</si>
  <si>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</si>
  <si>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</si>
  <si>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</si>
  <si>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</si>
  <si>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</si>
  <si>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</si>
  <si>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</si>
  <si>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</si>
  <si>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</si>
  <si>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</si>
  <si>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</si>
  <si>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</si>
  <si>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</si>
  <si>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</si>
  <si>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</si>
  <si>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</si>
  <si>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</si>
  <si>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</si>
  <si>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</si>
  <si>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</si>
  <si>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</si>
  <si>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</si>
  <si>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</si>
  <si>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</si>
  <si>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</si>
  <si>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</si>
  <si>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</si>
  <si>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</si>
  <si>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</si>
  <si>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</si>
  <si>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</si>
  <si>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</si>
  <si>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</si>
  <si>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</si>
  <si>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</si>
  <si>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</si>
  <si>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</si>
  <si>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</si>
  <si>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</si>
  <si>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</si>
  <si>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</si>
  <si>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</si>
  <si>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</si>
  <si>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</si>
  <si>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</si>
  <si>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</si>
  <si>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</si>
  <si>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</si>
  <si>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</si>
  <si>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</si>
  <si>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</si>
  <si>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</si>
  <si>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</si>
  <si>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</si>
  <si>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</si>
  <si>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</si>
  <si>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</si>
  <si>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</si>
  <si>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</si>
  <si>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</si>
  <si>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</si>
  <si>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</si>
  <si>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</si>
  <si>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</si>
  <si>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</si>
  <si>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</si>
  <si>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</si>
  <si>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</si>
  <si>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</si>
  <si>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</si>
  <si>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</si>
  <si>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</si>
  <si>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</si>
  <si>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</si>
  <si>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</si>
  <si>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</si>
  <si>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</si>
  <si>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</si>
  <si>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</si>
  <si>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</si>
  <si>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</si>
  <si>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</si>
  <si>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</si>
  <si>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</si>
  <si>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</si>
  <si>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</si>
  <si>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</si>
  <si>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</si>
  <si>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</si>
  <si>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</si>
  <si>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</si>
  <si>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</si>
  <si>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</si>
  <si>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</si>
  <si>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</si>
  <si>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</si>
  <si>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</si>
  <si>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</si>
  <si>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</si>
  <si>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</si>
  <si>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</si>
  <si>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</si>
  <si>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</si>
  <si>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</si>
  <si>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</si>
  <si>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</si>
  <si>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</si>
  <si>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</si>
  <si>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</si>
  <si>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</si>
  <si>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</si>
  <si>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</si>
  <si>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</si>
  <si>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</si>
  <si>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</si>
  <si>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</si>
  <si>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</si>
  <si>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</si>
  <si>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</si>
  <si>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</si>
  <si>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</si>
  <si>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</si>
  <si>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</si>
  <si>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</si>
  <si>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</si>
  <si>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</si>
  <si>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</si>
  <si>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</si>
  <si>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</si>
  <si>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</si>
  <si>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</si>
  <si>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</si>
  <si>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</si>
  <si>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</si>
  <si>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</si>
  <si>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</si>
  <si>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</si>
  <si>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</si>
  <si>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</si>
  <si>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</si>
  <si>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</si>
  <si>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</si>
  <si>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</si>
  <si>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</si>
  <si>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</si>
  <si>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</si>
  <si>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</si>
  <si>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</si>
  <si>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</si>
  <si>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</si>
  <si>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</si>
  <si>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</si>
  <si>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</si>
  <si>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</si>
  <si>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</si>
  <si>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</si>
  <si>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</si>
  <si>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</si>
  <si>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</si>
  <si>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</si>
  <si>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</si>
  <si>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</si>
  <si>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</si>
  <si>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</si>
  <si>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</si>
  <si>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</si>
  <si>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</si>
  <si>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</si>
  <si>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</si>
  <si>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</si>
  <si>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</si>
  <si>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</si>
  <si>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</si>
  <si>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</si>
  <si>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</si>
  <si>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</si>
  <si>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</si>
  <si>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</si>
  <si>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</si>
  <si>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</si>
  <si>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</si>
  <si>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</si>
  <si>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</si>
  <si>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</si>
  <si>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</si>
  <si>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</si>
  <si>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</si>
  <si>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</si>
  <si>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</si>
  <si>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</si>
  <si>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</si>
  <si>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</si>
  <si>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</si>
  <si>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</si>
  <si>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</si>
  <si>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</si>
  <si>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</si>
  <si>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</si>
  <si>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</si>
  <si>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</si>
  <si>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</si>
  <si>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</si>
  <si>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</si>
  <si>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</si>
  <si>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</si>
  <si>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</si>
  <si>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</si>
  <si>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</si>
  <si>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</si>
  <si>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</si>
  <si>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</si>
  <si>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</si>
  <si>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</si>
  <si>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</si>
  <si>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</si>
  <si>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</si>
  <si>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</si>
  <si>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</si>
  <si>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</si>
  <si>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</si>
  <si>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</si>
  <si>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</si>
  <si>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</si>
  <si>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</si>
  <si>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</si>
  <si>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</si>
  <si>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</si>
  <si>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</si>
  <si>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</si>
  <si>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</si>
  <si>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</si>
  <si>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</si>
  <si>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</si>
  <si>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</si>
  <si>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</si>
  <si>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</si>
  <si>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</si>
  <si>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</si>
  <si>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</si>
  <si>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</si>
  <si>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</si>
  <si>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</si>
  <si>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</si>
  <si>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</si>
  <si>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</si>
  <si>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</si>
  <si>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</si>
  <si>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</si>
  <si>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</si>
  <si>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</si>
  <si>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</si>
  <si>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</si>
  <si>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</si>
  <si>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</si>
  <si>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</si>
  <si>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</si>
  <si>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</si>
  <si>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</si>
  <si>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</si>
  <si>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</si>
  <si>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</si>
  <si>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</si>
  <si>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</si>
  <si>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</si>
  <si>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</si>
  <si>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</si>
  <si>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</si>
  <si>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</si>
  <si>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</si>
  <si>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</si>
  <si>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</si>
  <si>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</si>
  <si>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</si>
  <si>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</si>
  <si>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</si>
  <si>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</si>
  <si>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</si>
  <si>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</si>
  <si>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</si>
  <si>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</si>
  <si>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</si>
  <si>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</si>
  <si>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</si>
  <si>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</si>
  <si>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</si>
  <si>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</si>
  <si>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</si>
  <si>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</si>
  <si>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</si>
  <si>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</si>
  <si>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</si>
  <si>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</si>
  <si>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</si>
  <si>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</si>
  <si>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</si>
  <si>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</si>
  <si>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</si>
  <si>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</si>
  <si>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</si>
  <si>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</si>
  <si>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</si>
  <si>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</si>
  <si>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</si>
  <si>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</si>
  <si>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</si>
  <si>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</si>
  <si>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</si>
  <si>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</si>
  <si>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</si>
  <si>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</si>
  <si>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</si>
  <si>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</si>
  <si>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</si>
  <si>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</si>
  <si>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</si>
  <si>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</si>
  <si>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</si>
  <si>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</si>
  <si>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</si>
  <si>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</si>
  <si>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</si>
  <si>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</si>
  <si>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</si>
  <si>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</si>
  <si>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</si>
  <si>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</si>
  <si>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</si>
  <si>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</si>
  <si>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</si>
  <si>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</si>
  <si>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</si>
  <si>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</si>
  <si>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</si>
  <si>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</si>
  <si>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</si>
  <si>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</si>
  <si>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</si>
  <si>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</si>
  <si>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</si>
  <si>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</si>
  <si>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</si>
  <si>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</si>
  <si>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</si>
  <si>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</si>
  <si>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</si>
  <si>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</si>
  <si>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</si>
  <si>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</si>
  <si>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</si>
  <si>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</si>
  <si>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</si>
  <si>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</si>
  <si>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</si>
  <si>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</si>
  <si>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</si>
  <si>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</si>
  <si>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</si>
  <si>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</si>
  <si>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</si>
  <si>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</si>
  <si>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</si>
  <si>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</si>
  <si>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</si>
  <si>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</si>
  <si>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</si>
  <si>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</si>
  <si>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</si>
  <si>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</si>
  <si>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</si>
  <si>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</si>
  <si>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</si>
  <si>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</si>
  <si>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</si>
  <si>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</si>
  <si>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</si>
  <si>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</si>
  <si>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</si>
  <si>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</si>
  <si>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</si>
  <si>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</si>
  <si>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</si>
  <si>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</si>
  <si>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</si>
  <si>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</si>
  <si>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</si>
  <si>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</si>
  <si>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</si>
  <si>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</si>
  <si>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</si>
  <si>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</si>
  <si>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</si>
  <si>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</si>
  <si>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</si>
  <si>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</si>
  <si>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</si>
  <si>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</si>
  <si>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</si>
  <si>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</si>
  <si>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</si>
  <si>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</si>
  <si>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</si>
  <si>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</si>
  <si>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</si>
  <si>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</si>
  <si>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</si>
  <si>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</si>
  <si>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</si>
  <si>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</si>
  <si>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</si>
  <si>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</si>
  <si>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</si>
  <si>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</si>
  <si>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</si>
  <si>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</si>
  <si>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</si>
  <si>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</si>
  <si>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</si>
  <si>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</si>
  <si>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</si>
  <si>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</si>
  <si>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</si>
  <si>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</si>
  <si>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</si>
  <si>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</si>
  <si>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</si>
  <si>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</si>
  <si>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</si>
  <si>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</si>
  <si>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</si>
  <si>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</si>
  <si>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</si>
  <si>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</si>
  <si>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</si>
  <si>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</si>
  <si>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</si>
  <si>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</si>
  <si>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</si>
  <si>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</si>
  <si>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</si>
  <si>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</si>
  <si>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</si>
  <si>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</si>
  <si>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</si>
  <si>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</si>
  <si>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</si>
  <si>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</si>
  <si>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</si>
  <si>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</si>
  <si>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</si>
  <si>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</si>
  <si>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</si>
  <si>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</si>
  <si>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</si>
  <si>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</si>
  <si>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</si>
  <si>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</si>
  <si>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</si>
  <si>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</si>
  <si>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</si>
  <si>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</si>
  <si>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</si>
  <si>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</si>
  <si>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</si>
  <si>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</si>
  <si>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</si>
  <si>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</si>
  <si>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</si>
  <si>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</si>
  <si>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</si>
  <si>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</si>
  <si>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</si>
  <si>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</si>
  <si>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</si>
  <si>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</si>
  <si>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</si>
  <si>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</si>
  <si>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</si>
  <si>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</si>
  <si>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</si>
  <si>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</si>
  <si>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</si>
  <si>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</si>
  <si>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</si>
  <si>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</si>
  <si>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</si>
  <si>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</si>
  <si>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</si>
  <si>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</si>
  <si>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</si>
  <si>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</si>
  <si>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</si>
  <si>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</si>
  <si>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</si>
  <si>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</si>
  <si>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</si>
  <si>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</si>
  <si>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</si>
  <si>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</si>
  <si>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</si>
  <si>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</si>
  <si>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</si>
  <si>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</si>
  <si>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</si>
  <si>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</si>
  <si>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</si>
  <si>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</si>
  <si>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</si>
  <si>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</si>
  <si>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</si>
  <si>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</si>
  <si>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</si>
  <si>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</si>
  <si>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</si>
  <si>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</si>
  <si>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</si>
  <si>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</si>
  <si>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</si>
  <si>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</si>
  <si>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</si>
  <si>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</si>
  <si>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</si>
  <si>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</si>
  <si>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</si>
  <si>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</si>
  <si>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</si>
  <si>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</si>
  <si>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</si>
  <si>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</si>
  <si>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</si>
  <si>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</si>
  <si>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</si>
  <si>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</si>
  <si>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</si>
  <si>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</si>
  <si>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</si>
  <si>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</si>
  <si>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</si>
  <si>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</si>
  <si>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</si>
  <si>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</si>
  <si>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</si>
  <si>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</si>
  <si>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</si>
  <si>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</si>
  <si>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</si>
  <si>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</si>
  <si>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</si>
  <si>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</si>
  <si>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</si>
  <si>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</si>
  <si>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</si>
  <si>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</si>
  <si>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</si>
  <si>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</si>
  <si>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</si>
  <si>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</si>
  <si>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</si>
  <si>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</si>
  <si>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</si>
  <si>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</si>
  <si>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</si>
  <si>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</si>
  <si>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</si>
  <si>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</si>
  <si>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</si>
  <si>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</si>
  <si>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</si>
  <si>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</si>
  <si>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</si>
  <si>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</si>
  <si>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</si>
  <si>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</si>
  <si>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</si>
  <si>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</si>
  <si>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</si>
  <si>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</si>
  <si>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</si>
  <si>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</si>
  <si>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</si>
  <si>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</si>
  <si>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</si>
  <si>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</si>
  <si>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</si>
  <si>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</si>
  <si>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</si>
  <si>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</si>
  <si>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</si>
  <si>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</si>
  <si>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</si>
  <si>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</si>
  <si>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</si>
  <si>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</si>
  <si>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</si>
  <si>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</si>
  <si>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</si>
  <si>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</si>
  <si>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</si>
  <si>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</si>
  <si>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</si>
  <si>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</si>
  <si>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</si>
  <si>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</si>
  <si>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</si>
  <si>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</si>
  <si>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</si>
  <si>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</si>
  <si>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</si>
  <si>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</si>
  <si>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</si>
  <si>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</si>
  <si>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</si>
  <si>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</si>
  <si>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</si>
  <si>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</si>
  <si>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</si>
  <si>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</si>
  <si>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</si>
  <si>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</si>
  <si>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</si>
  <si>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</si>
  <si>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</si>
  <si>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</si>
  <si>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</si>
  <si>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</si>
  <si>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</si>
  <si>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</si>
  <si>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</si>
  <si>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</si>
  <si>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</si>
  <si>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</si>
  <si>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</si>
  <si>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</si>
  <si>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</si>
  <si>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</si>
  <si>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</si>
  <si>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</si>
  <si>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</si>
  <si>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</si>
  <si>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</si>
  <si>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</si>
  <si>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</si>
  <si>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</si>
  <si>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</si>
  <si>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</si>
  <si>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</si>
  <si>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</si>
  <si>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</si>
  <si>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</si>
  <si>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</si>
  <si>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</si>
  <si>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</si>
  <si>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</si>
  <si>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</si>
  <si>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</si>
  <si>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</si>
  <si>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</si>
  <si>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</si>
  <si>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</si>
  <si>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</si>
  <si>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</si>
  <si>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</si>
  <si>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</si>
  <si>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</si>
  <si>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</si>
  <si>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</si>
  <si>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</si>
  <si>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</si>
  <si>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</si>
  <si>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</si>
  <si>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</si>
  <si>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</si>
  <si>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</si>
  <si>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</si>
  <si>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</si>
  <si>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</si>
  <si>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</si>
  <si>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</si>
  <si>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</si>
  <si>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</si>
  <si>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</si>
  <si>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</si>
  <si>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</si>
  <si>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</si>
  <si>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</si>
  <si>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</si>
  <si>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</si>
  <si>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</si>
  <si>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</si>
  <si>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</si>
  <si>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</si>
  <si>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</si>
  <si>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</si>
  <si>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</si>
  <si>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</si>
  <si>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</si>
  <si>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</si>
  <si>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</si>
  <si>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</si>
  <si>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</si>
  <si>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</si>
  <si>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</si>
  <si>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</si>
  <si>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</si>
  <si>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</si>
  <si>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</si>
  <si>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</si>
  <si>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</si>
  <si>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</si>
  <si>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</si>
  <si>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</si>
  <si>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</si>
  <si>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</si>
  <si>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</si>
  <si>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</si>
  <si>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</si>
  <si>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</si>
  <si>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</si>
  <si>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</si>
  <si>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</si>
  <si>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</si>
  <si>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</si>
  <si>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</si>
  <si>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</si>
  <si>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</si>
  <si>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</si>
  <si>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</si>
  <si>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</si>
  <si>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</si>
  <si>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</si>
  <si>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</si>
  <si>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</si>
  <si>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</si>
  <si>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</si>
  <si>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</si>
  <si>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</si>
  <si>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</si>
  <si>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</si>
  <si>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</si>
  <si>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</si>
  <si>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</si>
  <si>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</si>
  <si>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</si>
  <si>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</si>
  <si>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</si>
  <si>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</si>
  <si>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</si>
  <si>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</si>
  <si>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</si>
  <si>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</si>
  <si>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</si>
  <si>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</si>
  <si>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</si>
  <si>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</si>
  <si>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</si>
  <si>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</si>
  <si>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</si>
  <si>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</si>
  <si>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</si>
  <si>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</si>
  <si>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</si>
  <si>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</si>
  <si>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</si>
  <si>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</si>
  <si>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</si>
  <si>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</si>
  <si>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</si>
  <si>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</si>
  <si>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</si>
  <si>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</si>
  <si>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</si>
  <si>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</si>
  <si>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</si>
  <si>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</si>
  <si>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</si>
  <si>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</si>
  <si>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</si>
  <si>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</si>
  <si>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</si>
  <si>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</si>
  <si>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</si>
  <si>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</si>
  <si>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</si>
  <si>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</si>
  <si>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</si>
  <si>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</si>
  <si>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</si>
  <si>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</si>
  <si>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</si>
  <si>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</si>
  <si>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</si>
  <si>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</si>
  <si>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</si>
  <si>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</si>
  <si>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</si>
  <si>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</si>
  <si>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</si>
  <si>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</si>
  <si>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</si>
  <si>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</si>
  <si>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</si>
  <si>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</si>
  <si>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</si>
  <si>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</si>
  <si>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</si>
  <si>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</si>
  <si>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</si>
  <si>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</si>
  <si>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</si>
  <si>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</si>
  <si>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</si>
  <si>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</si>
  <si>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</si>
  <si>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</si>
  <si>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</si>
  <si>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</si>
  <si>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</si>
  <si>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</si>
  <si>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</si>
  <si>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</si>
  <si>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</si>
  <si>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</si>
  <si>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</si>
  <si>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</si>
  <si>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</si>
  <si>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</si>
  <si>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</si>
  <si>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</si>
  <si>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</si>
  <si>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</si>
  <si>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</si>
  <si>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</si>
  <si>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</si>
  <si>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</si>
  <si>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</si>
  <si>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</si>
  <si>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</si>
  <si>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</si>
  <si>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</si>
  <si>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</si>
  <si>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</si>
  <si>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</si>
  <si>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</si>
  <si>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</si>
  <si>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</si>
  <si>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</si>
  <si>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</si>
  <si>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</si>
  <si>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</si>
  <si>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</si>
  <si>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</si>
  <si>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</si>
  <si>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</si>
  <si>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</si>
  <si>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</si>
  <si>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</si>
  <si>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</si>
  <si>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</si>
  <si>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</si>
  <si>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</si>
  <si>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</si>
  <si>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</si>
  <si>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</si>
  <si>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</si>
  <si>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</si>
  <si>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</si>
  <si>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</si>
  <si>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</si>
  <si>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</si>
  <si>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</si>
  <si>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</si>
  <si>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</si>
  <si>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</si>
  <si>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</si>
  <si>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</si>
  <si>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</si>
  <si>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</si>
  <si>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</si>
  <si>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</si>
  <si>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</si>
  <si>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</si>
  <si>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</si>
  <si>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</si>
  <si>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</si>
  <si>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</si>
  <si>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</si>
  <si>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</si>
  <si>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</si>
  <si>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</si>
  <si>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</si>
  <si>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</si>
  <si>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</si>
  <si>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</si>
  <si>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</si>
  <si>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</si>
  <si>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</si>
  <si>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</si>
  <si>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</si>
  <si>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</si>
  <si>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</si>
  <si>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</si>
  <si>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</si>
  <si>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</si>
  <si>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</si>
  <si>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</si>
  <si>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</si>
  <si>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</si>
  <si>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</si>
  <si>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</si>
  <si>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</si>
  <si>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</si>
  <si>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</si>
  <si>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</si>
  <si>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</si>
  <si>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</si>
  <si>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</si>
  <si>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</si>
  <si>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</si>
  <si>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</si>
  <si>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</si>
  <si>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</si>
  <si>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</si>
  <si>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</si>
  <si>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</si>
  <si>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</si>
  <si>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</si>
  <si>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</si>
  <si>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</si>
  <si>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</si>
  <si>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</si>
  <si>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</si>
  <si>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</si>
  <si>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</si>
  <si>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</si>
  <si>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</si>
  <si>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</si>
  <si>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</si>
  <si>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</si>
  <si>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</si>
  <si>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</si>
  <si>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</si>
  <si>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</si>
  <si>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</si>
  <si>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</si>
  <si>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</si>
  <si>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</si>
  <si>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</si>
  <si>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</si>
  <si>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</si>
  <si>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</si>
  <si>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</si>
  <si>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</si>
  <si>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</si>
  <si>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</si>
  <si>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</si>
  <si>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</si>
  <si>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</si>
  <si>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</si>
  <si>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</si>
  <si>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</si>
  <si>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</si>
  <si>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</si>
  <si>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</si>
  <si>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</si>
  <si>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</si>
  <si>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</si>
  <si>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</si>
  <si>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</si>
  <si>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</si>
  <si>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</si>
  <si>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</si>
  <si>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</si>
  <si>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</si>
  <si>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</si>
  <si>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</si>
  <si>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</si>
  <si>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</si>
  <si>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</si>
  <si>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</si>
  <si>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</si>
  <si>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</si>
  <si>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</si>
  <si>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</si>
  <si>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</si>
  <si>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</si>
  <si>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</si>
  <si>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</si>
  <si>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</si>
  <si>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</si>
  <si>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</si>
  <si>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</si>
  <si>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</si>
  <si>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</si>
  <si>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</si>
  <si>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</si>
  <si>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</si>
  <si>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</si>
  <si>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</si>
  <si>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</si>
  <si>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</si>
  <si>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</si>
  <si>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</si>
  <si>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</si>
  <si>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</si>
  <si>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</si>
  <si>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</si>
  <si>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</si>
  <si>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</si>
  <si>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</si>
  <si>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</si>
  <si>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</si>
  <si>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</si>
  <si>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</si>
  <si>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</si>
  <si>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</si>
  <si>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</si>
  <si>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</si>
  <si>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</si>
  <si>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</si>
  <si>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</si>
  <si>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</si>
  <si>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</si>
  <si>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</si>
  <si>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</si>
  <si>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</si>
  <si>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</si>
  <si>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</si>
  <si>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</si>
  <si>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</si>
  <si>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</si>
  <si>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</si>
  <si>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</si>
  <si>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</si>
  <si>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</si>
  <si>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</si>
  <si>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</si>
  <si>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</si>
  <si>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</si>
  <si>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</si>
  <si>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</si>
  <si>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</si>
  <si>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</si>
  <si>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</si>
  <si>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</si>
  <si>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</si>
  <si>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</si>
  <si>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</si>
  <si>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</si>
  <si>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</si>
  <si>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</si>
  <si>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</si>
  <si>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</si>
  <si>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</si>
  <si>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</si>
  <si>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</si>
  <si>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</si>
  <si>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</si>
  <si>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</si>
  <si>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</si>
  <si>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</si>
  <si>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</si>
  <si>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</si>
  <si>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</si>
  <si>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</si>
  <si>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</si>
  <si>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</si>
  <si>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</si>
  <si>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</si>
  <si>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</si>
  <si>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</si>
  <si>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</si>
  <si>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</si>
  <si>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</si>
  <si>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</si>
  <si>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</si>
  <si>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</si>
  <si>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</si>
  <si>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</si>
  <si>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</si>
  <si>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</si>
  <si>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</si>
  <si>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</si>
  <si>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</si>
  <si>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</si>
  <si>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</si>
  <si>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</si>
  <si>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</si>
  <si>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</si>
  <si>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</si>
  <si>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</si>
  <si>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</si>
  <si>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</si>
  <si>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</si>
  <si>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</si>
  <si>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</si>
  <si>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</si>
  <si>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</si>
  <si>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</si>
  <si>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</si>
  <si>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</si>
  <si>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</si>
  <si>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</si>
  <si>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</si>
  <si>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</si>
  <si>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</si>
  <si>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</si>
  <si>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</si>
  <si>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</si>
  <si>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</si>
  <si>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</si>
  <si>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</si>
  <si>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</si>
  <si>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</si>
  <si>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</si>
  <si>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</si>
  <si>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</si>
  <si>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</si>
  <si>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</si>
  <si>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</si>
  <si>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</si>
  <si>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</si>
  <si>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</si>
  <si>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</si>
  <si>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</si>
  <si>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</si>
  <si>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</si>
  <si>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</si>
  <si>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</si>
  <si>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</si>
  <si>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</si>
  <si>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</si>
  <si>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</si>
  <si>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</si>
  <si>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</si>
  <si>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</si>
  <si>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</si>
  <si>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</si>
  <si>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</si>
  <si>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</si>
  <si>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</si>
  <si>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</si>
  <si>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</si>
  <si>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</si>
  <si>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</si>
  <si>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</si>
  <si>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</si>
  <si>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</si>
  <si>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</si>
  <si>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</si>
  <si>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</si>
  <si>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</si>
  <si>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</si>
  <si>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</si>
  <si>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</si>
  <si>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</si>
  <si>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</si>
  <si>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</si>
  <si>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</si>
  <si>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</si>
  <si>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</si>
  <si>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</si>
  <si>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</si>
  <si>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</si>
  <si>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</si>
  <si>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</si>
  <si>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</si>
  <si>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</si>
  <si>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</si>
  <si>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</si>
  <si>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</si>
  <si>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</si>
  <si>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</si>
  <si>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</si>
  <si>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</si>
  <si>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</si>
  <si>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</si>
  <si>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</si>
  <si>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</si>
  <si>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</si>
  <si>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</si>
  <si>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</si>
  <si>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</si>
  <si>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</si>
  <si>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</si>
  <si>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</si>
  <si>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</si>
  <si>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</si>
  <si>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</si>
  <si>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</si>
  <si>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</si>
  <si>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</si>
  <si>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</si>
  <si>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</si>
  <si>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</si>
  <si>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</si>
  <si>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</si>
  <si>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</si>
  <si>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</si>
  <si>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</si>
  <si>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</si>
  <si>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</si>
  <si>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</si>
  <si>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</si>
  <si>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</si>
  <si>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</si>
  <si>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</si>
  <si>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</si>
  <si>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</si>
  <si>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</si>
  <si>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</si>
  <si>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</si>
  <si>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</si>
  <si>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</si>
  <si>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</si>
  <si>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</si>
  <si>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</si>
  <si>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</si>
  <si>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</si>
  <si>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</si>
  <si>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</si>
  <si>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</si>
  <si>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</si>
  <si>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</si>
  <si>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</si>
  <si>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</si>
  <si>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</si>
  <si>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</si>
  <si>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</si>
  <si>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</si>
  <si>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</si>
  <si>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</si>
  <si>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</si>
  <si>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</si>
  <si>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</si>
  <si>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</si>
  <si>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</si>
  <si>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</si>
  <si>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</si>
  <si>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</si>
  <si>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</si>
  <si>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</si>
  <si>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</si>
  <si>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</si>
  <si>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</si>
  <si>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</si>
  <si>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</si>
  <si>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</si>
  <si>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</si>
  <si>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</si>
  <si>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</si>
  <si>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</si>
  <si>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</si>
  <si>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</si>
  <si>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</si>
  <si>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</si>
  <si>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</si>
  <si>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</si>
  <si>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</si>
  <si>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</si>
  <si>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</si>
  <si>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</si>
  <si>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</si>
  <si>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</si>
  <si>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</si>
  <si>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</si>
  <si>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</si>
  <si>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</si>
  <si>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</si>
  <si>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</si>
  <si>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</si>
  <si>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</si>
  <si>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</si>
  <si>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</si>
  <si>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</si>
  <si>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</si>
  <si>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</si>
  <si>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</si>
  <si>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</si>
  <si>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</si>
  <si>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</si>
  <si>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</si>
  <si>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</si>
  <si>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</si>
  <si>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</si>
  <si>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</si>
  <si>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</si>
  <si>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</si>
  <si>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</si>
  <si>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</si>
  <si>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</si>
  <si>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</si>
  <si>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</si>
  <si>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</si>
  <si>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</si>
  <si>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</si>
  <si>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</si>
  <si>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</si>
  <si>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</si>
  <si>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</si>
  <si>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</si>
  <si>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</si>
  <si>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</si>
  <si>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</si>
  <si>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</si>
  <si>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</si>
  <si>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</si>
  <si>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</si>
  <si>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</si>
  <si>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</si>
  <si>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</si>
  <si>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</si>
  <si>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</si>
  <si>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</si>
  <si>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</si>
  <si>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</si>
  <si>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</si>
  <si>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</si>
  <si>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</si>
  <si>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</si>
  <si>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</si>
  <si>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</si>
  <si>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</si>
  <si>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</si>
  <si>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</si>
  <si>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</si>
  <si>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</si>
  <si>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</si>
  <si>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</si>
  <si>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</si>
  <si>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</si>
  <si>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</si>
  <si>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</si>
  <si>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</si>
  <si>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</si>
  <si>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</si>
  <si>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</si>
  <si>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</si>
  <si>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</si>
  <si>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</si>
  <si>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</si>
  <si>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</si>
  <si>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</si>
  <si>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</si>
  <si>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</si>
  <si>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</si>
  <si>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</si>
  <si>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</si>
  <si>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</si>
  <si>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</si>
  <si>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</si>
  <si>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</si>
  <si>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</si>
  <si>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</si>
  <si>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</si>
  <si>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</si>
  <si>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</si>
  <si>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</si>
  <si>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</si>
  <si>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</si>
  <si>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</si>
  <si>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</si>
  <si>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</si>
  <si>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</si>
  <si>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</si>
  <si>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</si>
  <si>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</si>
  <si>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</si>
  <si>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</si>
  <si>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</si>
  <si>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</si>
  <si>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</si>
  <si>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</si>
  <si>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</si>
  <si>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</si>
  <si>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</si>
  <si>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</si>
  <si>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</si>
  <si>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</si>
  <si>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</si>
  <si>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</si>
  <si>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</si>
  <si>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</si>
  <si>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</si>
  <si>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</si>
  <si>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</si>
  <si>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</si>
  <si>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</si>
  <si>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</si>
  <si>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</si>
  <si>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</si>
  <si>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</si>
  <si>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</si>
  <si>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</si>
  <si>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</si>
  <si>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</si>
  <si>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</si>
  <si>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</si>
  <si>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</si>
  <si>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</si>
  <si>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</si>
  <si>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</si>
  <si>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</si>
  <si>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</si>
  <si>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</si>
  <si>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</si>
  <si>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</si>
  <si>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</si>
  <si>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</si>
  <si>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</si>
  <si>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</si>
  <si>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</si>
  <si>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</si>
  <si>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</si>
  <si>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</si>
  <si>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</si>
  <si>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ROGELIO D SACOPLA JR</t>
  </si>
  <si>
    <t>50KVA Isuzu Model No. 4JB1TA,Diesel Engine, Generator Set No.2</t>
  </si>
  <si>
    <t>250 KVA Cummins Model No.6LTAA8.9-G2, Diesel Engine, Generator Set No. 1</t>
  </si>
  <si>
    <t>Rogelio D. Sacopla Jr</t>
  </si>
  <si>
    <t>$J$13</t>
  </si>
  <si>
    <t>4 units ARMORED VEHICLE</t>
  </si>
  <si>
    <t>$R$31</t>
  </si>
  <si>
    <t>$J$32:$L$35</t>
  </si>
  <si>
    <t>$P$32:$P$35</t>
  </si>
  <si>
    <t>$R$32:$R$35</t>
  </si>
  <si>
    <t>$N$32:$N$35</t>
  </si>
  <si>
    <t>$J$32:$J$38</t>
  </si>
  <si>
    <t>$K$32:$K$38</t>
  </si>
  <si>
    <t>$L$32:$L$38</t>
  </si>
  <si>
    <t>$L$39:$L$42</t>
  </si>
  <si>
    <t>$J$39:$J$42</t>
  </si>
  <si>
    <t>$K$39</t>
  </si>
  <si>
    <t>$K$41</t>
  </si>
  <si>
    <t>$K$42</t>
  </si>
  <si>
    <t>$N$42</t>
  </si>
  <si>
    <t>$N$41</t>
  </si>
  <si>
    <t>$N$40</t>
  </si>
  <si>
    <t>$N$39</t>
  </si>
  <si>
    <t>$N$32:$N$34</t>
  </si>
  <si>
    <t>$N$32:$N$38</t>
  </si>
  <si>
    <t>$N$39:$N$42</t>
  </si>
  <si>
    <t>$P$36:$P$42</t>
  </si>
  <si>
    <t>$P$32:$P$38</t>
  </si>
  <si>
    <t>$P$32</t>
  </si>
  <si>
    <t>$P$33</t>
  </si>
  <si>
    <t>$P$34</t>
  </si>
  <si>
    <t>$L$35</t>
  </si>
  <si>
    <t>$L$36</t>
  </si>
  <si>
    <t>$N$35</t>
  </si>
  <si>
    <t>$N$36</t>
  </si>
  <si>
    <t>$N$37</t>
  </si>
  <si>
    <t>$N$38</t>
  </si>
  <si>
    <t>$L$37</t>
  </si>
  <si>
    <t>$K$37</t>
  </si>
  <si>
    <t>$K$38</t>
  </si>
  <si>
    <t>$J$38</t>
  </si>
  <si>
    <t>$J$37</t>
  </si>
  <si>
    <t>$L$38</t>
  </si>
  <si>
    <t>$P$38</t>
  </si>
  <si>
    <t>$P$35</t>
  </si>
  <si>
    <t>$P$36</t>
  </si>
  <si>
    <t>$P$37:$P$42</t>
  </si>
  <si>
    <t>$R$32</t>
  </si>
  <si>
    <t>$R$33</t>
  </si>
  <si>
    <t>$R$34</t>
  </si>
  <si>
    <t>$R$35</t>
  </si>
  <si>
    <t>$R$36</t>
  </si>
  <si>
    <t>$R$37:$R$42</t>
  </si>
  <si>
    <t>2 Units Multi-Purpose Vehicle</t>
  </si>
  <si>
    <t>$R$10</t>
  </si>
  <si>
    <t>$R$11:$R$14</t>
  </si>
  <si>
    <t>$R$15:$R$18</t>
  </si>
  <si>
    <t>1 Unit Van</t>
  </si>
  <si>
    <t>$R$19</t>
  </si>
  <si>
    <t>$R$20</t>
  </si>
  <si>
    <t>$R$21</t>
  </si>
  <si>
    <t>$R$22</t>
  </si>
  <si>
    <t>$R$23</t>
  </si>
  <si>
    <t>$R$24</t>
  </si>
  <si>
    <t>$R$25</t>
  </si>
  <si>
    <t>$R$26</t>
  </si>
  <si>
    <t>$R$27</t>
  </si>
  <si>
    <t>$R$28</t>
  </si>
  <si>
    <t>$R$29</t>
  </si>
  <si>
    <t>$R$30</t>
  </si>
  <si>
    <t>$J$13:$J$18</t>
  </si>
  <si>
    <t>$J$19:$J$30</t>
  </si>
  <si>
    <t>$J$31:$J$36</t>
  </si>
  <si>
    <t>$J$19:$J$24</t>
  </si>
  <si>
    <t>$L$13:$L$18</t>
  </si>
  <si>
    <t>$K$21:$K$40</t>
  </si>
  <si>
    <t>$N$21:$N$36</t>
  </si>
  <si>
    <t>$L$21:$L$36</t>
  </si>
  <si>
    <t>$P$21:$P$36</t>
  </si>
  <si>
    <t>$R$21:$R$36</t>
  </si>
  <si>
    <t>$R$19:$R$20</t>
  </si>
  <si>
    <t>$R$21:$R$37</t>
  </si>
  <si>
    <t>$R$13</t>
  </si>
  <si>
    <t>$R$14:$R$18</t>
  </si>
  <si>
    <t>$N$13</t>
  </si>
  <si>
    <t>$N$14</t>
  </si>
  <si>
    <t>$N$15</t>
  </si>
  <si>
    <t>$N$16</t>
  </si>
  <si>
    <t>$N$17</t>
  </si>
  <si>
    <t>$L$17</t>
  </si>
  <si>
    <t>$L$18</t>
  </si>
  <si>
    <t>$L$19</t>
  </si>
  <si>
    <t>$L$20</t>
  </si>
  <si>
    <t>$N$7</t>
  </si>
  <si>
    <t>$N$11</t>
  </si>
  <si>
    <t>$N$12</t>
  </si>
  <si>
    <t>$N$7:$N$12</t>
  </si>
  <si>
    <t>$P$7:$P$12</t>
  </si>
  <si>
    <t>$P$13:$P$16</t>
  </si>
  <si>
    <t>$P$17</t>
  </si>
  <si>
    <t>$N$18:$N$21</t>
  </si>
  <si>
    <t>$J$22</t>
  </si>
  <si>
    <t>$K$21</t>
  </si>
  <si>
    <t>$K$22</t>
  </si>
  <si>
    <t>$L$21</t>
  </si>
  <si>
    <t>$L$22</t>
  </si>
  <si>
    <t>$N$22</t>
  </si>
  <si>
    <t>$P$18:$P$21</t>
  </si>
  <si>
    <t>$P$22</t>
  </si>
  <si>
    <t>$M$7:$M$12</t>
  </si>
  <si>
    <t>$J$7:$J$13</t>
  </si>
  <si>
    <t>$J$8</t>
  </si>
  <si>
    <t>$M$13:$M$18</t>
  </si>
  <si>
    <t>$J$14</t>
  </si>
  <si>
    <t>$J$14:$J$17</t>
  </si>
  <si>
    <t>$O$7:$O$18</t>
  </si>
  <si>
    <t>$K$8</t>
  </si>
  <si>
    <t>$J$7:$K$65</t>
  </si>
  <si>
    <t>$N$1</t>
  </si>
  <si>
    <t>$R$21:$R$22</t>
  </si>
  <si>
    <t>$J$14:$J$21</t>
  </si>
  <si>
    <t>$J$19:$J$20</t>
  </si>
  <si>
    <t>$K$13</t>
  </si>
  <si>
    <t>$K$14</t>
  </si>
  <si>
    <t>$K$15</t>
  </si>
  <si>
    <t>$K$16</t>
  </si>
  <si>
    <t>$K$17</t>
  </si>
  <si>
    <t>$K$13:$K$18</t>
  </si>
  <si>
    <t>$J$8:$J$18</t>
  </si>
  <si>
    <t>$L$14:$M$19</t>
  </si>
  <si>
    <t>$N$14:$N$19</t>
  </si>
  <si>
    <t>$L$8:$L$13</t>
  </si>
  <si>
    <t>$M$8:$M$13</t>
  </si>
  <si>
    <t>$J$14:$J$19</t>
  </si>
  <si>
    <t>$L$14:$L$19</t>
  </si>
  <si>
    <t>$M$14:$M$19</t>
  </si>
  <si>
    <t>$J$20:$J$65</t>
  </si>
  <si>
    <t>$L$20:$L$64</t>
  </si>
  <si>
    <t>$M$20:$M$59</t>
  </si>
  <si>
    <t>$N$20:$N$58</t>
  </si>
  <si>
    <t>$M$8</t>
  </si>
  <si>
    <t>$A$27:$E$39</t>
  </si>
  <si>
    <t>$J$15</t>
  </si>
  <si>
    <t>$L$15</t>
  </si>
  <si>
    <t>$L$16</t>
  </si>
  <si>
    <t>$N$18</t>
  </si>
  <si>
    <t>$N$19</t>
  </si>
  <si>
    <t>Stored at designated Hazardouse waste facility at the Branch</t>
  </si>
  <si>
    <t>$O$14</t>
  </si>
  <si>
    <t>$O$15</t>
  </si>
  <si>
    <t>$O$16</t>
  </si>
  <si>
    <t>$O$17</t>
  </si>
  <si>
    <t>$O$18</t>
  </si>
  <si>
    <t>$O$19</t>
  </si>
  <si>
    <t>$J$14:$J$16</t>
  </si>
  <si>
    <t>$O$17:$O$19</t>
  </si>
  <si>
    <t>$M$15</t>
  </si>
  <si>
    <t>$J$15:$J$17</t>
  </si>
  <si>
    <t>$M$15:$M$17</t>
  </si>
  <si>
    <t>$M$17</t>
  </si>
  <si>
    <t>$J$9:$J$18</t>
  </si>
  <si>
    <t>Perimeter Solar Light</t>
  </si>
  <si>
    <t>$J$7:$J$12</t>
  </si>
  <si>
    <t>$L$7:$N$12</t>
  </si>
  <si>
    <t>$I$19:$O$106</t>
  </si>
  <si>
    <t>$N$7:$N$18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</si>
</sst>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8" fillId="3" borderId="3" xfId="0" applyFont="1" applyFill="1" applyBorder="1" applyAlignment="1" applyProtection="1">
      <alignment vertical="center"/>
      <protection locked="0"/>
    </xf>
    <xf numFmtId="16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46">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30986689818"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6"/>
    </cacheField>
    <cacheField name="Vehicle Type" numFmtId="0">
      <sharedItems containsBlank="1" count="12">
        <s v="Multi-Purpose Vehicle"/>
        <s v="Van  "/>
        <s v="Armored Vehicle"/>
        <m/>
        <s v="Others"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12.37" maxValue="172.01"/>
    </cacheField>
    <cacheField name="Unit" numFmtId="0">
      <sharedItems containsBlank="1"/>
    </cacheField>
    <cacheField name="Total kilometers travelled (all vehicles)" numFmtId="4">
      <sharedItems containsString="0" containsBlank="1" containsNumber="1" containsInteger="1" minValue="11" maxValue="1798"/>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46.32999999999998"/>
    <s v="Liters"/>
    <n v="1438"/>
    <s v="Kilometers"/>
    <s v="2 Units Multi-Purpose Vehicle"/>
  </r>
  <r>
    <n v="2"/>
    <x v="0"/>
    <x v="0"/>
    <x v="1"/>
    <x v="0"/>
    <n v="65.42"/>
    <m/>
    <n v="671"/>
    <s v="Kilometers"/>
    <s v="2 Units Multi-Purpose Vehicle"/>
  </r>
  <r>
    <n v="3"/>
    <x v="0"/>
    <x v="0"/>
    <x v="2"/>
    <x v="0"/>
    <n v="86.039999999999992"/>
    <s v="Liters"/>
    <n v="636"/>
    <s v="Kilometers"/>
    <s v="2 Units Multi-Purpose Vehicle"/>
  </r>
  <r>
    <n v="4"/>
    <x v="0"/>
    <x v="0"/>
    <x v="3"/>
    <x v="1"/>
    <n v="172.01"/>
    <s v="Liters"/>
    <n v="1798"/>
    <s v="Kilometers"/>
    <s v="2 Units Multi-Purpose Vehicle"/>
  </r>
  <r>
    <n v="5"/>
    <x v="0"/>
    <x v="0"/>
    <x v="4"/>
    <x v="1"/>
    <n v="122.06"/>
    <s v="Liters"/>
    <n v="1098"/>
    <s v="Kilometers"/>
    <s v="2 Units Multi-Purpose Vehicle"/>
  </r>
  <r>
    <n v="6"/>
    <x v="0"/>
    <x v="0"/>
    <x v="5"/>
    <x v="1"/>
    <n v="115.36"/>
    <s v="Liters"/>
    <n v="825"/>
    <s v="Kilometers"/>
    <s v="2 Units Multi-Purpose Vehicle"/>
  </r>
  <r>
    <n v="7"/>
    <x v="1"/>
    <x v="0"/>
    <x v="0"/>
    <x v="0"/>
    <n v="15.55"/>
    <s v="Liters"/>
    <n v="11"/>
    <s v="Kilometers"/>
    <s v="1 Unit Van"/>
  </r>
  <r>
    <n v="8"/>
    <x v="1"/>
    <x v="0"/>
    <x v="1"/>
    <x v="0"/>
    <n v="18.18"/>
    <s v="Liters"/>
    <n v="16"/>
    <s v="Kilometers"/>
    <s v="1 Unit Van"/>
  </r>
  <r>
    <n v="9"/>
    <x v="1"/>
    <x v="0"/>
    <x v="2"/>
    <x v="0"/>
    <n v="23.14"/>
    <s v="Liters"/>
    <n v="21"/>
    <s v="Kilometers"/>
    <s v="1 Unit Van"/>
  </r>
  <r>
    <n v="10"/>
    <x v="1"/>
    <x v="0"/>
    <x v="3"/>
    <x v="1"/>
    <n v="29.42"/>
    <s v="Liters"/>
    <n v="31"/>
    <s v="Kilometers"/>
    <s v="1 Unit Van"/>
  </r>
  <r>
    <n v="11"/>
    <x v="1"/>
    <x v="0"/>
    <x v="5"/>
    <x v="1"/>
    <n v="12.37"/>
    <s v="Liters"/>
    <n v="18"/>
    <s v="Kilometers"/>
    <s v="1 Unit Van"/>
  </r>
  <r>
    <n v="12"/>
    <x v="2"/>
    <x v="0"/>
    <x v="0"/>
    <x v="0"/>
    <n v="45.78"/>
    <s v="Liters"/>
    <n v="34"/>
    <s v="Kilometers"/>
    <s v="1 Unit Van"/>
  </r>
  <r>
    <n v="13"/>
    <x v="2"/>
    <x v="0"/>
    <x v="1"/>
    <x v="0"/>
    <n v="84.18"/>
    <s v="Liters"/>
    <n v="140"/>
    <s v="Kilometers"/>
    <s v="4 units ARMORED VEHICLE"/>
  </r>
  <r>
    <n v="14"/>
    <x v="2"/>
    <x v="0"/>
    <x v="2"/>
    <x v="0"/>
    <n v="60.28"/>
    <s v="Liters"/>
    <n v="59"/>
    <s v="Kilometers"/>
    <s v="4 units ARMORED VEHICLE"/>
  </r>
  <r>
    <n v="15"/>
    <x v="2"/>
    <x v="0"/>
    <x v="3"/>
    <x v="1"/>
    <n v="85.4"/>
    <s v="Liters"/>
    <n v="100"/>
    <s v="Kilometers"/>
    <s v="4 units ARMORED VEHICLE"/>
  </r>
  <r>
    <n v="16"/>
    <x v="2"/>
    <x v="0"/>
    <x v="5"/>
    <x v="1"/>
    <n v="49.7"/>
    <s v="Liters"/>
    <n v="65"/>
    <s v="Kilometers"/>
    <s v="4 units ARMORED VEHICLE"/>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3">
        <item m="1" x="11"/>
        <item m="1" x="10"/>
        <item x="3"/>
        <item m="1" x="5"/>
        <item m="1" x="9"/>
        <item m="1" x="6"/>
        <item m="1" x="7"/>
        <item m="1" x="8"/>
        <item x="2"/>
        <item x="0"/>
        <item x="1"/>
        <item m="1" x="4"/>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2" s="1"/>
        <i x="0" s="1"/>
        <i x="1" s="1"/>
        <i x="11" s="1" nd="1"/>
        <i x="6" s="1" nd="1"/>
        <i x="7" s="1" nd="1"/>
        <i x="8" s="1" nd="1"/>
        <i x="4" s="1" nd="1"/>
        <i x="5" s="1" nd="1"/>
        <i x="10"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45" dataDxfId="143" headerRowBorderDxfId="144" tableBorderDxfId="142">
  <autoFilter ref="I6:O18" xr:uid="{5D54EA1C-BF56-1C41-A397-8FB104BB2C69}"/>
  <tableColumns count="7">
    <tableColumn id="1" xr3:uid="{0736B116-FD52-4F4F-884D-77C731445CFF}" name="No." dataDxfId="141">
      <calculatedColumnFormula>IF(#REF!="","",$I7+1)</calculatedColumnFormula>
    </tableColumn>
    <tableColumn id="5" xr3:uid="{C603CCC2-2764-574B-B616-B1F220EFF63F}" name="Fuel Type" dataDxfId="140"/>
    <tableColumn id="6" xr3:uid="{29E6127A-1BBD-4D42-8A5A-1FA1E160EC19}" name="Month" dataDxfId="139"/>
    <tableColumn id="7" xr3:uid="{AAB63BD1-C28A-2145-9671-756792E786E6}" name="Quarter" dataDxfId="138">
      <calculatedColumnFormula>IF(Fuel_Blg[[#This Row],[Month]]&lt;&gt;"",VLOOKUP(Fuel_Blg[[#This Row],[Month]], dropdown!$S$4:$T$15, 2, FALSE),"")</calculatedColumnFormula>
    </tableColumn>
    <tableColumn id="8" xr3:uid="{2659C633-FEE7-7446-91C8-0ACAADD03760}" name="Consumption" dataDxfId="137"/>
    <tableColumn id="9" xr3:uid="{83261790-77E9-A84F-890F-8F209571520F}" name="Unit" dataDxfId="136">
      <calculatedColumnFormula>IF($J7="","",VLOOKUP($J7,dropdown!$P$3:$Q$8,2,FALSE))</calculatedColumnFormula>
    </tableColumn>
    <tableColumn id="10" xr3:uid="{ADF20B56-6D74-6149-B0C0-FB9AA3F5AC8E}" name="Remarks" dataDxfId="1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34" dataDxfId="132" headerRowBorderDxfId="133" tableBorderDxfId="131" totalsRowBorderDxfId="130">
  <autoFilter ref="I6:R106" xr:uid="{A85D45EB-1572-A543-812E-815536D59C14}"/>
  <tableColumns count="10">
    <tableColumn id="1" xr3:uid="{CA340CBE-9D85-6C42-9CA1-DDAD368521C3}" name="No." dataDxfId="129">
      <calculatedColumnFormula>IF($J7="","",$I6+1)</calculatedColumnFormula>
    </tableColumn>
    <tableColumn id="2" xr3:uid="{CFAD3D96-F137-044A-AE4C-49E5188E1144}" name="Vehicle Type" dataDxfId="128"/>
    <tableColumn id="3" xr3:uid="{5A421D87-7A43-B14E-BA71-EABB4924A663}" name="Fuel Type" dataDxfId="127"/>
    <tableColumn id="4" xr3:uid="{9C4094CC-7613-9147-BAF8-A31087280A9A}" name="Month" dataDxfId="126"/>
    <tableColumn id="10" xr3:uid="{5211A67F-348D-494D-AD2E-AD4A362BCD78}" name="Quarter" dataDxfId="125">
      <calculatedColumnFormula>IF(Fuel_Veh[[#This Row],[Month]]&lt;&gt;"",VLOOKUP(Fuel_Veh[[#This Row],[Month]], dropdown!$S$4:$T$15, 2, FALSE),"")</calculatedColumnFormula>
    </tableColumn>
    <tableColumn id="5" xr3:uid="{6EDA12F9-55D0-694A-BAB9-B15BDE58CA76}" name="Consumption" dataDxfId="124"/>
    <tableColumn id="7" xr3:uid="{E7761959-51F4-954F-B8FB-F46DCC54C53F}" name="Unit" dataDxfId="123">
      <calculatedColumnFormula>IF($K7="","",VLOOKUP($K7,dropdown!$P$14:$Q$18,2,FALSE))</calculatedColumnFormula>
    </tableColumn>
    <tableColumn id="8" xr3:uid="{AD5D0247-3B56-D146-B22E-45D44E44A249}" name="Total kilometers travelled (all vehicles)" dataDxfId="122"/>
    <tableColumn id="6" xr3:uid="{7D9E5DFA-64C2-4B06-A40F-0BC8CB602574}" name="Unit2" dataDxfId="121">
      <calculatedColumnFormula>IF($P7="","","Kilometers")</calculatedColumnFormula>
    </tableColumn>
    <tableColumn id="9" xr3:uid="{3C24034E-2544-5447-B927-0F565A869F60}" name="Remarks" dataDxfId="1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8" totalsRowShown="0" headerRowDxfId="119" dataDxfId="118">
  <autoFilter ref="I8:W108" xr:uid="{4EA7077C-50F7-42D2-96F2-51568F67E7B2}"/>
  <tableColumns count="15">
    <tableColumn id="1" xr3:uid="{F5FCA22D-7063-431B-9399-42C43DB71411}" name="No." dataDxfId="117">
      <calculatedColumnFormula>IF($K9="","",$I8+1)</calculatedColumnFormula>
    </tableColumn>
    <tableColumn id="2" xr3:uid="{132030AD-4541-47EB-A337-EEE87637C1DE}" name="Location" dataDxfId="116"/>
    <tableColumn id="3" xr3:uid="{E38A8A42-DF98-463F-8F43-42FB3365C31D}" name="Equipment Category" dataDxfId="115"/>
    <tableColumn id="4" xr3:uid="{73A30FFB-A2D9-422E-811C-B1A1BA4CF2FF}" name="No. of Units" dataDxfId="114"/>
    <tableColumn id="5" xr3:uid="{C542C367-6C7C-4A2E-AFC0-70AA09658289}" name="Refrigerant" dataDxfId="113"/>
    <tableColumn id="6" xr3:uid="{A49CD649-8CDA-4BDE-9E6C-7CED9E0C5258}" name="Equipment Status" dataDxfId="112"/>
    <tableColumn id="7" xr3:uid="{496D94A5-FA4D-4CAE-BA86-0076C8252260}" name="Month Purchased" dataDxfId="111"/>
    <tableColumn id="8" xr3:uid="{C2C4A362-BE62-4AD9-8A32-0EE063613BFF}" name="Charge (kg)" dataDxfId="110"/>
    <tableColumn id="9" xr3:uid="{72FA09EB-82CD-4F9D-B0C6-9BC0E94D6119}" name="Month Recharged" dataDxfId="109"/>
    <tableColumn id="10" xr3:uid="{47F108D4-F5B0-471A-95AA-199B8E9D5D51}" name="Recharge (kg)" dataDxfId="108"/>
    <tableColumn id="11" xr3:uid="{7F5D579B-DB98-4EE1-9316-59541598F54B}" name="Month Disposed" dataDxfId="107"/>
    <tableColumn id="12" xr3:uid="{27D4DE6A-84A7-49EE-85CD-4A4C4CF0E9C1}" name="Capacity (kg)" dataDxfId="106"/>
    <tableColumn id="13" xr3:uid="{57B4A461-924D-48EC-A43C-5A1EEE91ED09}" name="Recovered (kg)" dataDxfId="105"/>
    <tableColumn id="14" xr3:uid="{4A88164E-A6C3-4FE4-8DE4-0C0950D809F0}" name="Quarter" dataDxfId="104">
      <calculatedColumnFormula>IFERROR(VLOOKUP($O9, dropdown!$S$4:$T$15, 2, FALSE),
 IFERROR(VLOOKUP($Q9, dropdown!$S$4:$T$15, 2, FALSE),
 IFERROR(VLOOKUP($S9, dropdown!$S$4:$T$15, 2, FALSE),
 "")))</calculatedColumnFormula>
    </tableColumn>
    <tableColumn id="15" xr3:uid="{D18D61D3-B9DB-40F4-9EBB-61DAFC976BF5}" name="Remarks" dataDxfId="10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102" tableBorderDxfId="101">
  <autoFilter ref="I7:O107" xr:uid="{4E808252-F12F-E841-AB57-6A82E4759C1A}"/>
  <tableColumns count="7">
    <tableColumn id="1" xr3:uid="{D5D30AA3-E573-734B-B6AB-3BC327F8D967}" name="No." dataDxfId="100"/>
    <tableColumn id="3" xr3:uid="{E49E940C-A64E-A446-B958-9A58950DBA26}" name="Month" dataDxfId="99"/>
    <tableColumn id="8" xr3:uid="{A32745C6-53F1-AF48-B40D-2062538BA76C}" name="Quarter" dataDxfId="98">
      <calculatedColumnFormula>IF(Electricity[[#This Row],[Month]]&lt;&gt;"",VLOOKUP(Electricity[[#This Row],[Month]], dropdown!$S$4:$T$15, 2, FALSE),"")</calculatedColumnFormula>
    </tableColumn>
    <tableColumn id="4" xr3:uid="{7BDA3B9E-E331-A040-8D00-68C0D245C2DD}" name="Consumption (kWh)" dataDxfId="97"/>
    <tableColumn id="5" xr3:uid="{4597EC97-806C-4E41-8BA3-E789252B06C0}" name="Cost (PHP)" dataDxfId="96"/>
    <tableColumn id="6" xr3:uid="{4139C44D-830B-F247-8F9C-494AF4CBED3A}" name="Utility Provider" dataDxfId="95"/>
    <tableColumn id="7" xr3:uid="{A1E305CA-3F3B-AC45-B4A9-903D25ED562F}" name="Remarks" dataDxfId="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93" tableBorderDxfId="92">
  <autoFilter ref="I6:N106" xr:uid="{4E808252-F12F-E841-AB57-6A82E4759C1A}"/>
  <tableColumns count="6">
    <tableColumn id="1" xr3:uid="{96892042-DA4D-554E-B6C0-56CC2E778BE0}" name="No." dataDxfId="91">
      <calculatedColumnFormula>IF(Electricity6[[#This Row],[Month]]="","",1)</calculatedColumnFormula>
    </tableColumn>
    <tableColumn id="3" xr3:uid="{4D461598-2D62-B244-9F61-EF4079251355}" name="Month" dataDxfId="90"/>
    <tableColumn id="8" xr3:uid="{45DB6F9E-A541-A04C-BEB7-D0FD16821599}" name="Quarter" dataDxfId="89">
      <calculatedColumnFormula>IF(Electricity6[[#This Row],[Month]]&lt;&gt;"",VLOOKUP(Electricity6[[#This Row],[Month]], dropdown!$S$4:$T$15, 2, FALSE),"")</calculatedColumnFormula>
    </tableColumn>
    <tableColumn id="4" xr3:uid="{2384A887-6797-9D45-A82F-AD87B1CEA514}" name="Solar Energy Generated (kWh)" dataDxfId="88"/>
    <tableColumn id="6" xr3:uid="{C0C5600A-2A4F-42FA-A171-A7D77002B82E}" name="Operational Energy Demand - One Shift (kWH)" dataDxfId="87"/>
    <tableColumn id="7" xr3:uid="{0E49F2FA-DF95-494F-B55D-59E5FA7DFB31}" name="Remarks" dataDxfId="8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85" dataDxfId="83" headerRowBorderDxfId="84" tableBorderDxfId="82" totalsRowBorderDxfId="81">
  <autoFilter ref="I7:N107" xr:uid="{D1C0C9B2-779D-1649-AFF9-2DC747BD8D8E}"/>
  <tableColumns count="6">
    <tableColumn id="1" xr3:uid="{98251D21-9B72-FF46-855C-29CDFC3F8C49}" name="No." dataDxfId="80">
      <calculatedColumnFormula>IF(#REF!="","",$I7+1)</calculatedColumnFormula>
    </tableColumn>
    <tableColumn id="3" xr3:uid="{79584AA0-F1B7-3B41-BB42-77B2A9F16C14}" name="Month" dataDxfId="79"/>
    <tableColumn id="4" xr3:uid="{A3CA35C2-DBF2-C44A-8453-C1C3204D173D}" name="Quarter" dataDxfId="78">
      <calculatedColumnFormula>IF(water_in[[#This Row],[Month]]&lt;&gt;"",VLOOKUP(water_in[[#This Row],[Month]], dropdown!$S$4:$T$15, 2, FALSE),"")</calculatedColumnFormula>
    </tableColumn>
    <tableColumn id="5" xr3:uid="{94E41BA5-FE14-7A42-A566-007A23C80527}" name="Source" dataDxfId="77"/>
    <tableColumn id="6" xr3:uid="{06C9DE83-99A6-6E42-BFF6-BBB009F75383}" name="Volume (m3)" dataDxfId="76"/>
    <tableColumn id="7" xr3:uid="{76D3A7A4-7A71-A740-A5FE-E0978AE0D14C}" name="Remarks" dataDxfId="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74" dataDxfId="72" headerRowBorderDxfId="73" tableBorderDxfId="71" totalsRowBorderDxfId="70">
  <autoFilter ref="P7:U107" xr:uid="{417FDA8E-3E35-E54B-B144-32DD667BE400}"/>
  <tableColumns count="6">
    <tableColumn id="1" xr3:uid="{C13D90C4-D898-7E42-BF11-5CEB6AE3F508}" name="No." dataDxfId="69">
      <calculatedColumnFormula>IF(#REF!="","",$P7+1)</calculatedColumnFormula>
    </tableColumn>
    <tableColumn id="3" xr3:uid="{FB4E4C5F-3555-F84A-866C-D2E830B01E5D}" name="Month" dataDxfId="68"/>
    <tableColumn id="4" xr3:uid="{619B28E5-6E0C-9445-94A5-CFE5B7E140CF}" name="Quarter" dataDxfId="67">
      <calculatedColumnFormula>IF(water_out[[#This Row],[Month]]&lt;&gt;"",VLOOKUP(water_out[[#This Row],[Month]], dropdown!$S$4:$T$15, 2, FALSE),"")</calculatedColumnFormula>
    </tableColumn>
    <tableColumn id="6" xr3:uid="{FC43882E-BF75-DA4D-B572-DC2FBD6873DC}" name="Water Destination" dataDxfId="66"/>
    <tableColumn id="2" xr3:uid="{10C062EB-B924-4DED-B867-1CB5A5574221}" name="Volume2 (m3)" dataDxfId="65"/>
    <tableColumn id="8" xr3:uid="{41D6224C-69B7-5E4A-8BC8-C342068A9656}" name="Remarks"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63" dataDxfId="62" tableBorderDxfId="61">
  <autoFilter ref="I12:O30" xr:uid="{644952C9-78B7-944D-8BFB-5F0BBB441E25}"/>
  <tableColumns count="7">
    <tableColumn id="1" xr3:uid="{905CBBCA-C4CE-E64F-8577-DD820D762EBE}" name="Component" dataDxfId="60"/>
    <tableColumn id="2" xr3:uid="{95B1D560-7606-8440-A263-1F3488DDCF60}" name="Chemical Formula" dataDxfId="59"/>
    <tableColumn id="3" xr3:uid="{BAFDD3D8-B5F1-0945-B68F-96F3F4D4E83A}" name="Molar Fraction (%)" dataDxfId="58"/>
    <tableColumn id="4" xr3:uid="{8ED09876-064B-5643-B346-8B9BE03FCA7C}" name="Total Moles (kg-mole/m3)" dataDxfId="57">
      <calculatedColumnFormula>IF(Waste_Gases[[#This Row],[Molar Fraction (%)]]=0,"",Waste_Gases[[#This Row],[Molar Fraction (%)]]*$D$15)</calculatedColumnFormula>
    </tableColumn>
    <tableColumn id="5" xr3:uid="{AF137C96-997B-0043-A824-BF6EB99BF204}" name="Molecular Weight" dataDxfId="56"/>
    <tableColumn id="6" xr3:uid="{45DE64DD-9AEC-7A47-BFD6-46841261F085}" name="Percent Carbon (%)" dataDxfId="55">
      <calculatedColumnFormula>Emission_Factors!$B$17/Waste_Gases[[#This Row],[Molecular Weight]]</calculatedColumnFormula>
    </tableColumn>
    <tableColumn id="7" xr3:uid="{2A4C64A5-A239-5A46-9E95-F45AEE05D934}" name="Carbon Content(kg/m3)" dataDxfId="54">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53" tableBorderDxfId="52">
  <autoFilter ref="I7:O104" xr:uid="{0230B550-3160-A24C-BB39-D77FBA7436E1}"/>
  <tableColumns count="7">
    <tableColumn id="1" xr3:uid="{E1E9FF9D-27E3-7D49-AEA6-2B1729AB118D}" name="No." dataDxfId="51"/>
    <tableColumn id="2" xr3:uid="{8380DC80-2805-C14F-AD3B-7C45100601CB}" name="Month" dataDxfId="50"/>
    <tableColumn id="3" xr3:uid="{8B50C8B1-2B60-7D48-8932-B0CD897CE645}" name="Quarter" dataDxfId="49">
      <calculatedColumnFormula>IF(Waste[[#This Row],[Month]]&lt;&gt;"",VLOOKUP(Waste[[#This Row],[Month]], dropdown!$S$4:$T$15, 2, FALSE),"")</calculatedColumnFormula>
    </tableColumn>
    <tableColumn id="4" xr3:uid="{1D0A3C03-9904-E148-8A78-B82195B0EA5C}" name="Waste Composition" dataDxfId="48"/>
    <tableColumn id="5" xr3:uid="{93373184-794D-CF48-B2C6-609884108023}" name="Weight (kg)" dataDxfId="47"/>
    <tableColumn id="6" xr3:uid="{AEA2ECE1-073B-3E43-BACD-0EDC33C61465}" name="Disposal/Recovery Method" dataDxfId="46"/>
    <tableColumn id="7" xr3:uid="{5D0BB89C-B4C6-D54A-A767-64E8AE7DDBFE}" name="Remarks" dataDxfId="4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14" totalsRowShown="0" headerRowDxfId="44">
  <autoFilter ref="A1:E1314" xr:uid="{76DE87AF-814A-AB4A-8281-B0E5A4C74319}"/>
  <tableColumns count="5">
    <tableColumn id="1" xr3:uid="{26002ACD-4A1E-4D49-89F1-047F359822D0}" name="Timestamp" dataDxfId="43"/>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2" zoomScale="88" zoomScaleNormal="60" workbookViewId="0">
      <selection activeCell="G42" sqref="G4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421</v>
      </c>
      <c r="E2" s="446"/>
      <c r="F2" s="446"/>
      <c r="G2" s="447"/>
    </row>
    <row r="3" spans="3:7" x14ac:dyDescent="0.2">
      <c r="C3" s="117" t="s">
        <v>12</v>
      </c>
      <c r="D3" s="445">
        <v>2025</v>
      </c>
      <c r="E3" s="446"/>
      <c r="F3" s="446"/>
      <c r="G3" s="447"/>
    </row>
    <row r="5" spans="3:7" ht="19" customHeight="1" x14ac:dyDescent="0.2">
      <c r="C5" s="444" t="s">
        <v>148</v>
      </c>
      <c r="D5" s="444"/>
      <c r="E5" s="444"/>
      <c r="F5" s="444"/>
      <c r="G5" s="444"/>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518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1131.22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117250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257</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Waste'!$D$16:$G$16)</f>
        <v>14200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C51" zoomScaleNormal="130" workbookViewId="0">
      <selection activeCell="F51" sqref="F51"/>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D1" zoomScaleNormal="100" workbookViewId="0">
      <selection activeCell="N7" sqref="N7:N18"/>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Puerto Princesa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8"/>
      <c r="D6" s="449"/>
      <c r="E6" s="449"/>
      <c r="F6" s="449"/>
      <c r="G6" s="450"/>
      <c r="I6" s="209" t="s">
        <v>173</v>
      </c>
      <c r="J6" s="209" t="s">
        <v>35</v>
      </c>
      <c r="K6" s="209" t="s">
        <v>39</v>
      </c>
      <c r="L6" s="209" t="s">
        <v>43</v>
      </c>
      <c r="M6" s="209" t="s">
        <v>47</v>
      </c>
      <c r="N6" s="209" t="s">
        <v>51</v>
      </c>
      <c r="O6" s="209" t="s">
        <v>54</v>
      </c>
      <c r="P6" s="20"/>
    </row>
    <row r="7" spans="2:16" x14ac:dyDescent="0.2">
      <c r="B7" s="278" t="s">
        <v>174</v>
      </c>
      <c r="C7" s="448"/>
      <c r="D7" s="449"/>
      <c r="E7" s="449"/>
      <c r="F7" s="449"/>
      <c r="G7" s="450"/>
      <c r="I7" s="194">
        <f>IF($M7="","",1)</f>
        <v>1</v>
      </c>
      <c r="J7" s="57" t="s">
        <v>37</v>
      </c>
      <c r="K7" s="58" t="s">
        <v>338</v>
      </c>
      <c r="L7" s="18" t="str">
        <f>IF(Fuel_Blg[[#This Row],[Month]]&lt;&gt;"",VLOOKUP(Fuel_Blg[[#This Row],[Month]], dropdown!$S$4:$T$15, 2, FALSE),"")</f>
        <v>Q1</v>
      </c>
      <c r="M7" s="29">
        <v>60</v>
      </c>
      <c r="N7" s="17" t="str">
        <f>IF($J7="","",VLOOKUP($J7,dropdown!$P$3:$Q$8,2,FALSE))</f>
        <v>Liters</v>
      </c>
      <c r="O7" s="195" t="s">
        <v>1433</v>
      </c>
      <c r="P7" s="20"/>
    </row>
    <row r="8" spans="2:16" x14ac:dyDescent="0.2">
      <c r="I8" s="194"/>
      <c r="J8" s="57" t="s">
        <v>37</v>
      </c>
      <c r="K8" s="58" t="s">
        <v>89</v>
      </c>
      <c r="L8" s="18" t="str">
        <f>IF(Fuel_Blg[[#This Row],[Month]]&lt;&gt;"",VLOOKUP(Fuel_Blg[[#This Row],[Month]], dropdown!$S$4:$T$15, 2, FALSE),"")</f>
        <v>Q1</v>
      </c>
      <c r="M8" s="29">
        <v>40</v>
      </c>
      <c r="N8" s="17" t="str">
        <f>IF($J8="","",VLOOKUP($J8,dropdown!$P$3:$Q$8,2,FALSE))</f>
        <v>Liters</v>
      </c>
      <c r="O8" s="195" t="s">
        <v>1433</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104</v>
      </c>
      <c r="N9" s="17" t="str">
        <f>IF($J9="","",VLOOKUP($J9,dropdown!$P$3:$Q$8,2,FALSE))</f>
        <v>Liters</v>
      </c>
      <c r="O9" s="195" t="s">
        <v>1433</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26.66</v>
      </c>
      <c r="N10" s="17" t="str">
        <f>IF($J10="","",VLOOKUP($J10,dropdown!$P$3:$Q$8,2,FALSE))</f>
        <v>Liters</v>
      </c>
      <c r="O10" s="195" t="s">
        <v>1433</v>
      </c>
      <c r="P10" s="20"/>
    </row>
    <row r="11" spans="2:16" x14ac:dyDescent="0.2">
      <c r="B11" s="17" t="str">
        <f>dropdown!$P4</f>
        <v>Diesel - Standby generator sets</v>
      </c>
      <c r="C11" s="17" t="str">
        <f>dropdown!$Q4</f>
        <v>Liters</v>
      </c>
      <c r="D11" s="41">
        <f>SUMIFS(Fuel_Blg[Consumption],Fuel_Blg[Quarter],D$10,Fuel_Blg[Fuel Type],$B$11)</f>
        <v>208</v>
      </c>
      <c r="E11" s="41">
        <f>SUMIFS(Fuel_Blg[Consumption],Fuel_Blg[Quarter],E$10,Fuel_Blg[Fuel Type],$B$11)</f>
        <v>310</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173.29</v>
      </c>
      <c r="N11" s="17" t="str">
        <f>IF($J11="","",VLOOKUP($J11,dropdown!$P$3:$Q$8,2,FALSE))</f>
        <v>Liters</v>
      </c>
      <c r="O11" s="195" t="s">
        <v>1433</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106.64</v>
      </c>
      <c r="N12" s="17" t="str">
        <f>IF($J12="","",VLOOKUP($J12,dropdown!$P$3:$Q$8,2,FALSE))</f>
        <v>Liters</v>
      </c>
      <c r="O12" s="195" t="s">
        <v>1433</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338</v>
      </c>
      <c r="L13" s="18" t="str">
        <f>IF(Fuel_Blg[[#This Row],[Month]]&lt;&gt;"",VLOOKUP(Fuel_Blg[[#This Row],[Month]], dropdown!$S$4:$T$15, 2, FALSE),"")</f>
        <v>Q1</v>
      </c>
      <c r="M13" s="29">
        <v>2</v>
      </c>
      <c r="N13" s="17" t="str">
        <f>IF($J13="","",VLOOKUP($J13,dropdown!$P$3:$Q$8,2,FALSE))</f>
        <v>Liters</v>
      </c>
      <c r="O13" s="195" t="s">
        <v>1432</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89</v>
      </c>
      <c r="L14" s="18" t="str">
        <f>IF(Fuel_Blg[[#This Row],[Month]]&lt;&gt;"",VLOOKUP(Fuel_Blg[[#This Row],[Month]], dropdown!$S$4:$T$15, 2, FALSE),"")</f>
        <v>Q1</v>
      </c>
      <c r="M14" s="29">
        <v>1</v>
      </c>
      <c r="N14" s="17" t="str">
        <f>IF($J14="","",VLOOKUP($J14,dropdown!$P$3:$Q$8,2,FALSE))</f>
        <v>Liters</v>
      </c>
      <c r="O14" s="195" t="s">
        <v>1432</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362</v>
      </c>
      <c r="L15" s="18" t="str">
        <f>IF(Fuel_Blg[[#This Row],[Month]]&lt;&gt;"",VLOOKUP(Fuel_Blg[[#This Row],[Month]], dropdown!$S$4:$T$15, 2, FALSE),"")</f>
        <v>Q1</v>
      </c>
      <c r="M15" s="29">
        <v>1</v>
      </c>
      <c r="N15" s="17" t="str">
        <f>IF($J15="","",VLOOKUP($J15,dropdown!$P$3:$Q$8,2,FALSE))</f>
        <v>Liters</v>
      </c>
      <c r="O15" s="195" t="s">
        <v>1432</v>
      </c>
      <c r="P15" s="20"/>
    </row>
    <row r="16" spans="2:16" x14ac:dyDescent="0.2">
      <c r="I16" s="194">
        <f t="shared" si="0"/>
        <v>7</v>
      </c>
      <c r="J16" s="57" t="s">
        <v>37</v>
      </c>
      <c r="K16" s="58" t="s">
        <v>371</v>
      </c>
      <c r="L16" s="18" t="str">
        <f>IF(Fuel_Blg[[#This Row],[Month]]&lt;&gt;"",VLOOKUP(Fuel_Blg[[#This Row],[Month]], dropdown!$S$4:$T$15, 2, FALSE),"")</f>
        <v>Q2</v>
      </c>
      <c r="M16" s="29">
        <v>1</v>
      </c>
      <c r="N16" s="17" t="str">
        <f>IF($J16="","",VLOOKUP($J16,dropdown!$P$3:$Q$8,2,FALSE))</f>
        <v>Liters</v>
      </c>
      <c r="O16" s="195" t="s">
        <v>1432</v>
      </c>
      <c r="P16" s="20"/>
    </row>
    <row r="17" spans="2:16" x14ac:dyDescent="0.2">
      <c r="B17" s="267" t="s">
        <v>38</v>
      </c>
      <c r="I17" s="194">
        <f t="shared" si="0"/>
        <v>8</v>
      </c>
      <c r="J17" s="57" t="s">
        <v>37</v>
      </c>
      <c r="K17" s="58" t="s">
        <v>379</v>
      </c>
      <c r="L17" s="18" t="str">
        <f>IF(Fuel_Blg[[#This Row],[Month]]&lt;&gt;"",VLOOKUP(Fuel_Blg[[#This Row],[Month]], dropdown!$S$4:$T$15, 2, FALSE),"")</f>
        <v>Q2</v>
      </c>
      <c r="M17" s="29">
        <v>0.75</v>
      </c>
      <c r="N17" s="17" t="str">
        <f>IF($J17="","",VLOOKUP($J17,dropdown!$P$3:$Q$8,2,FALSE))</f>
        <v>Liters</v>
      </c>
      <c r="O17" s="195" t="s">
        <v>1432</v>
      </c>
      <c r="P17" s="20"/>
    </row>
    <row r="18" spans="2:16" x14ac:dyDescent="0.2">
      <c r="B18" s="268" t="s">
        <v>175</v>
      </c>
      <c r="I18" s="194">
        <f t="shared" si="0"/>
        <v>9</v>
      </c>
      <c r="J18" s="57" t="s">
        <v>37</v>
      </c>
      <c r="K18" s="58" t="s">
        <v>386</v>
      </c>
      <c r="L18" s="18" t="str">
        <f>IF(Fuel_Blg[[#This Row],[Month]]&lt;&gt;"",VLOOKUP(Fuel_Blg[[#This Row],[Month]], dropdown!$S$4:$T$15, 2, FALSE),"")</f>
        <v>Q2</v>
      </c>
      <c r="M18" s="29">
        <v>1.66</v>
      </c>
      <c r="N18" s="17" t="str">
        <f>IF($J18="","",VLOOKUP($J18,dropdown!$P$3:$Q$8,2,FALSE))</f>
        <v>Liters</v>
      </c>
      <c r="O18" s="195" t="s">
        <v>1432</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J6:K18 O6:O18 M6:M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E4" zoomScaleNormal="100" workbookViewId="0">
      <selection activeCell="P19" sqref="P19"/>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Puerto Princesa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8"/>
      <c r="D6" s="449"/>
      <c r="E6" s="449"/>
      <c r="F6" s="449"/>
      <c r="G6" s="450"/>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8"/>
      <c r="D7" s="449"/>
      <c r="E7" s="449"/>
      <c r="F7" s="449"/>
      <c r="G7" s="450"/>
      <c r="I7" s="194">
        <f>IF($J7="","",1)</f>
        <v>1</v>
      </c>
      <c r="J7" s="57" t="s">
        <v>365</v>
      </c>
      <c r="K7" s="57" t="s">
        <v>63</v>
      </c>
      <c r="L7" s="58" t="s">
        <v>338</v>
      </c>
      <c r="M7" s="18" t="str">
        <f>IF(Fuel_Veh[[#This Row],[Month]]&lt;&gt;"",VLOOKUP(Fuel_Veh[[#This Row],[Month]], dropdown!$S$4:$T$15, 2, FALSE),"")</f>
        <v>Q1</v>
      </c>
      <c r="N7" s="29">
        <v>146.32999999999998</v>
      </c>
      <c r="O7" s="17" t="str">
        <f>IF($K7="","",VLOOKUP($K7,dropdown!$P$14:$Q$18,2,FALSE))</f>
        <v>Liters</v>
      </c>
      <c r="P7" s="29">
        <v>1438</v>
      </c>
      <c r="Q7" s="17" t="str">
        <f t="shared" ref="Q7:Q70" si="0">IF($P7="","","Kilometers")</f>
        <v>Kilometers</v>
      </c>
      <c r="R7" s="195" t="s">
        <v>1484</v>
      </c>
    </row>
    <row r="8" spans="2:18" x14ac:dyDescent="0.2">
      <c r="I8" s="194">
        <f>IF($J8="","",$I7+1)</f>
        <v>2</v>
      </c>
      <c r="J8" s="57" t="s">
        <v>365</v>
      </c>
      <c r="K8" s="57" t="s">
        <v>63</v>
      </c>
      <c r="L8" s="58" t="s">
        <v>89</v>
      </c>
      <c r="M8" s="18" t="str">
        <f>IF(Fuel_Veh[[#This Row],[Month]]&lt;&gt;"",VLOOKUP(Fuel_Veh[[#This Row],[Month]], dropdown!$S$4:$T$15, 2, FALSE),"")</f>
        <v>Q1</v>
      </c>
      <c r="N8" s="29">
        <v>65.42</v>
      </c>
      <c r="O8" s="17"/>
      <c r="P8" s="29">
        <v>671</v>
      </c>
      <c r="Q8" s="17" t="str">
        <f t="shared" si="0"/>
        <v>Kilometers</v>
      </c>
      <c r="R8" s="195" t="s">
        <v>1484</v>
      </c>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86.039999999999992</v>
      </c>
      <c r="O9" s="17" t="str">
        <f>IF($K9="","",VLOOKUP($K9,dropdown!$P$14:$Q$18,2,FALSE))</f>
        <v>Liters</v>
      </c>
      <c r="P9" s="29">
        <v>636</v>
      </c>
      <c r="Q9" s="17" t="str">
        <f t="shared" si="0"/>
        <v>Kilometers</v>
      </c>
      <c r="R9" s="195" t="s">
        <v>1484</v>
      </c>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172.01</v>
      </c>
      <c r="O10" s="17" t="str">
        <f>IF($K10="","",VLOOKUP($K10,dropdown!$P$14:$Q$18,2,FALSE))</f>
        <v>Liters</v>
      </c>
      <c r="P10" s="29">
        <v>1798</v>
      </c>
      <c r="Q10" s="17" t="str">
        <f t="shared" si="0"/>
        <v>Kilometers</v>
      </c>
      <c r="R10" s="195" t="s">
        <v>1484</v>
      </c>
    </row>
    <row r="11" spans="2:18" x14ac:dyDescent="0.2">
      <c r="B11" s="17" t="str">
        <f>dropdown!$P15</f>
        <v>Diesel - Transport vehicles</v>
      </c>
      <c r="C11" s="17" t="str">
        <f>dropdown!$Q15</f>
        <v>Liters</v>
      </c>
      <c r="D11" s="41">
        <f>SUMIFS(Fuel_Veh[Consumption],Fuel_Veh[Quarter],D$10,Fuel_Veh[Fuel Type],$B$11)</f>
        <v>544.9</v>
      </c>
      <c r="E11" s="41">
        <f>SUMIFS(Fuel_Veh[Consumption],Fuel_Veh[Quarter],E$10,Fuel_Veh[Fuel Type],$B$11)</f>
        <v>586.32000000000005</v>
      </c>
      <c r="F11" s="41">
        <f>SUMIFS(Fuel_Veh[Consumption],Fuel_Veh[Quarter],F$10,Fuel_Veh[Fuel Type],$B$11)</f>
        <v>0</v>
      </c>
      <c r="G11" s="41">
        <f>SUMIFS(Fuel_Veh[Consumption],Fuel_Veh[Quarter],G$10,Fuel_Veh[Fuel Type],$B$11)</f>
        <v>0</v>
      </c>
      <c r="I11" s="194">
        <f>IF($J11="","",$I10+1)</f>
        <v>5</v>
      </c>
      <c r="J11" s="57" t="s">
        <v>365</v>
      </c>
      <c r="K11" s="57" t="s">
        <v>63</v>
      </c>
      <c r="L11" s="58" t="s">
        <v>379</v>
      </c>
      <c r="M11" s="18" t="str">
        <f>IF(Fuel_Veh[[#This Row],[Month]]&lt;&gt;"",VLOOKUP(Fuel_Veh[[#This Row],[Month]], dropdown!$S$4:$T$15, 2, FALSE),"")</f>
        <v>Q2</v>
      </c>
      <c r="N11" s="29">
        <v>122.06</v>
      </c>
      <c r="O11" s="17" t="str">
        <f>IF($K11="","",VLOOKUP($K11,dropdown!$P$14:$Q$18,2,FALSE))</f>
        <v>Liters</v>
      </c>
      <c r="P11" s="29">
        <v>1098</v>
      </c>
      <c r="Q11" s="17" t="str">
        <f t="shared" si="0"/>
        <v>Kilometers</v>
      </c>
      <c r="R11" s="195" t="s">
        <v>1484</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386</v>
      </c>
      <c r="M12" s="18" t="str">
        <f>IF(Fuel_Veh[[#This Row],[Month]]&lt;&gt;"",VLOOKUP(Fuel_Veh[[#This Row],[Month]], dropdown!$S$4:$T$15, 2, FALSE),"")</f>
        <v>Q2</v>
      </c>
      <c r="N12" s="29">
        <v>115.36</v>
      </c>
      <c r="O12" s="17" t="str">
        <f>IF($K12="","",VLOOKUP($K12,dropdown!$P$14:$Q$18,2,FALSE))</f>
        <v>Liters</v>
      </c>
      <c r="P12" s="29">
        <v>825</v>
      </c>
      <c r="Q12" s="17" t="str">
        <f t="shared" si="0"/>
        <v>Kilometers</v>
      </c>
      <c r="R12" s="195" t="s">
        <v>1484</v>
      </c>
    </row>
    <row r="13" spans="2:18" ht="14" customHeight="1" x14ac:dyDescent="0.2">
      <c r="I13" s="194">
        <f t="shared" si="1"/>
        <v>7</v>
      </c>
      <c r="J13" s="57" t="s">
        <v>381</v>
      </c>
      <c r="K13" s="57" t="s">
        <v>63</v>
      </c>
      <c r="L13" s="58" t="s">
        <v>338</v>
      </c>
      <c r="M13" s="18" t="str">
        <f>IF(Fuel_Veh[[#This Row],[Month]]&lt;&gt;"",VLOOKUP(Fuel_Veh[[#This Row],[Month]], dropdown!$S$4:$T$15, 2, FALSE),"")</f>
        <v>Q1</v>
      </c>
      <c r="N13" s="29">
        <v>15.55</v>
      </c>
      <c r="O13" s="17" t="str">
        <f>IF($K13="","",VLOOKUP($K13,dropdown!$P$14:$Q$18,2,FALSE))</f>
        <v>Liters</v>
      </c>
      <c r="P13" s="29">
        <v>11</v>
      </c>
      <c r="Q13" s="17" t="str">
        <f t="shared" si="0"/>
        <v>Kilometers</v>
      </c>
      <c r="R13" s="195" t="s">
        <v>1488</v>
      </c>
    </row>
    <row r="14" spans="2:18" x14ac:dyDescent="0.2">
      <c r="B14" s="267" t="s">
        <v>38</v>
      </c>
      <c r="I14" s="194">
        <f t="shared" si="1"/>
        <v>8</v>
      </c>
      <c r="J14" s="57" t="s">
        <v>381</v>
      </c>
      <c r="K14" s="57" t="s">
        <v>63</v>
      </c>
      <c r="L14" s="58" t="s">
        <v>89</v>
      </c>
      <c r="M14" s="18" t="str">
        <f>IF(Fuel_Veh[[#This Row],[Month]]&lt;&gt;"",VLOOKUP(Fuel_Veh[[#This Row],[Month]], dropdown!$S$4:$T$15, 2, FALSE),"")</f>
        <v>Q1</v>
      </c>
      <c r="N14" s="29">
        <v>18.18</v>
      </c>
      <c r="O14" s="17" t="str">
        <f>IF($K14="","",VLOOKUP($K14,dropdown!$P$14:$Q$18,2,FALSE))</f>
        <v>Liters</v>
      </c>
      <c r="P14" s="29">
        <v>16</v>
      </c>
      <c r="Q14" s="17" t="str">
        <f t="shared" si="0"/>
        <v>Kilometers</v>
      </c>
      <c r="R14" s="195" t="s">
        <v>1488</v>
      </c>
    </row>
    <row r="15" spans="2:18" x14ac:dyDescent="0.2">
      <c r="B15" s="268" t="s">
        <v>175</v>
      </c>
      <c r="I15" s="194">
        <f t="shared" si="1"/>
        <v>9</v>
      </c>
      <c r="J15" s="57" t="s">
        <v>381</v>
      </c>
      <c r="K15" s="57" t="s">
        <v>63</v>
      </c>
      <c r="L15" s="58" t="s">
        <v>362</v>
      </c>
      <c r="M15" s="18" t="str">
        <f>IF(Fuel_Veh[[#This Row],[Month]]&lt;&gt;"",VLOOKUP(Fuel_Veh[[#This Row],[Month]], dropdown!$S$4:$T$15, 2, FALSE),"")</f>
        <v>Q1</v>
      </c>
      <c r="N15" s="29">
        <v>23.14</v>
      </c>
      <c r="O15" s="17" t="str">
        <f>IF($K15="","",VLOOKUP($K15,dropdown!$P$14:$Q$18,2,FALSE))</f>
        <v>Liters</v>
      </c>
      <c r="P15" s="29">
        <v>21</v>
      </c>
      <c r="Q15" s="17" t="str">
        <f t="shared" si="0"/>
        <v>Kilometers</v>
      </c>
      <c r="R15" s="195" t="s">
        <v>1488</v>
      </c>
    </row>
    <row r="16" spans="2:18" x14ac:dyDescent="0.2">
      <c r="B16" s="266" t="s">
        <v>176</v>
      </c>
      <c r="I16" s="194">
        <f t="shared" si="1"/>
        <v>10</v>
      </c>
      <c r="J16" s="57" t="s">
        <v>381</v>
      </c>
      <c r="K16" s="57" t="s">
        <v>63</v>
      </c>
      <c r="L16" s="58" t="s">
        <v>371</v>
      </c>
      <c r="M16" s="18" t="str">
        <f>IF(Fuel_Veh[[#This Row],[Month]]&lt;&gt;"",VLOOKUP(Fuel_Veh[[#This Row],[Month]], dropdown!$S$4:$T$15, 2, FALSE),"")</f>
        <v>Q2</v>
      </c>
      <c r="N16" s="29">
        <v>29.42</v>
      </c>
      <c r="O16" s="17" t="str">
        <f>IF($K16="","",VLOOKUP($K16,dropdown!$P$14:$Q$18,2,FALSE))</f>
        <v>Liters</v>
      </c>
      <c r="P16" s="29">
        <v>31</v>
      </c>
      <c r="Q16" s="17" t="str">
        <f t="shared" si="0"/>
        <v>Kilometers</v>
      </c>
      <c r="R16" s="195" t="s">
        <v>1488</v>
      </c>
    </row>
    <row r="17" spans="2:18" x14ac:dyDescent="0.2">
      <c r="B17" s="17" t="s">
        <v>177</v>
      </c>
      <c r="I17" s="194">
        <f t="shared" si="1"/>
        <v>11</v>
      </c>
      <c r="J17" s="57" t="s">
        <v>381</v>
      </c>
      <c r="K17" s="57" t="s">
        <v>63</v>
      </c>
      <c r="L17" s="58" t="s">
        <v>386</v>
      </c>
      <c r="M17" s="18" t="str">
        <f>IF(Fuel_Veh[[#This Row],[Month]]&lt;&gt;"",VLOOKUP(Fuel_Veh[[#This Row],[Month]], dropdown!$S$4:$T$15, 2, FALSE),"")</f>
        <v>Q2</v>
      </c>
      <c r="N17" s="29">
        <v>12.37</v>
      </c>
      <c r="O17" s="17" t="str">
        <f>IF($K17="","",VLOOKUP($K17,dropdown!$P$14:$Q$18,2,FALSE))</f>
        <v>Liters</v>
      </c>
      <c r="P17" s="29">
        <v>18</v>
      </c>
      <c r="Q17" s="17" t="str">
        <f t="shared" si="0"/>
        <v>Kilometers</v>
      </c>
      <c r="R17" s="195" t="s">
        <v>1488</v>
      </c>
    </row>
    <row r="18" spans="2:18" x14ac:dyDescent="0.2">
      <c r="I18" s="194">
        <f t="shared" si="1"/>
        <v>12</v>
      </c>
      <c r="J18" s="57" t="s">
        <v>343</v>
      </c>
      <c r="K18" s="57" t="s">
        <v>63</v>
      </c>
      <c r="L18" s="58" t="s">
        <v>338</v>
      </c>
      <c r="M18" s="18" t="str">
        <f>IF(Fuel_Veh[[#This Row],[Month]]&lt;&gt;"",VLOOKUP(Fuel_Veh[[#This Row],[Month]], dropdown!$S$4:$T$15, 2, FALSE),"")</f>
        <v>Q1</v>
      </c>
      <c r="N18" s="29">
        <v>45.78</v>
      </c>
      <c r="O18" s="17" t="str">
        <f>IF($K18="","",VLOOKUP($K18,dropdown!$P$14:$Q$18,2,FALSE))</f>
        <v>Liters</v>
      </c>
      <c r="P18" s="29">
        <v>34</v>
      </c>
      <c r="Q18" s="17" t="str">
        <f t="shared" si="0"/>
        <v>Kilometers</v>
      </c>
      <c r="R18" s="195" t="s">
        <v>1488</v>
      </c>
    </row>
    <row r="19" spans="2:18" x14ac:dyDescent="0.2">
      <c r="I19" s="194">
        <f t="shared" ref="I19:I24" si="2">IF($J19="","",$I18+1)</f>
        <v>13</v>
      </c>
      <c r="J19" s="57" t="s">
        <v>343</v>
      </c>
      <c r="K19" s="57" t="s">
        <v>63</v>
      </c>
      <c r="L19" s="58" t="s">
        <v>89</v>
      </c>
      <c r="M19" s="18" t="str">
        <f>IF(Fuel_Veh[[#This Row],[Month]]&lt;&gt;"",VLOOKUP(Fuel_Veh[[#This Row],[Month]], dropdown!$S$4:$T$15, 2, FALSE),"")</f>
        <v>Q1</v>
      </c>
      <c r="N19" s="29">
        <v>84.18</v>
      </c>
      <c r="O19" s="17" t="str">
        <f>IF($K19="","",VLOOKUP($K19,dropdown!$P$14:$Q$18,2,FALSE))</f>
        <v>Liters</v>
      </c>
      <c r="P19" s="29">
        <v>140</v>
      </c>
      <c r="Q19" s="17" t="str">
        <f t="shared" si="0"/>
        <v>Kilometers</v>
      </c>
      <c r="R19" s="195" t="s">
        <v>1436</v>
      </c>
    </row>
    <row r="20" spans="2:18" x14ac:dyDescent="0.2">
      <c r="I20" s="194">
        <f t="shared" si="2"/>
        <v>14</v>
      </c>
      <c r="J20" s="57" t="s">
        <v>343</v>
      </c>
      <c r="K20" s="57" t="s">
        <v>63</v>
      </c>
      <c r="L20" s="58" t="s">
        <v>362</v>
      </c>
      <c r="M20" s="18" t="str">
        <f>IF(Fuel_Veh[[#This Row],[Month]]&lt;&gt;"",VLOOKUP(Fuel_Veh[[#This Row],[Month]], dropdown!$S$4:$T$15, 2, FALSE),"")</f>
        <v>Q1</v>
      </c>
      <c r="N20" s="29">
        <v>60.28</v>
      </c>
      <c r="O20" s="17" t="str">
        <f>IF($K20="","",VLOOKUP($K20,dropdown!$P$14:$Q$18,2,FALSE))</f>
        <v>Liters</v>
      </c>
      <c r="P20" s="29">
        <v>59</v>
      </c>
      <c r="Q20" s="17" t="str">
        <f t="shared" si="0"/>
        <v>Kilometers</v>
      </c>
      <c r="R20" s="195" t="s">
        <v>1436</v>
      </c>
    </row>
    <row r="21" spans="2:18" x14ac:dyDescent="0.2">
      <c r="I21" s="194">
        <f t="shared" si="2"/>
        <v>15</v>
      </c>
      <c r="J21" s="57" t="s">
        <v>343</v>
      </c>
      <c r="K21" s="57" t="s">
        <v>63</v>
      </c>
      <c r="L21" s="58" t="s">
        <v>371</v>
      </c>
      <c r="M21" s="18" t="str">
        <f>IF(Fuel_Veh[[#This Row],[Month]]&lt;&gt;"",VLOOKUP(Fuel_Veh[[#This Row],[Month]], dropdown!$S$4:$T$15, 2, FALSE),"")</f>
        <v>Q2</v>
      </c>
      <c r="N21" s="29">
        <v>85.4</v>
      </c>
      <c r="O21" s="17" t="str">
        <f>IF($K21="","",VLOOKUP($K21,dropdown!$P$14:$Q$18,2,FALSE))</f>
        <v>Liters</v>
      </c>
      <c r="P21" s="29">
        <v>100</v>
      </c>
      <c r="Q21" s="17" t="str">
        <f t="shared" si="0"/>
        <v>Kilometers</v>
      </c>
      <c r="R21" s="195" t="s">
        <v>1436</v>
      </c>
    </row>
    <row r="22" spans="2:18" x14ac:dyDescent="0.2">
      <c r="I22" s="194">
        <f t="shared" si="2"/>
        <v>16</v>
      </c>
      <c r="J22" s="57" t="s">
        <v>343</v>
      </c>
      <c r="K22" s="57" t="s">
        <v>63</v>
      </c>
      <c r="L22" s="58" t="s">
        <v>386</v>
      </c>
      <c r="M22" s="18" t="str">
        <f>IF(Fuel_Veh[[#This Row],[Month]]&lt;&gt;"",VLOOKUP(Fuel_Veh[[#This Row],[Month]], dropdown!$S$4:$T$15, 2, FALSE),"")</f>
        <v>Q2</v>
      </c>
      <c r="N22" s="29">
        <v>49.7</v>
      </c>
      <c r="O22" s="17" t="str">
        <f>IF($K22="","",VLOOKUP($K22,dropdown!$P$14:$Q$18,2,FALSE))</f>
        <v>Liters</v>
      </c>
      <c r="P22" s="29">
        <v>65</v>
      </c>
      <c r="Q22" s="17" t="str">
        <f t="shared" si="0"/>
        <v>Kilometers</v>
      </c>
      <c r="R22" s="195" t="s">
        <v>1436</v>
      </c>
    </row>
    <row r="23" spans="2:18" x14ac:dyDescent="0.2">
      <c r="I23" s="194" t="str">
        <f t="shared" si="2"/>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2"/>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ref="I31:I36" si="3">IF($J31="","",$I30+1)</f>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3"/>
        <v/>
      </c>
      <c r="J32" s="57"/>
      <c r="K32" s="57"/>
      <c r="L32" s="58"/>
      <c r="M32" s="18" t="str">
        <f>IF(Fuel_Veh[[#This Row],[Month]]&lt;&gt;"",VLOOKUP(Fuel_Veh[[#This Row],[Month]], dropdown!$S$4:$T$15, 2, FALSE),"")</f>
        <v/>
      </c>
      <c r="N32" s="29"/>
      <c r="O32" s="17" t="str">
        <f>IF($K32="","",VLOOKUP($K32,dropdown!$P$14:$Q$18,2,FALSE))</f>
        <v/>
      </c>
      <c r="P32" s="29"/>
      <c r="Q32" s="17" t="str">
        <f t="shared" ref="Q32:Q42" si="4">IF($P32="","","Kilometers")</f>
        <v/>
      </c>
      <c r="R32" s="199"/>
    </row>
    <row r="33" spans="9:18" x14ac:dyDescent="0.2">
      <c r="I33" s="194" t="str">
        <f t="shared" si="3"/>
        <v/>
      </c>
      <c r="J33" s="57"/>
      <c r="K33" s="57"/>
      <c r="L33" s="58"/>
      <c r="M33" s="18" t="str">
        <f>IF(Fuel_Veh[[#This Row],[Month]]&lt;&gt;"",VLOOKUP(Fuel_Veh[[#This Row],[Month]], dropdown!$S$4:$T$15, 2, FALSE),"")</f>
        <v/>
      </c>
      <c r="N33" s="29"/>
      <c r="O33" s="17" t="str">
        <f>IF($K33="","",VLOOKUP($K33,dropdown!$P$14:$Q$18,2,FALSE))</f>
        <v/>
      </c>
      <c r="P33" s="29"/>
      <c r="Q33" s="17" t="str">
        <f t="shared" si="4"/>
        <v/>
      </c>
      <c r="R33" s="199"/>
    </row>
    <row r="34" spans="9:18" x14ac:dyDescent="0.2">
      <c r="I34" s="194" t="str">
        <f t="shared" si="3"/>
        <v/>
      </c>
      <c r="J34" s="57"/>
      <c r="K34" s="57"/>
      <c r="L34" s="58"/>
      <c r="M34" s="18" t="str">
        <f>IF(Fuel_Veh[[#This Row],[Month]]&lt;&gt;"",VLOOKUP(Fuel_Veh[[#This Row],[Month]], dropdown!$S$4:$T$15, 2, FALSE),"")</f>
        <v/>
      </c>
      <c r="N34" s="29"/>
      <c r="O34" s="17" t="str">
        <f>IF($K34="","",VLOOKUP($K34,dropdown!$P$14:$Q$18,2,FALSE))</f>
        <v/>
      </c>
      <c r="P34" s="29"/>
      <c r="Q34" s="17" t="str">
        <f t="shared" si="4"/>
        <v/>
      </c>
      <c r="R34" s="199"/>
    </row>
    <row r="35" spans="9:18" x14ac:dyDescent="0.2">
      <c r="I35" s="194" t="str">
        <f t="shared" si="3"/>
        <v/>
      </c>
      <c r="J35" s="57"/>
      <c r="K35" s="57"/>
      <c r="L35" s="58"/>
      <c r="M35" s="18" t="str">
        <f>IF(Fuel_Veh[[#This Row],[Month]]&lt;&gt;"",VLOOKUP(Fuel_Veh[[#This Row],[Month]], dropdown!$S$4:$T$15, 2, FALSE),"")</f>
        <v/>
      </c>
      <c r="N35" s="29"/>
      <c r="O35" s="17" t="str">
        <f>IF($K35="","",VLOOKUP($K35,dropdown!$P$14:$Q$18,2,FALSE))</f>
        <v/>
      </c>
      <c r="P35" s="29"/>
      <c r="Q35" s="17" t="str">
        <f t="shared" si="4"/>
        <v/>
      </c>
      <c r="R35" s="199"/>
    </row>
    <row r="36" spans="9:18" x14ac:dyDescent="0.2">
      <c r="I36" s="194" t="str">
        <f t="shared" si="3"/>
        <v/>
      </c>
      <c r="J36" s="57"/>
      <c r="K36" s="57"/>
      <c r="L36" s="58"/>
      <c r="M36" s="18" t="str">
        <f>IF(Fuel_Veh[[#This Row],[Month]]&lt;&gt;"",VLOOKUP(Fuel_Veh[[#This Row],[Month]], dropdown!$S$4:$T$15, 2, FALSE),"")</f>
        <v/>
      </c>
      <c r="N36" s="29"/>
      <c r="O36" s="17" t="str">
        <f>IF($K36="","",VLOOKUP($K36,dropdown!$P$14:$Q$18,2,FALSE))</f>
        <v/>
      </c>
      <c r="P36" s="29"/>
      <c r="Q36" s="17" t="str">
        <f t="shared" si="4"/>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4"/>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4"/>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4"/>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4"/>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4"/>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4"/>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5">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5"/>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5"/>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5"/>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5"/>
        <v/>
      </c>
      <c r="R75" s="199"/>
    </row>
    <row r="76" spans="9:18" x14ac:dyDescent="0.2">
      <c r="I76" s="194" t="str">
        <f t="shared" ref="I76:I77" si="6">IF($J76="","",$I75+1)</f>
        <v/>
      </c>
      <c r="J76" s="57"/>
      <c r="K76" s="57"/>
      <c r="L76" s="58"/>
      <c r="M76" s="18" t="str">
        <f>IF(Fuel_Veh[[#This Row],[Month]]&lt;&gt;"",VLOOKUP(Fuel_Veh[[#This Row],[Month]], dropdown!$S$4:$T$15, 2, FALSE),"")</f>
        <v/>
      </c>
      <c r="N76" s="29"/>
      <c r="O76" s="17" t="str">
        <f>IF($K76="","",VLOOKUP($K76,dropdown!$P$14:$Q$18,2,FALSE))</f>
        <v/>
      </c>
      <c r="P76" s="29"/>
      <c r="Q76" s="17" t="str">
        <f t="shared" si="5"/>
        <v/>
      </c>
      <c r="R76" s="199"/>
    </row>
    <row r="77" spans="9:18" x14ac:dyDescent="0.2">
      <c r="I77" s="194" t="str">
        <f t="shared" si="6"/>
        <v/>
      </c>
      <c r="J77" s="57"/>
      <c r="K77" s="57"/>
      <c r="L77" s="58"/>
      <c r="M77" s="18" t="str">
        <f>IF(Fuel_Veh[[#This Row],[Month]]&lt;&gt;"",VLOOKUP(Fuel_Veh[[#This Row],[Month]], dropdown!$S$4:$T$15, 2, FALSE),"")</f>
        <v/>
      </c>
      <c r="N77" s="29"/>
      <c r="O77" s="17" t="str">
        <f>IF($K77="","",VLOOKUP($K77,dropdown!$P$14:$Q$18,2,FALSE))</f>
        <v/>
      </c>
      <c r="P77" s="29"/>
      <c r="Q77" s="17" t="str">
        <f t="shared" si="5"/>
        <v/>
      </c>
      <c r="R77" s="199"/>
    </row>
    <row r="78" spans="9:18" x14ac:dyDescent="0.2">
      <c r="I78" s="194" t="str">
        <f t="shared" ref="I78:I85" si="7">IF($J78="","",$I77+1)</f>
        <v/>
      </c>
      <c r="J78" s="57"/>
      <c r="K78" s="57"/>
      <c r="L78" s="58"/>
      <c r="M78" s="18" t="str">
        <f>IF(Fuel_Veh[[#This Row],[Month]]&lt;&gt;"",VLOOKUP(Fuel_Veh[[#This Row],[Month]], dropdown!$S$4:$T$15, 2, FALSE),"")</f>
        <v/>
      </c>
      <c r="N78" s="29"/>
      <c r="O78" s="17" t="str">
        <f>IF($K78="","",VLOOKUP($K78,dropdown!$P$14:$Q$18,2,FALSE))</f>
        <v/>
      </c>
      <c r="P78" s="29"/>
      <c r="Q78" s="17" t="str">
        <f t="shared" si="5"/>
        <v/>
      </c>
      <c r="R78" s="199"/>
    </row>
    <row r="79" spans="9:18" x14ac:dyDescent="0.2">
      <c r="I79" s="194" t="str">
        <f t="shared" si="7"/>
        <v/>
      </c>
      <c r="J79" s="57"/>
      <c r="K79" s="57"/>
      <c r="L79" s="58"/>
      <c r="M79" s="18" t="str">
        <f>IF(Fuel_Veh[[#This Row],[Month]]&lt;&gt;"",VLOOKUP(Fuel_Veh[[#This Row],[Month]], dropdown!$S$4:$T$15, 2, FALSE),"")</f>
        <v/>
      </c>
      <c r="N79" s="29"/>
      <c r="O79" s="17" t="str">
        <f>IF($K79="","",VLOOKUP($K79,dropdown!$P$14:$Q$18,2,FALSE))</f>
        <v/>
      </c>
      <c r="P79" s="29"/>
      <c r="Q79" s="17" t="str">
        <f t="shared" si="5"/>
        <v/>
      </c>
      <c r="R79" s="199"/>
    </row>
    <row r="80" spans="9:18" x14ac:dyDescent="0.2">
      <c r="I80" s="194" t="str">
        <f t="shared" si="7"/>
        <v/>
      </c>
      <c r="J80" s="57"/>
      <c r="K80" s="57"/>
      <c r="L80" s="58"/>
      <c r="M80" s="18" t="str">
        <f>IF(Fuel_Veh[[#This Row],[Month]]&lt;&gt;"",VLOOKUP(Fuel_Veh[[#This Row],[Month]], dropdown!$S$4:$T$15, 2, FALSE),"")</f>
        <v/>
      </c>
      <c r="N80" s="29"/>
      <c r="O80" s="17" t="str">
        <f>IF($K80="","",VLOOKUP($K80,dropdown!$P$14:$Q$18,2,FALSE))</f>
        <v/>
      </c>
      <c r="P80" s="29"/>
      <c r="Q80" s="17" t="str">
        <f t="shared" si="5"/>
        <v/>
      </c>
      <c r="R80" s="199"/>
    </row>
    <row r="81" spans="9:18" x14ac:dyDescent="0.2">
      <c r="I81" s="194" t="str">
        <f t="shared" si="7"/>
        <v/>
      </c>
      <c r="J81" s="57"/>
      <c r="K81" s="57"/>
      <c r="L81" s="58"/>
      <c r="M81" s="18" t="str">
        <f>IF(Fuel_Veh[[#This Row],[Month]]&lt;&gt;"",VLOOKUP(Fuel_Veh[[#This Row],[Month]], dropdown!$S$4:$T$15, 2, FALSE),"")</f>
        <v/>
      </c>
      <c r="N81" s="29"/>
      <c r="O81" s="17" t="str">
        <f>IF($K81="","",VLOOKUP($K81,dropdown!$P$14:$Q$18,2,FALSE))</f>
        <v/>
      </c>
      <c r="P81" s="29"/>
      <c r="Q81" s="17" t="str">
        <f t="shared" si="5"/>
        <v/>
      </c>
      <c r="R81" s="199"/>
    </row>
    <row r="82" spans="9:18" x14ac:dyDescent="0.2">
      <c r="I82" s="194" t="str">
        <f t="shared" si="7"/>
        <v/>
      </c>
      <c r="J82" s="57"/>
      <c r="K82" s="57"/>
      <c r="L82" s="58"/>
      <c r="M82" s="18" t="str">
        <f>IF(Fuel_Veh[[#This Row],[Month]]&lt;&gt;"",VLOOKUP(Fuel_Veh[[#This Row],[Month]], dropdown!$S$4:$T$15, 2, FALSE),"")</f>
        <v/>
      </c>
      <c r="N82" s="29"/>
      <c r="O82" s="17" t="str">
        <f>IF($K82="","",VLOOKUP($K82,dropdown!$P$14:$Q$18,2,FALSE))</f>
        <v/>
      </c>
      <c r="P82" s="29"/>
      <c r="Q82" s="17" t="str">
        <f t="shared" si="5"/>
        <v/>
      </c>
      <c r="R82" s="199"/>
    </row>
    <row r="83" spans="9:18" x14ac:dyDescent="0.2">
      <c r="I83" s="194" t="str">
        <f t="shared" si="7"/>
        <v/>
      </c>
      <c r="J83" s="57"/>
      <c r="K83" s="57"/>
      <c r="L83" s="58"/>
      <c r="M83" s="18" t="str">
        <f>IF(Fuel_Veh[[#This Row],[Month]]&lt;&gt;"",VLOOKUP(Fuel_Veh[[#This Row],[Month]], dropdown!$S$4:$T$15, 2, FALSE),"")</f>
        <v/>
      </c>
      <c r="N83" s="29"/>
      <c r="O83" s="17" t="str">
        <f>IF($K83="","",VLOOKUP($K83,dropdown!$P$14:$Q$18,2,FALSE))</f>
        <v/>
      </c>
      <c r="P83" s="29"/>
      <c r="Q83" s="17" t="str">
        <f t="shared" si="5"/>
        <v/>
      </c>
      <c r="R83" s="199"/>
    </row>
    <row r="84" spans="9:18" x14ac:dyDescent="0.2">
      <c r="I84" s="194" t="str">
        <f t="shared" si="7"/>
        <v/>
      </c>
      <c r="J84" s="57"/>
      <c r="K84" s="57"/>
      <c r="L84" s="58"/>
      <c r="M84" s="18" t="str">
        <f>IF(Fuel_Veh[[#This Row],[Month]]&lt;&gt;"",VLOOKUP(Fuel_Veh[[#This Row],[Month]], dropdown!$S$4:$T$15, 2, FALSE),"")</f>
        <v/>
      </c>
      <c r="N84" s="29"/>
      <c r="O84" s="17" t="str">
        <f>IF($K84="","",VLOOKUP($K84,dropdown!$P$14:$Q$18,2,FALSE))</f>
        <v/>
      </c>
      <c r="P84" s="29"/>
      <c r="Q84" s="17" t="str">
        <f t="shared" si="5"/>
        <v/>
      </c>
      <c r="R84" s="199"/>
    </row>
    <row r="85" spans="9:18" x14ac:dyDescent="0.2">
      <c r="I85" s="194" t="str">
        <f t="shared" si="7"/>
        <v/>
      </c>
      <c r="J85" s="57"/>
      <c r="K85" s="57"/>
      <c r="L85" s="58"/>
      <c r="M85" s="18" t="str">
        <f>IF(Fuel_Veh[[#This Row],[Month]]&lt;&gt;"",VLOOKUP(Fuel_Veh[[#This Row],[Month]], dropdown!$S$4:$T$15, 2, FALSE),"")</f>
        <v/>
      </c>
      <c r="N85" s="29"/>
      <c r="O85" s="17" t="str">
        <f>IF($K85="","",VLOOKUP($K85,dropdown!$P$14:$Q$18,2,FALSE))</f>
        <v/>
      </c>
      <c r="P85" s="29"/>
      <c r="Q85" s="17" t="str">
        <f t="shared" si="5"/>
        <v/>
      </c>
      <c r="R85" s="199"/>
    </row>
    <row r="86" spans="9:18" x14ac:dyDescent="0.2">
      <c r="I86" s="194" t="str">
        <f t="shared" ref="I86:I106" si="8">IF($J86="","",$I85+1)</f>
        <v/>
      </c>
      <c r="J86" s="57"/>
      <c r="K86" s="57"/>
      <c r="L86" s="58"/>
      <c r="M86" s="18" t="str">
        <f>IF(Fuel_Veh[[#This Row],[Month]]&lt;&gt;"",VLOOKUP(Fuel_Veh[[#This Row],[Month]], dropdown!$S$4:$T$15, 2, FALSE),"")</f>
        <v/>
      </c>
      <c r="N86" s="29"/>
      <c r="O86" s="17" t="str">
        <f>IF($K86="","",VLOOKUP($K86,dropdown!$P$14:$Q$18,2,FALSE))</f>
        <v/>
      </c>
      <c r="P86" s="29"/>
      <c r="Q86" s="17" t="str">
        <f t="shared" si="5"/>
        <v/>
      </c>
      <c r="R86" s="199"/>
    </row>
    <row r="87" spans="9:18" x14ac:dyDescent="0.2">
      <c r="I87" s="194" t="str">
        <f t="shared" si="8"/>
        <v/>
      </c>
      <c r="J87" s="57"/>
      <c r="K87" s="57"/>
      <c r="L87" s="58"/>
      <c r="M87" s="18" t="str">
        <f>IF(Fuel_Veh[[#This Row],[Month]]&lt;&gt;"",VLOOKUP(Fuel_Veh[[#This Row],[Month]], dropdown!$S$4:$T$15, 2, FALSE),"")</f>
        <v/>
      </c>
      <c r="N87" s="29"/>
      <c r="O87" s="17" t="str">
        <f>IF($K87="","",VLOOKUP($K87,dropdown!$P$14:$Q$18,2,FALSE))</f>
        <v/>
      </c>
      <c r="P87" s="29"/>
      <c r="Q87" s="17" t="str">
        <f t="shared" si="5"/>
        <v/>
      </c>
      <c r="R87" s="199"/>
    </row>
    <row r="88" spans="9:18" x14ac:dyDescent="0.2">
      <c r="I88" s="194" t="str">
        <f t="shared" si="8"/>
        <v/>
      </c>
      <c r="J88" s="57"/>
      <c r="K88" s="57"/>
      <c r="L88" s="58"/>
      <c r="M88" s="18" t="str">
        <f>IF(Fuel_Veh[[#This Row],[Month]]&lt;&gt;"",VLOOKUP(Fuel_Veh[[#This Row],[Month]], dropdown!$S$4:$T$15, 2, FALSE),"")</f>
        <v/>
      </c>
      <c r="N88" s="29"/>
      <c r="O88" s="17" t="str">
        <f>IF($K88="","",VLOOKUP($K88,dropdown!$P$14:$Q$18,2,FALSE))</f>
        <v/>
      </c>
      <c r="P88" s="29"/>
      <c r="Q88" s="17" t="str">
        <f t="shared" si="5"/>
        <v/>
      </c>
      <c r="R88" s="199"/>
    </row>
    <row r="89" spans="9:18" x14ac:dyDescent="0.2">
      <c r="I89" s="194" t="str">
        <f t="shared" si="8"/>
        <v/>
      </c>
      <c r="J89" s="57"/>
      <c r="K89" s="57"/>
      <c r="L89" s="58"/>
      <c r="M89" s="18" t="str">
        <f>IF(Fuel_Veh[[#This Row],[Month]]&lt;&gt;"",VLOOKUP(Fuel_Veh[[#This Row],[Month]], dropdown!$S$4:$T$15, 2, FALSE),"")</f>
        <v/>
      </c>
      <c r="N89" s="29"/>
      <c r="O89" s="17" t="str">
        <f>IF($K89="","",VLOOKUP($K89,dropdown!$P$14:$Q$18,2,FALSE))</f>
        <v/>
      </c>
      <c r="P89" s="29"/>
      <c r="Q89" s="17" t="str">
        <f t="shared" si="5"/>
        <v/>
      </c>
      <c r="R89" s="199"/>
    </row>
    <row r="90" spans="9:18" x14ac:dyDescent="0.2">
      <c r="I90" s="194" t="str">
        <f t="shared" si="8"/>
        <v/>
      </c>
      <c r="J90" s="57"/>
      <c r="K90" s="57"/>
      <c r="L90" s="58"/>
      <c r="M90" s="18" t="str">
        <f>IF(Fuel_Veh[[#This Row],[Month]]&lt;&gt;"",VLOOKUP(Fuel_Veh[[#This Row],[Month]], dropdown!$S$4:$T$15, 2, FALSE),"")</f>
        <v/>
      </c>
      <c r="N90" s="29"/>
      <c r="O90" s="17" t="str">
        <f>IF($K90="","",VLOOKUP($K90,dropdown!$P$14:$Q$18,2,FALSE))</f>
        <v/>
      </c>
      <c r="P90" s="29"/>
      <c r="Q90" s="17" t="str">
        <f t="shared" si="5"/>
        <v/>
      </c>
      <c r="R90" s="199"/>
    </row>
    <row r="91" spans="9:18" x14ac:dyDescent="0.2">
      <c r="I91" s="194" t="str">
        <f t="shared" si="8"/>
        <v/>
      </c>
      <c r="J91" s="57"/>
      <c r="K91" s="57"/>
      <c r="L91" s="58"/>
      <c r="M91" s="18" t="str">
        <f>IF(Fuel_Veh[[#This Row],[Month]]&lt;&gt;"",VLOOKUP(Fuel_Veh[[#This Row],[Month]], dropdown!$S$4:$T$15, 2, FALSE),"")</f>
        <v/>
      </c>
      <c r="N91" s="29"/>
      <c r="O91" s="17" t="str">
        <f>IF($K91="","",VLOOKUP($K91,dropdown!$P$14:$Q$18,2,FALSE))</f>
        <v/>
      </c>
      <c r="P91" s="29"/>
      <c r="Q91" s="17" t="str">
        <f t="shared" si="5"/>
        <v/>
      </c>
      <c r="R91" s="199"/>
    </row>
    <row r="92" spans="9:18" x14ac:dyDescent="0.2">
      <c r="I92" s="194" t="str">
        <f t="shared" si="8"/>
        <v/>
      </c>
      <c r="J92" s="57"/>
      <c r="K92" s="57"/>
      <c r="L92" s="58"/>
      <c r="M92" s="18" t="str">
        <f>IF(Fuel_Veh[[#This Row],[Month]]&lt;&gt;"",VLOOKUP(Fuel_Veh[[#This Row],[Month]], dropdown!$S$4:$T$15, 2, FALSE),"")</f>
        <v/>
      </c>
      <c r="N92" s="29"/>
      <c r="O92" s="17" t="str">
        <f>IF($K92="","",VLOOKUP($K92,dropdown!$P$14:$Q$18,2,FALSE))</f>
        <v/>
      </c>
      <c r="P92" s="29"/>
      <c r="Q92" s="17" t="str">
        <f t="shared" si="5"/>
        <v/>
      </c>
      <c r="R92" s="199"/>
    </row>
    <row r="93" spans="9:18" x14ac:dyDescent="0.2">
      <c r="I93" s="194" t="str">
        <f t="shared" si="8"/>
        <v/>
      </c>
      <c r="J93" s="57"/>
      <c r="K93" s="57"/>
      <c r="L93" s="58"/>
      <c r="M93" s="18" t="str">
        <f>IF(Fuel_Veh[[#This Row],[Month]]&lt;&gt;"",VLOOKUP(Fuel_Veh[[#This Row],[Month]], dropdown!$S$4:$T$15, 2, FALSE),"")</f>
        <v/>
      </c>
      <c r="N93" s="29"/>
      <c r="O93" s="17" t="str">
        <f>IF($K93="","",VLOOKUP($K93,dropdown!$P$14:$Q$18,2,FALSE))</f>
        <v/>
      </c>
      <c r="P93" s="29"/>
      <c r="Q93" s="17" t="str">
        <f t="shared" si="5"/>
        <v/>
      </c>
      <c r="R93" s="199"/>
    </row>
    <row r="94" spans="9:18" x14ac:dyDescent="0.2">
      <c r="I94" s="194" t="str">
        <f t="shared" si="8"/>
        <v/>
      </c>
      <c r="J94" s="57"/>
      <c r="K94" s="57"/>
      <c r="L94" s="58"/>
      <c r="M94" s="18" t="str">
        <f>IF(Fuel_Veh[[#This Row],[Month]]&lt;&gt;"",VLOOKUP(Fuel_Veh[[#This Row],[Month]], dropdown!$S$4:$T$15, 2, FALSE),"")</f>
        <v/>
      </c>
      <c r="N94" s="29"/>
      <c r="O94" s="17" t="str">
        <f>IF($K94="","",VLOOKUP($K94,dropdown!$P$14:$Q$18,2,FALSE))</f>
        <v/>
      </c>
      <c r="P94" s="29"/>
      <c r="Q94" s="17" t="str">
        <f t="shared" si="5"/>
        <v/>
      </c>
      <c r="R94" s="199"/>
    </row>
    <row r="95" spans="9:18" x14ac:dyDescent="0.2">
      <c r="I95" s="194" t="str">
        <f t="shared" si="8"/>
        <v/>
      </c>
      <c r="J95" s="57"/>
      <c r="K95" s="57"/>
      <c r="L95" s="58"/>
      <c r="M95" s="18" t="str">
        <f>IF(Fuel_Veh[[#This Row],[Month]]&lt;&gt;"",VLOOKUP(Fuel_Veh[[#This Row],[Month]], dropdown!$S$4:$T$15, 2, FALSE),"")</f>
        <v/>
      </c>
      <c r="N95" s="29"/>
      <c r="O95" s="17" t="str">
        <f>IF($K95="","",VLOOKUP($K95,dropdown!$P$14:$Q$18,2,FALSE))</f>
        <v/>
      </c>
      <c r="P95" s="29"/>
      <c r="Q95" s="17" t="str">
        <f t="shared" si="5"/>
        <v/>
      </c>
      <c r="R95" s="199"/>
    </row>
    <row r="96" spans="9:18" x14ac:dyDescent="0.2">
      <c r="I96" s="194" t="str">
        <f t="shared" si="8"/>
        <v/>
      </c>
      <c r="J96" s="57"/>
      <c r="K96" s="57"/>
      <c r="L96" s="58"/>
      <c r="M96" s="18" t="str">
        <f>IF(Fuel_Veh[[#This Row],[Month]]&lt;&gt;"",VLOOKUP(Fuel_Veh[[#This Row],[Month]], dropdown!$S$4:$T$15, 2, FALSE),"")</f>
        <v/>
      </c>
      <c r="N96" s="29"/>
      <c r="O96" s="17" t="str">
        <f>IF($K96="","",VLOOKUP($K96,dropdown!$P$14:$Q$18,2,FALSE))</f>
        <v/>
      </c>
      <c r="P96" s="29"/>
      <c r="Q96" s="17" t="str">
        <f t="shared" si="5"/>
        <v/>
      </c>
      <c r="R96" s="199"/>
    </row>
    <row r="97" spans="9:18" x14ac:dyDescent="0.2">
      <c r="I97" s="194" t="str">
        <f t="shared" si="8"/>
        <v/>
      </c>
      <c r="J97" s="57"/>
      <c r="K97" s="57"/>
      <c r="L97" s="58"/>
      <c r="M97" s="18" t="str">
        <f>IF(Fuel_Veh[[#This Row],[Month]]&lt;&gt;"",VLOOKUP(Fuel_Veh[[#This Row],[Month]], dropdown!$S$4:$T$15, 2, FALSE),"")</f>
        <v/>
      </c>
      <c r="N97" s="29"/>
      <c r="O97" s="17" t="str">
        <f>IF($K97="","",VLOOKUP($K97,dropdown!$P$14:$Q$18,2,FALSE))</f>
        <v/>
      </c>
      <c r="P97" s="29"/>
      <c r="Q97" s="17" t="str">
        <f t="shared" si="5"/>
        <v/>
      </c>
      <c r="R97" s="199"/>
    </row>
    <row r="98" spans="9:18" x14ac:dyDescent="0.2">
      <c r="I98" s="194" t="str">
        <f t="shared" si="8"/>
        <v/>
      </c>
      <c r="J98" s="57"/>
      <c r="K98" s="57"/>
      <c r="L98" s="58"/>
      <c r="M98" s="18" t="str">
        <f>IF(Fuel_Veh[[#This Row],[Month]]&lt;&gt;"",VLOOKUP(Fuel_Veh[[#This Row],[Month]], dropdown!$S$4:$T$15, 2, FALSE),"")</f>
        <v/>
      </c>
      <c r="N98" s="29"/>
      <c r="O98" s="17" t="str">
        <f>IF($K98="","",VLOOKUP($K98,dropdown!$P$14:$Q$18,2,FALSE))</f>
        <v/>
      </c>
      <c r="P98" s="29"/>
      <c r="Q98" s="17" t="str">
        <f t="shared" si="5"/>
        <v/>
      </c>
      <c r="R98" s="199"/>
    </row>
    <row r="99" spans="9:18" x14ac:dyDescent="0.2">
      <c r="I99" s="194" t="str">
        <f t="shared" si="8"/>
        <v/>
      </c>
      <c r="J99" s="57"/>
      <c r="K99" s="57"/>
      <c r="L99" s="58"/>
      <c r="M99" s="18" t="str">
        <f>IF(Fuel_Veh[[#This Row],[Month]]&lt;&gt;"",VLOOKUP(Fuel_Veh[[#This Row],[Month]], dropdown!$S$4:$T$15, 2, FALSE),"")</f>
        <v/>
      </c>
      <c r="N99" s="29"/>
      <c r="O99" s="17" t="str">
        <f>IF($K99="","",VLOOKUP($K99,dropdown!$P$14:$Q$18,2,FALSE))</f>
        <v/>
      </c>
      <c r="P99" s="29"/>
      <c r="Q99" s="17" t="str">
        <f t="shared" si="5"/>
        <v/>
      </c>
      <c r="R99" s="199"/>
    </row>
    <row r="100" spans="9:18" x14ac:dyDescent="0.2">
      <c r="I100" s="194" t="str">
        <f t="shared" si="8"/>
        <v/>
      </c>
      <c r="J100" s="57"/>
      <c r="K100" s="57"/>
      <c r="L100" s="58"/>
      <c r="M100" s="18" t="str">
        <f>IF(Fuel_Veh[[#This Row],[Month]]&lt;&gt;"",VLOOKUP(Fuel_Veh[[#This Row],[Month]], dropdown!$S$4:$T$15, 2, FALSE),"")</f>
        <v/>
      </c>
      <c r="N100" s="29"/>
      <c r="O100" s="17" t="str">
        <f>IF($K100="","",VLOOKUP($K100,dropdown!$P$14:$Q$18,2,FALSE))</f>
        <v/>
      </c>
      <c r="P100" s="29"/>
      <c r="Q100" s="17" t="str">
        <f t="shared" si="5"/>
        <v/>
      </c>
      <c r="R100" s="199"/>
    </row>
    <row r="101" spans="9:18" x14ac:dyDescent="0.2">
      <c r="I101" s="194" t="str">
        <f t="shared" si="8"/>
        <v/>
      </c>
      <c r="J101" s="57"/>
      <c r="K101" s="57"/>
      <c r="L101" s="58"/>
      <c r="M101" s="18" t="str">
        <f>IF(Fuel_Veh[[#This Row],[Month]]&lt;&gt;"",VLOOKUP(Fuel_Veh[[#This Row],[Month]], dropdown!$S$4:$T$15, 2, FALSE),"")</f>
        <v/>
      </c>
      <c r="N101" s="29"/>
      <c r="O101" s="17" t="str">
        <f>IF($K101="","",VLOOKUP($K101,dropdown!$P$14:$Q$18,2,FALSE))</f>
        <v/>
      </c>
      <c r="P101" s="29"/>
      <c r="Q101" s="17" t="str">
        <f t="shared" si="5"/>
        <v/>
      </c>
      <c r="R101" s="199"/>
    </row>
    <row r="102" spans="9:18" x14ac:dyDescent="0.2">
      <c r="I102" s="194" t="str">
        <f t="shared" si="8"/>
        <v/>
      </c>
      <c r="J102" s="57"/>
      <c r="K102" s="57"/>
      <c r="L102" s="58"/>
      <c r="M102" s="18" t="str">
        <f>IF(Fuel_Veh[[#This Row],[Month]]&lt;&gt;"",VLOOKUP(Fuel_Veh[[#This Row],[Month]], dropdown!$S$4:$T$15, 2, FALSE),"")</f>
        <v/>
      </c>
      <c r="N102" s="29"/>
      <c r="O102" s="17" t="str">
        <f>IF($K102="","",VLOOKUP($K102,dropdown!$P$14:$Q$18,2,FALSE))</f>
        <v/>
      </c>
      <c r="P102" s="29"/>
      <c r="Q102" s="17" t="str">
        <f t="shared" si="5"/>
        <v/>
      </c>
      <c r="R102" s="199"/>
    </row>
    <row r="103" spans="9:18" x14ac:dyDescent="0.2">
      <c r="I103" s="194" t="str">
        <f t="shared" si="8"/>
        <v/>
      </c>
      <c r="J103" s="57"/>
      <c r="K103" s="57"/>
      <c r="L103" s="58"/>
      <c r="M103" s="18" t="str">
        <f>IF(Fuel_Veh[[#This Row],[Month]]&lt;&gt;"",VLOOKUP(Fuel_Veh[[#This Row],[Month]], dropdown!$S$4:$T$15, 2, FALSE),"")</f>
        <v/>
      </c>
      <c r="N103" s="29"/>
      <c r="O103" s="17" t="str">
        <f>IF($K103="","",VLOOKUP($K103,dropdown!$P$14:$Q$18,2,FALSE))</f>
        <v/>
      </c>
      <c r="P103" s="29"/>
      <c r="Q103" s="17" t="str">
        <f t="shared" si="5"/>
        <v/>
      </c>
      <c r="R103" s="199"/>
    </row>
    <row r="104" spans="9:18" x14ac:dyDescent="0.2">
      <c r="I104" s="194" t="str">
        <f t="shared" si="8"/>
        <v/>
      </c>
      <c r="J104" s="57"/>
      <c r="K104" s="57"/>
      <c r="L104" s="58"/>
      <c r="M104" s="18" t="str">
        <f>IF(Fuel_Veh[[#This Row],[Month]]&lt;&gt;"",VLOOKUP(Fuel_Veh[[#This Row],[Month]], dropdown!$S$4:$T$15, 2, FALSE),"")</f>
        <v/>
      </c>
      <c r="N104" s="29"/>
      <c r="O104" s="17" t="str">
        <f>IF($K104="","",VLOOKUP($K104,dropdown!$P$14:$Q$18,2,FALSE))</f>
        <v/>
      </c>
      <c r="P104" s="29"/>
      <c r="Q104" s="17" t="str">
        <f t="shared" si="5"/>
        <v/>
      </c>
      <c r="R104" s="199"/>
    </row>
    <row r="105" spans="9:18" x14ac:dyDescent="0.2">
      <c r="I105" s="194" t="str">
        <f t="shared" si="8"/>
        <v/>
      </c>
      <c r="J105" s="57"/>
      <c r="K105" s="57"/>
      <c r="L105" s="58"/>
      <c r="M105" s="18" t="str">
        <f>IF(Fuel_Veh[[#This Row],[Month]]&lt;&gt;"",VLOOKUP(Fuel_Veh[[#This Row],[Month]], dropdown!$S$4:$T$15, 2, FALSE),"")</f>
        <v/>
      </c>
      <c r="N105" s="29"/>
      <c r="O105" s="17" t="str">
        <f>IF($K105="","",VLOOKUP($K105,dropdown!$P$14:$Q$18,2,FALSE))</f>
        <v/>
      </c>
      <c r="P105" s="29"/>
      <c r="Q105" s="17" t="str">
        <f t="shared" si="5"/>
        <v/>
      </c>
      <c r="R105" s="199"/>
    </row>
    <row r="106" spans="9:18" x14ac:dyDescent="0.2">
      <c r="I106" s="194" t="str">
        <f t="shared" si="8"/>
        <v/>
      </c>
      <c r="J106" s="57"/>
      <c r="K106" s="57"/>
      <c r="L106" s="58"/>
      <c r="M106" s="18" t="str">
        <f>IF(Fuel_Veh[[#This Row],[Month]]&lt;&gt;"",VLOOKUP(Fuel_Veh[[#This Row],[Month]], dropdown!$S$4:$T$15, 2, FALSE),"")</f>
        <v/>
      </c>
      <c r="N106" s="29"/>
      <c r="O106" s="17" t="str">
        <f>IF($K106="","",VLOOKUP($K106,dropdown!$P$14:$Q$18,2,FALSE))</f>
        <v/>
      </c>
      <c r="P106" s="29"/>
      <c r="Q106" s="17" t="str">
        <f t="shared" si="5"/>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42"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22"/>
  <sheetViews>
    <sheetView topLeftCell="L2" zoomScale="94" zoomScaleNormal="120" workbookViewId="0">
      <selection activeCell="M14" sqref="M14"/>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Puerto Princesa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8" t="s">
        <v>1431</v>
      </c>
      <c r="D6" s="449"/>
      <c r="E6" s="449"/>
      <c r="F6" s="449"/>
      <c r="G6" s="450"/>
      <c r="I6" s="298"/>
      <c r="J6" s="298"/>
      <c r="K6" s="298"/>
      <c r="L6" s="298"/>
      <c r="M6" s="298"/>
      <c r="N6" s="298"/>
      <c r="O6" s="298"/>
      <c r="P6" s="298"/>
      <c r="Q6" s="298"/>
      <c r="R6" s="298"/>
      <c r="S6" s="298"/>
      <c r="T6" s="298"/>
      <c r="U6" s="298"/>
      <c r="V6" s="298"/>
    </row>
    <row r="7" spans="2:31" ht="15" customHeight="1" x14ac:dyDescent="0.2">
      <c r="B7" s="278" t="s">
        <v>174</v>
      </c>
      <c r="C7" s="448"/>
      <c r="D7" s="449"/>
      <c r="E7" s="449"/>
      <c r="F7" s="449"/>
      <c r="G7" s="450"/>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e">
        <f>IF(#REF!="","",$I10+1)</f>
        <v>#REF!</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e">
        <f>IF(#REF!="","",$I11+1)</f>
        <v>#REF!</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e">
        <f>IF(#REF!="","",$I12+1)</f>
        <v>#REF!</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e">
        <f>IF(#REF!="","",$I13+1)</f>
        <v>#REF!</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59" t="s">
        <v>5</v>
      </c>
      <c r="D22" s="460"/>
      <c r="E22" s="459" t="s">
        <v>193</v>
      </c>
      <c r="F22" s="461"/>
      <c r="G22" s="46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IF($K11="","",$I32+1)</f>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IF($K12="","",$I44+1)</f>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IF($K13="","",$I57+1)</f>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IF($K14="","",$I71+1)</f>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ht="14" x14ac:dyDescent="0.2">
      <c r="I108" s="18"/>
      <c r="J108" s="435"/>
      <c r="K108" s="57"/>
      <c r="L108" s="28"/>
      <c r="N108" s="401"/>
      <c r="O108" s="398"/>
      <c r="P108" s="398"/>
      <c r="Q108" s="399"/>
      <c r="R108" s="399"/>
      <c r="S108" s="399"/>
      <c r="T108" s="399"/>
      <c r="U108" s="399"/>
      <c r="V108" s="430"/>
      <c r="W108" s="442"/>
      <c r="AB108" s="11"/>
      <c r="AE108" s="11"/>
    </row>
    <row r="109" spans="9:31" x14ac:dyDescent="0.2">
      <c r="I109" s="322" t="s">
        <v>178</v>
      </c>
    </row>
    <row r="118" spans="15:15" x14ac:dyDescent="0.2">
      <c r="O118" s="126" t="s">
        <v>362</v>
      </c>
    </row>
    <row r="119" spans="15:15" x14ac:dyDescent="0.2">
      <c r="O119" s="126" t="s">
        <v>362</v>
      </c>
    </row>
    <row r="120" spans="15:15" x14ac:dyDescent="0.2">
      <c r="O120" s="126" t="s">
        <v>362</v>
      </c>
    </row>
    <row r="121" spans="15:15" x14ac:dyDescent="0.2">
      <c r="O121" s="126" t="s">
        <v>362</v>
      </c>
    </row>
    <row r="122" spans="15:15" x14ac:dyDescent="0.2">
      <c r="O122" s="126" t="s">
        <v>362</v>
      </c>
    </row>
  </sheetData>
  <sheetProtection algorithmName="SHA-512" hashValue="Z4SC4wT/R7IezyvYFDS8lmDTJF7NSS/ihiyvFubXMpZXEG1EEOf7bX0vSvCvMdPTH/FBp19F0RnYF9iC09io7g==" saltValue="gMlyusgJ0kkCeHxlu4Cf7A==" spinCount="100000" sheet="1" objects="1" scenarios="1" selectLockedCells="1"/>
  <protectedRanges>
    <protectedRange sqref="O8:U107 L8:N9 L11:N11 L16:N32 J8:K11 J34:N44 J12:N14 J46:N57 J15:K32 J59:N71 J73:N107 W11 W8:W10 W12:W20 W22:W32 W34: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phoneticPr fontId="40" type="noConversion"/>
  <conditionalFormatting sqref="O9 O16:O18 O25:O32 O34:O44 O46:O57 O59:O71 O73:O107">
    <cfRule type="expression" dxfId="41" priority="6">
      <formula>$N9="New installation"</formula>
    </cfRule>
  </conditionalFormatting>
  <conditionalFormatting sqref="P9 P16:P18 P25:P32 P34:P44 P46:P57 P59:P71 P73:P107">
    <cfRule type="expression" dxfId="40" priority="5">
      <formula>$N9="New installation"</formula>
    </cfRule>
  </conditionalFormatting>
  <conditionalFormatting sqref="Q9 Q16:Q18 Q25:Q32 Q34:Q44 Q46:Q57 Q59:Q71 Q73:Q107">
    <cfRule type="expression" dxfId="39" priority="4">
      <formula>$N9="In operation"</formula>
    </cfRule>
  </conditionalFormatting>
  <conditionalFormatting sqref="R9 R16:R18 R25:R32 R34:R44 R46:R57 R59:R71 R73:R107">
    <cfRule type="expression" dxfId="38" priority="3">
      <formula>$N9="In operation"</formula>
    </cfRule>
  </conditionalFormatting>
  <conditionalFormatting sqref="S9 S16:S18 S25:S32 S34:S44 S46:S57 S59:S71 S73:S107">
    <cfRule type="expression" dxfId="37" priority="2">
      <formula>$N9="Disposed"</formula>
    </cfRule>
  </conditionalFormatting>
  <conditionalFormatting sqref="T9:U9 T16:U18 T25:U32 T34:U44 T46:U57 T59:U71 T73:U107">
    <cfRule type="expression" dxfId="36" priority="1">
      <formula>$N9="Disposed"</formula>
    </cfRule>
  </conditionalFormatting>
  <conditionalFormatting sqref="O10:O15">
    <cfRule type="expression" dxfId="35" priority="8">
      <formula>$N19="New installation"</formula>
    </cfRule>
  </conditionalFormatting>
  <conditionalFormatting sqref="O19:O24">
    <cfRule type="expression" dxfId="34" priority="9">
      <formula>#REF!="New installation"</formula>
    </cfRule>
  </conditionalFormatting>
  <conditionalFormatting sqref="P10:P15">
    <cfRule type="expression" dxfId="33" priority="11">
      <formula>$N19="New installation"</formula>
    </cfRule>
  </conditionalFormatting>
  <conditionalFormatting sqref="P19:P24">
    <cfRule type="expression" dxfId="32" priority="12">
      <formula>#REF!="New installation"</formula>
    </cfRule>
  </conditionalFormatting>
  <conditionalFormatting sqref="Q10:Q15">
    <cfRule type="expression" dxfId="31" priority="14">
      <formula>$N19="In operation"</formula>
    </cfRule>
  </conditionalFormatting>
  <conditionalFormatting sqref="Q19:Q24">
    <cfRule type="expression" dxfId="30" priority="15">
      <formula>#REF!="In operation"</formula>
    </cfRule>
  </conditionalFormatting>
  <conditionalFormatting sqref="R10:R15">
    <cfRule type="expression" dxfId="29" priority="17">
      <formula>$N19="In operation"</formula>
    </cfRule>
  </conditionalFormatting>
  <conditionalFormatting sqref="R19:R24">
    <cfRule type="expression" dxfId="28" priority="18">
      <formula>#REF!="In operation"</formula>
    </cfRule>
  </conditionalFormatting>
  <conditionalFormatting sqref="S10:S15">
    <cfRule type="expression" dxfId="27" priority="20">
      <formula>$N19="Disposed"</formula>
    </cfRule>
  </conditionalFormatting>
  <conditionalFormatting sqref="S19:S24">
    <cfRule type="expression" dxfId="26" priority="21">
      <formula>#REF!="Disposed"</formula>
    </cfRule>
  </conditionalFormatting>
  <conditionalFormatting sqref="T10:U15">
    <cfRule type="expression" dxfId="25" priority="23">
      <formula>$N19="Disposed"</formula>
    </cfRule>
  </conditionalFormatting>
  <conditionalFormatting sqref="T19:U24">
    <cfRule type="expression" dxfId="24" priority="24">
      <formula>#REF!="Disposed"</formula>
    </cfRule>
  </conditionalFormatting>
  <conditionalFormatting sqref="O33">
    <cfRule type="expression" dxfId="23" priority="26">
      <formula>$N11="New installation"</formula>
    </cfRule>
  </conditionalFormatting>
  <conditionalFormatting sqref="P33">
    <cfRule type="expression" dxfId="22" priority="28">
      <formula>$N11="New installation"</formula>
    </cfRule>
  </conditionalFormatting>
  <conditionalFormatting sqref="Q33">
    <cfRule type="expression" dxfId="21" priority="30">
      <formula>$N11="In operation"</formula>
    </cfRule>
  </conditionalFormatting>
  <conditionalFormatting sqref="R33">
    <cfRule type="expression" dxfId="20" priority="32">
      <formula>$N11="In operation"</formula>
    </cfRule>
  </conditionalFormatting>
  <conditionalFormatting sqref="S33">
    <cfRule type="expression" dxfId="19" priority="34">
      <formula>$N11="Disposed"</formula>
    </cfRule>
  </conditionalFormatting>
  <conditionalFormatting sqref="T33:U33">
    <cfRule type="expression" dxfId="18" priority="36">
      <formula>$N11="Disposed"</formula>
    </cfRule>
  </conditionalFormatting>
  <conditionalFormatting sqref="O45">
    <cfRule type="expression" dxfId="17" priority="38">
      <formula>$N12="New installation"</formula>
    </cfRule>
  </conditionalFormatting>
  <conditionalFormatting sqref="P45">
    <cfRule type="expression" dxfId="16" priority="40">
      <formula>$N12="New installation"</formula>
    </cfRule>
  </conditionalFormatting>
  <conditionalFormatting sqref="Q45">
    <cfRule type="expression" dxfId="15" priority="42">
      <formula>$N12="In operation"</formula>
    </cfRule>
  </conditionalFormatting>
  <conditionalFormatting sqref="R45">
    <cfRule type="expression" dxfId="14" priority="44">
      <formula>$N12="In operation"</formula>
    </cfRule>
  </conditionalFormatting>
  <conditionalFormatting sqref="S45">
    <cfRule type="expression" dxfId="13" priority="46">
      <formula>$N12="Disposed"</formula>
    </cfRule>
  </conditionalFormatting>
  <conditionalFormatting sqref="T45:U45">
    <cfRule type="expression" dxfId="12" priority="48">
      <formula>$N12="Disposed"</formula>
    </cfRule>
  </conditionalFormatting>
  <conditionalFormatting sqref="O58">
    <cfRule type="expression" dxfId="11" priority="50">
      <formula>$N13="New installation"</formula>
    </cfRule>
  </conditionalFormatting>
  <conditionalFormatting sqref="P58">
    <cfRule type="expression" dxfId="10" priority="52">
      <formula>$N13="New installation"</formula>
    </cfRule>
  </conditionalFormatting>
  <conditionalFormatting sqref="Q58">
    <cfRule type="expression" dxfId="9" priority="54">
      <formula>$N13="In operation"</formula>
    </cfRule>
  </conditionalFormatting>
  <conditionalFormatting sqref="R58">
    <cfRule type="expression" dxfId="8" priority="56">
      <formula>$N13="In operation"</formula>
    </cfRule>
  </conditionalFormatting>
  <conditionalFormatting sqref="S58">
    <cfRule type="expression" dxfId="7" priority="58">
      <formula>$N13="Disposed"</formula>
    </cfRule>
  </conditionalFormatting>
  <conditionalFormatting sqref="T58:U58">
    <cfRule type="expression" dxfId="6" priority="60">
      <formula>$N13="Disposed"</formula>
    </cfRule>
  </conditionalFormatting>
  <conditionalFormatting sqref="O72">
    <cfRule type="expression" dxfId="5" priority="62">
      <formula>$N14="New installation"</formula>
    </cfRule>
  </conditionalFormatting>
  <conditionalFormatting sqref="P72">
    <cfRule type="expression" dxfId="4" priority="64">
      <formula>$N14="New installation"</formula>
    </cfRule>
  </conditionalFormatting>
  <conditionalFormatting sqref="Q72">
    <cfRule type="expression" dxfId="3" priority="66">
      <formula>$N14="In operation"</formula>
    </cfRule>
  </conditionalFormatting>
  <conditionalFormatting sqref="R72">
    <cfRule type="expression" dxfId="2" priority="68">
      <formula>$N14="In operation"</formula>
    </cfRule>
  </conditionalFormatting>
  <conditionalFormatting sqref="S72">
    <cfRule type="expression" dxfId="1" priority="70">
      <formula>$N14="Disposed"</formula>
    </cfRule>
  </conditionalFormatting>
  <conditionalFormatting sqref="T72:U72">
    <cfRule type="expression" dxfId="0" priority="72">
      <formula>$N14="Disposed"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5F73F391-9616-7B40-A2FD-96DBF90DCE8B}">
          <x14:formula1>
            <xm:f>dropdown!$S$4:$S$15</xm:f>
          </x14:formula1>
          <xm:sqref>O9:O108 Q9:Q108 S9:S108</xm:sqref>
        </x14:dataValidation>
        <x14:dataValidation type="list" allowBlank="1" showInputMessage="1" showErrorMessage="1" xr:uid="{4B3D50AA-7B2F-2C4D-B07F-5154DDDFB8B6}">
          <x14:formula1>
            <xm:f>dropdown!$AB$4:$AB$6</xm:f>
          </x14:formula1>
          <xm:sqref>N9 N16:N32 N34:N44 N46:N57 N11:N14 N59:N71 N73:N107</xm:sqref>
        </x14:dataValidation>
        <x14:dataValidation type="list" allowBlank="1" showInputMessage="1" showErrorMessage="1" xr:uid="{0E547278-C0B8-474A-8383-12D64FFFCDFD}">
          <x14:formula1>
            <xm:f>dropdown!$X$4:$X$9</xm:f>
          </x14:formula1>
          <xm:sqref>M9 M16:M32 M34:M44 M46:M57 M11:M14 M59:M71 M73:M107</xm:sqref>
        </x14:dataValidation>
        <x14:dataValidation type="list" allowBlank="1" showInputMessage="1" showErrorMessage="1" xr:uid="{076F2A91-9D2E-8B4D-A50B-67DF1A8C3984}">
          <x14:formula1>
            <xm:f>dropdown!$AM$4:$AM$8</xm:f>
          </x14:formula1>
          <xm:sqref>K34:K44 K46:K57 K9:K32 K59:K71 K73:K108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2" zoomScaleNormal="100" workbookViewId="0">
      <selection activeCell="M12" sqref="M1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Puerto Princesa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8" t="s">
        <v>1431</v>
      </c>
      <c r="D6" s="449"/>
      <c r="E6" s="449"/>
      <c r="F6" s="449"/>
      <c r="G6" s="450"/>
    </row>
    <row r="7" spans="2:17" ht="12.75" customHeight="1" x14ac:dyDescent="0.2">
      <c r="B7" s="278" t="s">
        <v>174</v>
      </c>
      <c r="C7" s="448"/>
      <c r="D7" s="449"/>
      <c r="E7" s="449"/>
      <c r="F7" s="449"/>
      <c r="G7" s="450"/>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21700</v>
      </c>
      <c r="M8" s="47">
        <v>325353.40000000002</v>
      </c>
      <c r="N8" s="165" t="s">
        <v>521</v>
      </c>
      <c r="O8" s="195"/>
      <c r="P8" s="48"/>
      <c r="Q8" s="20"/>
    </row>
    <row r="9" spans="2:17" x14ac:dyDescent="0.2">
      <c r="I9" s="194"/>
      <c r="J9" s="58" t="s">
        <v>89</v>
      </c>
      <c r="K9" s="426" t="str">
        <f>IF(Electricity[[#This Row],[Month]]&lt;&gt;"",VLOOKUP(Electricity[[#This Row],[Month]], dropdown!$S$4:$T$15, 2, FALSE),"")</f>
        <v>Q1</v>
      </c>
      <c r="L9" s="29">
        <v>18900</v>
      </c>
      <c r="M9" s="47">
        <v>274489.49</v>
      </c>
      <c r="N9" s="165" t="s">
        <v>521</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15400</v>
      </c>
      <c r="M10" s="47">
        <v>242487</v>
      </c>
      <c r="N10" s="165" t="s">
        <v>521</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21350</v>
      </c>
      <c r="M11" s="47">
        <v>349455.45</v>
      </c>
      <c r="N11" s="165" t="s">
        <v>521</v>
      </c>
      <c r="O11" s="195"/>
      <c r="P11" s="48"/>
      <c r="Q11" s="20"/>
    </row>
    <row r="12" spans="2:17" x14ac:dyDescent="0.2">
      <c r="B12" s="17" t="s">
        <v>207</v>
      </c>
      <c r="C12" s="17" t="s">
        <v>208</v>
      </c>
      <c r="D12" s="41">
        <f>SUMIFS(Electricity[Consumption (kWh)],Electricity[Quarter],D$11)</f>
        <v>56000</v>
      </c>
      <c r="E12" s="41">
        <f>SUMIFS(Electricity[Consumption (kWh)],Electricity[Quarter],E$11)</f>
        <v>61250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18550</v>
      </c>
      <c r="M12" s="47">
        <v>304365.74</v>
      </c>
      <c r="N12" s="165" t="s">
        <v>521</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21350</v>
      </c>
      <c r="M13" s="47">
        <v>337883.78</v>
      </c>
      <c r="N13" s="165" t="s">
        <v>521</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D1" zoomScaleNormal="142" workbookViewId="0">
      <selection activeCell="L7" sqref="L7:N12"/>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Puerto Princesa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8" t="s">
        <v>1431</v>
      </c>
      <c r="D6" s="449"/>
      <c r="E6" s="449"/>
      <c r="F6" s="449"/>
      <c r="G6" s="450"/>
      <c r="I6" s="248" t="s">
        <v>173</v>
      </c>
      <c r="J6" s="249" t="s">
        <v>39</v>
      </c>
      <c r="K6" s="249" t="s">
        <v>43</v>
      </c>
      <c r="L6" s="250" t="s">
        <v>115</v>
      </c>
      <c r="M6" s="352" t="s">
        <v>212</v>
      </c>
      <c r="N6" s="253" t="s">
        <v>54</v>
      </c>
      <c r="O6" s="349"/>
    </row>
    <row r="7" spans="2:16" x14ac:dyDescent="0.2">
      <c r="B7" s="278" t="s">
        <v>174</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honeticPr fontId="40" type="noConversion"/>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M20" sqref="M20"/>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Puerto Princesa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8" t="s">
        <v>1431</v>
      </c>
      <c r="D6" s="449"/>
      <c r="E6" s="449"/>
      <c r="F6" s="449"/>
      <c r="G6" s="450"/>
      <c r="I6" s="134" t="s">
        <v>120</v>
      </c>
      <c r="J6" s="65"/>
      <c r="K6" s="65"/>
      <c r="L6" s="65"/>
      <c r="M6" s="65"/>
      <c r="N6" s="66"/>
      <c r="P6" s="134" t="s">
        <v>128</v>
      </c>
      <c r="Q6" s="65"/>
      <c r="R6" s="65"/>
      <c r="S6" s="65"/>
      <c r="T6" s="66"/>
      <c r="U6" s="66"/>
      <c r="W6" s="20"/>
    </row>
    <row r="7" spans="2:23" ht="12.75" customHeight="1" x14ac:dyDescent="0.2">
      <c r="B7" s="278" t="s">
        <v>174</v>
      </c>
      <c r="C7" s="448"/>
      <c r="D7" s="449"/>
      <c r="E7" s="449"/>
      <c r="F7" s="449"/>
      <c r="G7" s="450"/>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41</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47</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22</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110</v>
      </c>
      <c r="E11" s="41">
        <f>SUMIFS(water_in[Volume (m3)],water_in[Quarter],E$10)</f>
        <v>147</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41</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43</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63</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Puerto Princesa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C7" zoomScaleNormal="100" workbookViewId="0">
      <selection activeCell="J18" sqref="J18"/>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Puerto Princesa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8" t="s">
        <v>1431</v>
      </c>
      <c r="D6" s="449"/>
      <c r="E6" s="449"/>
      <c r="F6" s="449"/>
      <c r="G6" s="450"/>
      <c r="I6" s="409" t="s">
        <v>282</v>
      </c>
      <c r="J6" s="407"/>
      <c r="K6" s="407"/>
      <c r="L6" s="407"/>
      <c r="M6" s="408"/>
      <c r="N6" s="407"/>
      <c r="O6" s="407"/>
      <c r="Q6" s="44"/>
    </row>
    <row r="7" spans="2:17" ht="25.5" customHeight="1" x14ac:dyDescent="0.2">
      <c r="B7" s="278" t="s">
        <v>174</v>
      </c>
      <c r="C7" s="448"/>
      <c r="D7" s="449"/>
      <c r="E7" s="449"/>
      <c r="F7" s="449"/>
      <c r="G7" s="450"/>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1950</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f>75*20+1600</f>
        <v>3100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f>85*25+1025</f>
        <v>3150</v>
      </c>
      <c r="N10" s="57" t="s">
        <v>313</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f>54*25+800</f>
        <v>2150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f>85*25+725</f>
        <v>2850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1000</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317</v>
      </c>
      <c r="M14" s="29">
        <f>4+56.7+67.3</f>
        <v>128</v>
      </c>
      <c r="N14" s="57" t="s">
        <v>364</v>
      </c>
      <c r="O14" s="195" t="s">
        <v>1578</v>
      </c>
      <c r="Q14" s="44"/>
    </row>
    <row r="15" spans="2:17" ht="15" customHeight="1" x14ac:dyDescent="0.2">
      <c r="B15" s="17" t="str">
        <f>dropdown!$B8</f>
        <v>Hazardous</v>
      </c>
      <c r="C15" s="17" t="s">
        <v>283</v>
      </c>
      <c r="D15" s="41">
        <f>SUMIFS(Waste[Weight (kg)],Waste[Quarter],D$10,Waste[Waste Composition],$B15)</f>
        <v>258</v>
      </c>
      <c r="E15" s="41">
        <f>SUMIFS(Waste[Weight (kg)],Waste[Quarter],E$10,Waste[Waste Composition],$B15)</f>
        <v>67</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317</v>
      </c>
      <c r="M15" s="29">
        <f>(0.015+0.115)*1000</f>
        <v>130</v>
      </c>
      <c r="N15" s="57" t="s">
        <v>364</v>
      </c>
      <c r="O15" s="195" t="s">
        <v>1578</v>
      </c>
    </row>
    <row r="16" spans="2:17" x14ac:dyDescent="0.2">
      <c r="B16" s="17" t="str">
        <f>dropdown!$B9</f>
        <v>Residual/Landfill</v>
      </c>
      <c r="C16" s="17" t="s">
        <v>283</v>
      </c>
      <c r="D16" s="41">
        <f>SUMIFS(Waste[Weight (kg)],Waste[Quarter],D$10,Waste[Waste Composition],$B16)</f>
        <v>8200</v>
      </c>
      <c r="E16" s="41">
        <f>SUMIFS(Waste[Weight (kg)],Waste[Quarter],E$10,Waste[Waste Composition],$B16)</f>
        <v>6000</v>
      </c>
      <c r="F16" s="41">
        <f>SUMIFS(Waste[Weight (kg)],Waste[Quarter],F$10,Waste[Waste Composition],$B16)</f>
        <v>0</v>
      </c>
      <c r="G16" s="41">
        <f>SUMIFS(Waste[Weight (kg)],Waste[Quarter],G$10,Waste[Waste Composition],$B16)</f>
        <v>0</v>
      </c>
      <c r="I16" s="194">
        <f t="shared" si="0"/>
        <v>9</v>
      </c>
      <c r="J16" s="58" t="s">
        <v>371</v>
      </c>
      <c r="K16" s="194" t="str">
        <f>IF(Waste[[#This Row],[Month]]&lt;&gt;"",VLOOKUP(Waste[[#This Row],[Month]], dropdown!$S$4:$T$15, 2, FALSE),"")</f>
        <v>Q2</v>
      </c>
      <c r="L16" s="57" t="s">
        <v>317</v>
      </c>
      <c r="M16" s="29">
        <v>14</v>
      </c>
      <c r="N16" s="57" t="s">
        <v>364</v>
      </c>
      <c r="O16" s="195" t="s">
        <v>1578</v>
      </c>
    </row>
    <row r="17" spans="2:15" x14ac:dyDescent="0.2">
      <c r="I17" s="194">
        <f t="shared" si="0"/>
        <v>10</v>
      </c>
      <c r="J17" s="58" t="s">
        <v>386</v>
      </c>
      <c r="K17" s="194" t="str">
        <f>IF(Waste[[#This Row],[Month]]&lt;&gt;"",VLOOKUP(Waste[[#This Row],[Month]], dropdown!$S$4:$T$15, 2, FALSE),"")</f>
        <v>Q2</v>
      </c>
      <c r="L17" s="57" t="s">
        <v>317</v>
      </c>
      <c r="M17" s="29">
        <f>11.5+24.5+17</f>
        <v>53</v>
      </c>
      <c r="N17" s="57" t="s">
        <v>364</v>
      </c>
      <c r="O17" s="195" t="s">
        <v>1578</v>
      </c>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Puerto Princesa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518</v>
      </c>
      <c r="G13" s="73" t="str">
        <f>'1. Data Info and Summary'!$D18</f>
        <v>Liters</v>
      </c>
      <c r="I13" s="76">
        <f>VLOOKUP($E13,Emission_Factors!$A$1:$G$20,5,FALSE)</f>
        <v>2.68</v>
      </c>
      <c r="J13" s="141">
        <f>F13*I13</f>
        <v>1388.24</v>
      </c>
      <c r="L13" s="73" t="s">
        <v>155</v>
      </c>
      <c r="M13" s="78">
        <f>SUM('2.3a Electricity'!$D$12:$G$12)</f>
        <v>117250</v>
      </c>
      <c r="N13" s="73" t="str">
        <f>'2.3a Electricity'!$C$12</f>
        <v>Kilowatt-hour</v>
      </c>
      <c r="P13" s="76">
        <f>VLOOKUP($L13,Emission_Factors!$A$1:$G$20,5,FALSE)</f>
        <v>0.56000000000000005</v>
      </c>
      <c r="Q13" s="141">
        <f>M13*P13</f>
        <v>65660</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1388.24</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1131.22</v>
      </c>
      <c r="G22" s="73" t="str">
        <f>'1. Data Info and Summary'!$D26</f>
        <v>Liters</v>
      </c>
      <c r="I22" s="76">
        <f>VLOOKUP($E22,Emission_Factors!$A$1:$G$20,5,FALSE)</f>
        <v>2.68</v>
      </c>
      <c r="J22" s="141">
        <f>F22*I22</f>
        <v>3031.6696000000002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3031.6696000000002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6.5"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190.24</v>
      </c>
      <c r="D33" s="337">
        <v>135.10000000000002</v>
      </c>
      <c r="E33" s="337">
        <v>325.34000000000003</v>
      </c>
      <c r="I33" s="20"/>
      <c r="J33" s="20"/>
      <c r="K33" s="21"/>
      <c r="L33" s="21"/>
      <c r="M33" s="22"/>
      <c r="N33" s="22"/>
      <c r="O33" s="11"/>
      <c r="P33" s="22"/>
      <c r="Q33" s="20"/>
      <c r="R33" s="20"/>
      <c r="S33" s="44"/>
    </row>
    <row r="34" spans="1:19" outlineLevel="1" x14ac:dyDescent="0.2">
      <c r="A34" s="203" t="s">
        <v>63</v>
      </c>
      <c r="B34" s="337"/>
      <c r="C34" s="337">
        <v>190.24</v>
      </c>
      <c r="D34" s="337">
        <v>135.10000000000002</v>
      </c>
      <c r="E34" s="337">
        <v>325.34000000000003</v>
      </c>
      <c r="I34" s="20"/>
      <c r="J34" s="20"/>
      <c r="K34" s="21"/>
      <c r="L34" s="21"/>
      <c r="M34" s="22"/>
      <c r="N34" s="22"/>
      <c r="O34" s="11"/>
      <c r="P34" s="22"/>
      <c r="Q34" s="20"/>
      <c r="R34" s="20"/>
      <c r="S34" s="44"/>
    </row>
    <row r="35" spans="1:19" outlineLevel="1" x14ac:dyDescent="0.2">
      <c r="A35" s="19" t="s">
        <v>365</v>
      </c>
      <c r="B35" s="337"/>
      <c r="C35" s="337">
        <v>297.78999999999996</v>
      </c>
      <c r="D35" s="337">
        <v>409.43</v>
      </c>
      <c r="E35" s="337">
        <v>707.22</v>
      </c>
      <c r="I35" s="20"/>
      <c r="J35" s="20"/>
      <c r="K35" s="21"/>
      <c r="L35" s="21"/>
      <c r="M35" s="22"/>
      <c r="N35" s="22"/>
      <c r="O35" s="11"/>
      <c r="P35" s="22"/>
      <c r="Q35" s="20"/>
      <c r="R35" s="20"/>
      <c r="S35" s="44"/>
    </row>
    <row r="36" spans="1:19" outlineLevel="1" x14ac:dyDescent="0.2">
      <c r="A36" s="203" t="s">
        <v>63</v>
      </c>
      <c r="B36" s="337"/>
      <c r="C36" s="337">
        <v>297.78999999999996</v>
      </c>
      <c r="D36" s="337">
        <v>409.43</v>
      </c>
      <c r="E36" s="337">
        <v>707.22</v>
      </c>
      <c r="H36" s="12"/>
      <c r="I36" s="20"/>
      <c r="J36" s="20"/>
      <c r="K36" s="21"/>
      <c r="L36" s="21"/>
      <c r="M36" s="22"/>
      <c r="N36" s="22"/>
      <c r="O36" s="11"/>
      <c r="P36" s="22"/>
      <c r="Q36" s="20"/>
      <c r="R36" s="20"/>
      <c r="S36" s="44"/>
    </row>
    <row r="37" spans="1:19" outlineLevel="1" x14ac:dyDescent="0.2">
      <c r="A37" s="19" t="s">
        <v>381</v>
      </c>
      <c r="B37" s="337"/>
      <c r="C37" s="337">
        <v>56.870000000000005</v>
      </c>
      <c r="D37" s="337">
        <v>41.79</v>
      </c>
      <c r="E37" s="337">
        <v>98.66</v>
      </c>
      <c r="H37" s="12"/>
      <c r="I37" s="20"/>
      <c r="J37" s="20"/>
      <c r="K37" s="21"/>
      <c r="L37" s="21"/>
      <c r="M37" s="22"/>
      <c r="N37" s="22"/>
      <c r="O37" s="11"/>
      <c r="P37" s="22"/>
      <c r="Q37" s="20"/>
      <c r="R37" s="20"/>
      <c r="S37" s="44"/>
    </row>
    <row r="38" spans="1:19" outlineLevel="1" x14ac:dyDescent="0.2">
      <c r="A38" s="203" t="s">
        <v>63</v>
      </c>
      <c r="B38" s="337"/>
      <c r="C38" s="337">
        <v>56.870000000000005</v>
      </c>
      <c r="D38" s="337">
        <v>41.79</v>
      </c>
      <c r="E38" s="337">
        <v>98.66</v>
      </c>
      <c r="H38" s="12"/>
      <c r="I38" s="20"/>
      <c r="J38" s="20"/>
      <c r="K38" s="21"/>
      <c r="L38" s="21"/>
      <c r="M38" s="22"/>
      <c r="N38" s="22"/>
      <c r="O38" s="11"/>
      <c r="P38" s="22"/>
      <c r="Q38" s="20"/>
      <c r="R38" s="20"/>
      <c r="S38" s="44"/>
    </row>
    <row r="39" spans="1:19" outlineLevel="1" x14ac:dyDescent="0.2">
      <c r="A39" s="19" t="s">
        <v>297</v>
      </c>
      <c r="B39" s="337"/>
      <c r="C39" s="337">
        <v>544.9</v>
      </c>
      <c r="D39" s="337">
        <v>586.31999999999994</v>
      </c>
      <c r="E39" s="337">
        <v>1131.22</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14"/>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45910.602627314816</v>
      </c>
      <c r="B927" t="s">
        <v>1434</v>
      </c>
      <c r="C927" t="s">
        <v>27</v>
      </c>
      <c r="D927" t="s">
        <v>1435</v>
      </c>
      <c r="E927" t="s">
        <v>37</v>
      </c>
    </row>
    <row r="928" spans="1:5" x14ac:dyDescent="0.2">
      <c r="A928" s="269">
        <v>45910.602789351855</v>
      </c>
      <c r="B928" t="s">
        <v>1434</v>
      </c>
      <c r="C928" t="s">
        <v>58</v>
      </c>
      <c r="D928" t="s">
        <v>1437</v>
      </c>
      <c r="E928" t="s">
        <v>1436</v>
      </c>
    </row>
    <row r="929" spans="1:5" x14ac:dyDescent="0.2">
      <c r="A929" s="269">
        <v>45910.602847222224</v>
      </c>
      <c r="B929" t="s">
        <v>1434</v>
      </c>
      <c r="C929" t="s">
        <v>58</v>
      </c>
      <c r="D929" t="s">
        <v>1438</v>
      </c>
    </row>
    <row r="930" spans="1:5" x14ac:dyDescent="0.2">
      <c r="A930" s="269">
        <v>45910.602905092594</v>
      </c>
      <c r="B930" t="s">
        <v>1434</v>
      </c>
      <c r="C930" t="s">
        <v>58</v>
      </c>
      <c r="D930" t="s">
        <v>1439</v>
      </c>
    </row>
    <row r="931" spans="1:5" x14ac:dyDescent="0.2">
      <c r="A931" s="269">
        <v>45910.602939814817</v>
      </c>
      <c r="B931" t="s">
        <v>1434</v>
      </c>
      <c r="C931" t="s">
        <v>58</v>
      </c>
      <c r="D931" t="s">
        <v>1440</v>
      </c>
    </row>
    <row r="932" spans="1:5" x14ac:dyDescent="0.2">
      <c r="A932" s="269">
        <v>45910.60297453704</v>
      </c>
      <c r="B932" t="s">
        <v>1434</v>
      </c>
      <c r="C932" t="s">
        <v>58</v>
      </c>
      <c r="D932" t="s">
        <v>1441</v>
      </c>
    </row>
    <row r="933" spans="1:5" x14ac:dyDescent="0.2">
      <c r="A933" s="269">
        <v>45910.603043981479</v>
      </c>
      <c r="B933" t="s">
        <v>1434</v>
      </c>
      <c r="C933" t="s">
        <v>58</v>
      </c>
      <c r="D933" t="s">
        <v>1442</v>
      </c>
      <c r="E933" t="s">
        <v>364</v>
      </c>
    </row>
    <row r="934" spans="1:5" x14ac:dyDescent="0.2">
      <c r="A934" s="269">
        <v>45910.603136574071</v>
      </c>
      <c r="B934" t="s">
        <v>1434</v>
      </c>
      <c r="C934" t="s">
        <v>58</v>
      </c>
      <c r="D934" t="s">
        <v>1443</v>
      </c>
      <c r="E934" t="s">
        <v>63</v>
      </c>
    </row>
    <row r="935" spans="1:5" x14ac:dyDescent="0.2">
      <c r="A935" s="269">
        <v>45910.603206018517</v>
      </c>
      <c r="B935" t="s">
        <v>1434</v>
      </c>
      <c r="C935" t="s">
        <v>58</v>
      </c>
      <c r="D935" t="s">
        <v>1444</v>
      </c>
      <c r="E935" t="s">
        <v>386</v>
      </c>
    </row>
    <row r="936" spans="1:5" x14ac:dyDescent="0.2">
      <c r="A936" s="269">
        <v>45910.60324074074</v>
      </c>
      <c r="B936" t="s">
        <v>1434</v>
      </c>
      <c r="C936" t="s">
        <v>58</v>
      </c>
      <c r="D936" t="s">
        <v>1445</v>
      </c>
    </row>
    <row r="937" spans="1:5" x14ac:dyDescent="0.2">
      <c r="A937" s="269">
        <v>45910.603275462963</v>
      </c>
      <c r="B937" t="s">
        <v>1434</v>
      </c>
      <c r="C937" t="s">
        <v>58</v>
      </c>
      <c r="D937" t="s">
        <v>1446</v>
      </c>
    </row>
    <row r="938" spans="1:5" x14ac:dyDescent="0.2">
      <c r="A938" s="269">
        <v>45910.603298611109</v>
      </c>
      <c r="B938" t="s">
        <v>1434</v>
      </c>
      <c r="C938" t="s">
        <v>58</v>
      </c>
      <c r="D938" t="s">
        <v>1447</v>
      </c>
    </row>
    <row r="939" spans="1:5" x14ac:dyDescent="0.2">
      <c r="A939" s="269">
        <v>45910.603310185186</v>
      </c>
      <c r="B939" t="s">
        <v>1434</v>
      </c>
      <c r="C939" t="s">
        <v>58</v>
      </c>
      <c r="D939" t="s">
        <v>639</v>
      </c>
    </row>
    <row r="940" spans="1:5" x14ac:dyDescent="0.2">
      <c r="A940" s="269">
        <v>45910.603310185186</v>
      </c>
      <c r="B940" t="s">
        <v>1434</v>
      </c>
      <c r="C940" t="s">
        <v>58</v>
      </c>
      <c r="D940" t="s">
        <v>1448</v>
      </c>
    </row>
    <row r="941" spans="1:5" x14ac:dyDescent="0.2">
      <c r="A941" s="269">
        <v>45910.603310185186</v>
      </c>
      <c r="B941" t="s">
        <v>1434</v>
      </c>
      <c r="C941" t="s">
        <v>58</v>
      </c>
      <c r="D941" t="s">
        <v>1449</v>
      </c>
    </row>
    <row r="942" spans="1:5" x14ac:dyDescent="0.2">
      <c r="A942" s="269">
        <v>45910.603321759256</v>
      </c>
      <c r="B942" t="s">
        <v>1434</v>
      </c>
      <c r="C942" t="s">
        <v>58</v>
      </c>
      <c r="D942" t="s">
        <v>1450</v>
      </c>
    </row>
    <row r="943" spans="1:5" x14ac:dyDescent="0.2">
      <c r="A943" s="269">
        <v>45910.603333333333</v>
      </c>
      <c r="B943" t="s">
        <v>1434</v>
      </c>
      <c r="C943" t="s">
        <v>58</v>
      </c>
      <c r="D943" t="s">
        <v>1451</v>
      </c>
    </row>
    <row r="944" spans="1:5" x14ac:dyDescent="0.2">
      <c r="A944" s="269">
        <v>45910.603333333333</v>
      </c>
      <c r="B944" t="s">
        <v>1434</v>
      </c>
      <c r="C944" t="s">
        <v>58</v>
      </c>
      <c r="D944" t="s">
        <v>1452</v>
      </c>
    </row>
    <row r="945" spans="1:5" x14ac:dyDescent="0.2">
      <c r="A945" s="269">
        <v>45910.603344907409</v>
      </c>
      <c r="B945" t="s">
        <v>1434</v>
      </c>
      <c r="C945" t="s">
        <v>58</v>
      </c>
      <c r="D945" t="s">
        <v>1453</v>
      </c>
    </row>
    <row r="946" spans="1:5" x14ac:dyDescent="0.2">
      <c r="A946" s="269">
        <v>45910.603414351855</v>
      </c>
      <c r="B946" t="s">
        <v>1434</v>
      </c>
      <c r="C946" t="s">
        <v>58</v>
      </c>
      <c r="D946" t="s">
        <v>1453</v>
      </c>
      <c r="E946">
        <v>0</v>
      </c>
    </row>
    <row r="947" spans="1:5" x14ac:dyDescent="0.2">
      <c r="A947" s="269">
        <v>45910.603414351855</v>
      </c>
      <c r="B947" t="s">
        <v>1434</v>
      </c>
      <c r="C947" t="s">
        <v>58</v>
      </c>
      <c r="D947" t="s">
        <v>1452</v>
      </c>
      <c r="E947">
        <v>56.47</v>
      </c>
    </row>
    <row r="948" spans="1:5" x14ac:dyDescent="0.2">
      <c r="A948" s="269">
        <v>45910.603425925925</v>
      </c>
      <c r="B948" t="s">
        <v>1434</v>
      </c>
      <c r="C948" t="s">
        <v>58</v>
      </c>
      <c r="D948" t="s">
        <v>1451</v>
      </c>
      <c r="E948">
        <v>64.64</v>
      </c>
    </row>
    <row r="949" spans="1:5" x14ac:dyDescent="0.2">
      <c r="A949" s="269">
        <v>45910.603472222225</v>
      </c>
      <c r="B949" t="s">
        <v>1434</v>
      </c>
      <c r="C949" t="s">
        <v>58</v>
      </c>
      <c r="D949" t="s">
        <v>1450</v>
      </c>
      <c r="E949">
        <v>0</v>
      </c>
    </row>
    <row r="950" spans="1:5" x14ac:dyDescent="0.2">
      <c r="A950" s="269">
        <v>45910.603541666664</v>
      </c>
      <c r="B950" t="s">
        <v>1434</v>
      </c>
      <c r="C950" t="s">
        <v>58</v>
      </c>
      <c r="D950" t="s">
        <v>1454</v>
      </c>
      <c r="E950">
        <v>65.569999999999993</v>
      </c>
    </row>
    <row r="951" spans="1:5" x14ac:dyDescent="0.2">
      <c r="A951" s="269">
        <v>45910.603576388887</v>
      </c>
      <c r="B951" t="s">
        <v>1434</v>
      </c>
      <c r="C951" t="s">
        <v>58</v>
      </c>
      <c r="D951" t="s">
        <v>1454</v>
      </c>
    </row>
    <row r="952" spans="1:5" x14ac:dyDescent="0.2">
      <c r="A952" s="269">
        <v>45910.603645833333</v>
      </c>
      <c r="B952" t="s">
        <v>1434</v>
      </c>
      <c r="C952" t="s">
        <v>58</v>
      </c>
      <c r="D952" t="s">
        <v>1455</v>
      </c>
      <c r="E952">
        <v>65.569999999999993</v>
      </c>
    </row>
    <row r="953" spans="1:5" x14ac:dyDescent="0.2">
      <c r="A953" s="269">
        <v>45910.603680555556</v>
      </c>
      <c r="B953" t="s">
        <v>1434</v>
      </c>
      <c r="C953" t="s">
        <v>58</v>
      </c>
      <c r="D953" t="s">
        <v>1456</v>
      </c>
    </row>
    <row r="954" spans="1:5" x14ac:dyDescent="0.2">
      <c r="A954" s="269">
        <v>45910.603761574072</v>
      </c>
      <c r="B954" t="s">
        <v>1434</v>
      </c>
      <c r="C954" t="s">
        <v>58</v>
      </c>
      <c r="D954" t="s">
        <v>1457</v>
      </c>
      <c r="E954">
        <v>135</v>
      </c>
    </row>
    <row r="955" spans="1:5" x14ac:dyDescent="0.2">
      <c r="A955" s="269">
        <v>45910.603761574072</v>
      </c>
      <c r="B955" t="s">
        <v>1434</v>
      </c>
      <c r="C955" t="s">
        <v>58</v>
      </c>
      <c r="D955" t="s">
        <v>1458</v>
      </c>
      <c r="E955">
        <v>147</v>
      </c>
    </row>
    <row r="956" spans="1:5" x14ac:dyDescent="0.2">
      <c r="A956" s="269">
        <v>45910.603796296295</v>
      </c>
      <c r="B956" t="s">
        <v>1434</v>
      </c>
      <c r="C956" t="s">
        <v>58</v>
      </c>
      <c r="D956" t="s">
        <v>1457</v>
      </c>
      <c r="E956">
        <v>147</v>
      </c>
    </row>
    <row r="957" spans="1:5" x14ac:dyDescent="0.2">
      <c r="A957" s="269">
        <v>45910.603796296295</v>
      </c>
      <c r="B957" t="s">
        <v>1434</v>
      </c>
      <c r="C957" t="s">
        <v>58</v>
      </c>
      <c r="D957" t="s">
        <v>1458</v>
      </c>
    </row>
    <row r="958" spans="1:5" x14ac:dyDescent="0.2">
      <c r="A958" s="269">
        <v>45910.603796296295</v>
      </c>
      <c r="B958" t="s">
        <v>1434</v>
      </c>
      <c r="C958" t="s">
        <v>58</v>
      </c>
      <c r="D958" t="s">
        <v>1458</v>
      </c>
    </row>
    <row r="959" spans="1:5" x14ac:dyDescent="0.2">
      <c r="A959" s="269">
        <v>45910.603854166664</v>
      </c>
      <c r="B959" t="s">
        <v>1434</v>
      </c>
      <c r="C959" t="s">
        <v>58</v>
      </c>
      <c r="D959" t="s">
        <v>1456</v>
      </c>
      <c r="E959">
        <v>0</v>
      </c>
    </row>
    <row r="960" spans="1:5" x14ac:dyDescent="0.2">
      <c r="A960" s="269">
        <v>45910.603981481479</v>
      </c>
      <c r="B960" t="s">
        <v>1434</v>
      </c>
      <c r="C960" t="s">
        <v>58</v>
      </c>
      <c r="D960" t="s">
        <v>1457</v>
      </c>
      <c r="E960">
        <v>135</v>
      </c>
    </row>
    <row r="961" spans="1:5" x14ac:dyDescent="0.2">
      <c r="A961" s="269">
        <v>45910.603981481479</v>
      </c>
      <c r="B961" t="s">
        <v>1434</v>
      </c>
      <c r="C961" t="s">
        <v>58</v>
      </c>
      <c r="D961" t="s">
        <v>1458</v>
      </c>
      <c r="E961">
        <v>147</v>
      </c>
    </row>
    <row r="962" spans="1:5" x14ac:dyDescent="0.2">
      <c r="A962" s="269">
        <v>45910.604016203702</v>
      </c>
      <c r="B962" t="s">
        <v>1434</v>
      </c>
      <c r="C962" t="s">
        <v>58</v>
      </c>
      <c r="D962" t="s">
        <v>1457</v>
      </c>
      <c r="E962">
        <v>147</v>
      </c>
    </row>
    <row r="963" spans="1:5" x14ac:dyDescent="0.2">
      <c r="A963" s="269">
        <v>45910.604016203702</v>
      </c>
      <c r="B963" t="s">
        <v>1434</v>
      </c>
      <c r="C963" t="s">
        <v>58</v>
      </c>
      <c r="D963" t="s">
        <v>1458</v>
      </c>
    </row>
    <row r="964" spans="1:5" x14ac:dyDescent="0.2">
      <c r="A964" s="269">
        <v>45910.604016203702</v>
      </c>
      <c r="B964" t="s">
        <v>1434</v>
      </c>
      <c r="C964" t="s">
        <v>58</v>
      </c>
      <c r="D964" t="s">
        <v>1458</v>
      </c>
    </row>
    <row r="965" spans="1:5" x14ac:dyDescent="0.2">
      <c r="A965" s="269">
        <v>45910.604062500002</v>
      </c>
      <c r="B965" t="s">
        <v>1434</v>
      </c>
      <c r="C965" t="s">
        <v>58</v>
      </c>
      <c r="D965" t="s">
        <v>1459</v>
      </c>
      <c r="E965">
        <v>147</v>
      </c>
    </row>
    <row r="966" spans="1:5" x14ac:dyDescent="0.2">
      <c r="A966" s="269">
        <v>45910.604097222225</v>
      </c>
      <c r="B966" t="s">
        <v>1434</v>
      </c>
      <c r="C966" t="s">
        <v>58</v>
      </c>
      <c r="D966" t="s">
        <v>1460</v>
      </c>
      <c r="E966">
        <v>86</v>
      </c>
    </row>
    <row r="967" spans="1:5" x14ac:dyDescent="0.2">
      <c r="A967" s="269">
        <v>45910.604155092595</v>
      </c>
      <c r="B967" t="s">
        <v>1434</v>
      </c>
      <c r="C967" t="s">
        <v>58</v>
      </c>
      <c r="D967" t="s">
        <v>1461</v>
      </c>
      <c r="E967">
        <v>75.47</v>
      </c>
    </row>
    <row r="968" spans="1:5" x14ac:dyDescent="0.2">
      <c r="A968" s="269">
        <v>45910.604212962964</v>
      </c>
      <c r="B968" t="s">
        <v>1434</v>
      </c>
      <c r="C968" t="s">
        <v>58</v>
      </c>
      <c r="D968" t="s">
        <v>1462</v>
      </c>
    </row>
    <row r="969" spans="1:5" x14ac:dyDescent="0.2">
      <c r="A969" s="269">
        <v>45910.604247685187</v>
      </c>
      <c r="B969" t="s">
        <v>1434</v>
      </c>
      <c r="C969" t="s">
        <v>58</v>
      </c>
      <c r="D969" t="s">
        <v>1462</v>
      </c>
      <c r="E969" t="s">
        <v>400</v>
      </c>
    </row>
    <row r="970" spans="1:5" x14ac:dyDescent="0.2">
      <c r="A970" s="269">
        <v>45910.604317129626</v>
      </c>
      <c r="B970" t="s">
        <v>1434</v>
      </c>
      <c r="C970" t="s">
        <v>58</v>
      </c>
      <c r="D970" t="s">
        <v>1463</v>
      </c>
      <c r="E970" t="s">
        <v>404</v>
      </c>
    </row>
    <row r="971" spans="1:5" x14ac:dyDescent="0.2">
      <c r="A971" s="269">
        <v>45910.604375000003</v>
      </c>
      <c r="B971" t="s">
        <v>1434</v>
      </c>
      <c r="C971" t="s">
        <v>58</v>
      </c>
      <c r="D971" t="s">
        <v>1464</v>
      </c>
      <c r="E971">
        <v>56.47</v>
      </c>
    </row>
    <row r="972" spans="1:5" x14ac:dyDescent="0.2">
      <c r="A972" s="269">
        <v>45910.604409722226</v>
      </c>
      <c r="B972" t="s">
        <v>1434</v>
      </c>
      <c r="C972" t="s">
        <v>58</v>
      </c>
      <c r="D972" t="s">
        <v>1465</v>
      </c>
      <c r="E972">
        <v>64.64</v>
      </c>
    </row>
    <row r="973" spans="1:5" x14ac:dyDescent="0.2">
      <c r="A973" s="269">
        <v>45910.604421296295</v>
      </c>
      <c r="B973" t="s">
        <v>1434</v>
      </c>
      <c r="C973" t="s">
        <v>58</v>
      </c>
      <c r="D973" t="s">
        <v>1466</v>
      </c>
    </row>
    <row r="974" spans="1:5" x14ac:dyDescent="0.2">
      <c r="A974" s="269">
        <v>45910.604444444441</v>
      </c>
      <c r="B974" t="s">
        <v>1434</v>
      </c>
      <c r="C974" t="s">
        <v>58</v>
      </c>
      <c r="D974" t="s">
        <v>1467</v>
      </c>
    </row>
    <row r="975" spans="1:5" x14ac:dyDescent="0.2">
      <c r="A975" s="269">
        <v>45910.604456018518</v>
      </c>
      <c r="B975" t="s">
        <v>1434</v>
      </c>
      <c r="C975" t="s">
        <v>58</v>
      </c>
      <c r="D975" t="s">
        <v>1453</v>
      </c>
    </row>
    <row r="976" spans="1:5" x14ac:dyDescent="0.2">
      <c r="A976" s="269">
        <v>45910.604456018518</v>
      </c>
      <c r="B976" t="s">
        <v>1434</v>
      </c>
      <c r="C976" t="s">
        <v>58</v>
      </c>
      <c r="D976" t="s">
        <v>1452</v>
      </c>
    </row>
    <row r="977" spans="1:5" x14ac:dyDescent="0.2">
      <c r="A977" s="269">
        <v>45910.604467592595</v>
      </c>
      <c r="B977" t="s">
        <v>1434</v>
      </c>
      <c r="C977" t="s">
        <v>58</v>
      </c>
      <c r="D977" t="s">
        <v>1451</v>
      </c>
    </row>
    <row r="978" spans="1:5" x14ac:dyDescent="0.2">
      <c r="A978" s="269">
        <v>45910.604467592595</v>
      </c>
      <c r="B978" t="s">
        <v>1434</v>
      </c>
      <c r="C978" t="s">
        <v>58</v>
      </c>
      <c r="D978" t="s">
        <v>1450</v>
      </c>
    </row>
    <row r="979" spans="1:5" x14ac:dyDescent="0.2">
      <c r="A979" s="269">
        <v>45910.604513888888</v>
      </c>
      <c r="B979" t="s">
        <v>1434</v>
      </c>
      <c r="C979" t="s">
        <v>58</v>
      </c>
      <c r="D979" t="s">
        <v>1468</v>
      </c>
    </row>
    <row r="980" spans="1:5" x14ac:dyDescent="0.2">
      <c r="A980" s="269">
        <v>45910.604537037034</v>
      </c>
      <c r="B980" t="s">
        <v>1434</v>
      </c>
      <c r="C980" t="s">
        <v>58</v>
      </c>
      <c r="D980" t="s">
        <v>1469</v>
      </c>
    </row>
    <row r="981" spans="1:5" x14ac:dyDescent="0.2">
      <c r="A981" s="269">
        <v>45910.604537037034</v>
      </c>
      <c r="B981" t="s">
        <v>1434</v>
      </c>
      <c r="C981" t="s">
        <v>58</v>
      </c>
      <c r="D981" t="s">
        <v>1470</v>
      </c>
    </row>
    <row r="982" spans="1:5" x14ac:dyDescent="0.2">
      <c r="A982" s="269">
        <v>45910.604548611111</v>
      </c>
      <c r="B982" t="s">
        <v>1434</v>
      </c>
      <c r="C982" t="s">
        <v>58</v>
      </c>
      <c r="D982" t="s">
        <v>1471</v>
      </c>
    </row>
    <row r="983" spans="1:5" x14ac:dyDescent="0.2">
      <c r="A983" s="269">
        <v>45910.604548611111</v>
      </c>
      <c r="B983" t="s">
        <v>1434</v>
      </c>
      <c r="C983" t="s">
        <v>58</v>
      </c>
      <c r="D983" t="s">
        <v>1472</v>
      </c>
    </row>
    <row r="984" spans="1:5" x14ac:dyDescent="0.2">
      <c r="A984" s="269">
        <v>45910.604571759257</v>
      </c>
      <c r="B984" t="s">
        <v>1434</v>
      </c>
      <c r="C984" t="s">
        <v>58</v>
      </c>
      <c r="D984" t="s">
        <v>1473</v>
      </c>
    </row>
    <row r="985" spans="1:5" x14ac:dyDescent="0.2">
      <c r="A985" s="269">
        <v>45910.604583333334</v>
      </c>
      <c r="B985" t="s">
        <v>1434</v>
      </c>
      <c r="C985" t="s">
        <v>58</v>
      </c>
      <c r="D985" t="s">
        <v>1474</v>
      </c>
    </row>
    <row r="986" spans="1:5" x14ac:dyDescent="0.2">
      <c r="A986" s="269">
        <v>45910.604618055557</v>
      </c>
      <c r="B986" t="s">
        <v>1434</v>
      </c>
      <c r="C986" t="s">
        <v>58</v>
      </c>
      <c r="D986" t="s">
        <v>1474</v>
      </c>
      <c r="E986">
        <v>75.47</v>
      </c>
    </row>
    <row r="987" spans="1:5" x14ac:dyDescent="0.2">
      <c r="A987" s="269">
        <v>45910.604699074072</v>
      </c>
      <c r="B987" t="s">
        <v>1434</v>
      </c>
      <c r="C987" t="s">
        <v>58</v>
      </c>
      <c r="D987" t="s">
        <v>1475</v>
      </c>
      <c r="E987">
        <v>135</v>
      </c>
    </row>
    <row r="988" spans="1:5" x14ac:dyDescent="0.2">
      <c r="A988" s="269">
        <v>45910.604722222219</v>
      </c>
      <c r="B988" t="s">
        <v>1434</v>
      </c>
      <c r="C988" t="s">
        <v>58</v>
      </c>
      <c r="D988" t="s">
        <v>1476</v>
      </c>
      <c r="E988">
        <v>41</v>
      </c>
    </row>
    <row r="989" spans="1:5" x14ac:dyDescent="0.2">
      <c r="A989" s="269">
        <v>45910.604756944442</v>
      </c>
      <c r="B989" t="s">
        <v>1434</v>
      </c>
      <c r="C989" t="s">
        <v>58</v>
      </c>
      <c r="D989" t="s">
        <v>1477</v>
      </c>
    </row>
    <row r="990" spans="1:5" x14ac:dyDescent="0.2">
      <c r="A990" s="269">
        <v>45910.604814814818</v>
      </c>
      <c r="B990" t="s">
        <v>1434</v>
      </c>
      <c r="C990" t="s">
        <v>58</v>
      </c>
      <c r="D990" t="s">
        <v>1478</v>
      </c>
      <c r="E990" t="s">
        <v>1436</v>
      </c>
    </row>
    <row r="991" spans="1:5" x14ac:dyDescent="0.2">
      <c r="A991" s="269">
        <v>45910.604814814818</v>
      </c>
      <c r="B991" t="s">
        <v>1434</v>
      </c>
      <c r="C991" t="s">
        <v>58</v>
      </c>
      <c r="D991" t="s">
        <v>1479</v>
      </c>
      <c r="E991" t="s">
        <v>1436</v>
      </c>
    </row>
    <row r="992" spans="1:5" x14ac:dyDescent="0.2">
      <c r="A992" s="269">
        <v>45910.604826388888</v>
      </c>
      <c r="B992" t="s">
        <v>1434</v>
      </c>
      <c r="C992" t="s">
        <v>58</v>
      </c>
      <c r="D992" t="s">
        <v>1480</v>
      </c>
      <c r="E992" t="s">
        <v>1436</v>
      </c>
    </row>
    <row r="993" spans="1:5" x14ac:dyDescent="0.2">
      <c r="A993" s="269">
        <v>45910.604826388888</v>
      </c>
      <c r="B993" t="s">
        <v>1434</v>
      </c>
      <c r="C993" t="s">
        <v>58</v>
      </c>
      <c r="D993" t="s">
        <v>1481</v>
      </c>
      <c r="E993" t="s">
        <v>1436</v>
      </c>
    </row>
    <row r="994" spans="1:5" x14ac:dyDescent="0.2">
      <c r="A994" s="269">
        <v>45910.604826388888</v>
      </c>
      <c r="B994" t="s">
        <v>1434</v>
      </c>
      <c r="C994" t="s">
        <v>58</v>
      </c>
      <c r="D994" t="s">
        <v>1482</v>
      </c>
      <c r="E994" t="s">
        <v>1436</v>
      </c>
    </row>
    <row r="995" spans="1:5" x14ac:dyDescent="0.2">
      <c r="A995" s="269">
        <v>45910.604861111111</v>
      </c>
      <c r="B995" t="s">
        <v>1434</v>
      </c>
      <c r="C995" t="s">
        <v>58</v>
      </c>
      <c r="D995" t="s">
        <v>1483</v>
      </c>
    </row>
    <row r="996" spans="1:5" x14ac:dyDescent="0.2">
      <c r="A996" s="269">
        <v>45910.605092592596</v>
      </c>
      <c r="B996" t="s">
        <v>1434</v>
      </c>
      <c r="C996" t="s">
        <v>58</v>
      </c>
      <c r="D996" t="s">
        <v>960</v>
      </c>
      <c r="E996" t="s">
        <v>1484</v>
      </c>
    </row>
    <row r="997" spans="1:5" x14ac:dyDescent="0.2">
      <c r="A997" s="269">
        <v>45910.605115740742</v>
      </c>
      <c r="B997" t="s">
        <v>1434</v>
      </c>
      <c r="C997" t="s">
        <v>58</v>
      </c>
      <c r="D997" t="s">
        <v>1024</v>
      </c>
      <c r="E997" t="s">
        <v>1484</v>
      </c>
    </row>
    <row r="998" spans="1:5" x14ac:dyDescent="0.2">
      <c r="A998" s="269">
        <v>45910.605115740742</v>
      </c>
      <c r="B998" t="s">
        <v>1434</v>
      </c>
      <c r="C998" t="s">
        <v>58</v>
      </c>
      <c r="D998" t="s">
        <v>972</v>
      </c>
      <c r="E998" t="s">
        <v>1484</v>
      </c>
    </row>
    <row r="999" spans="1:5" x14ac:dyDescent="0.2">
      <c r="A999" s="269">
        <v>45910.605127314811</v>
      </c>
      <c r="B999" t="s">
        <v>1434</v>
      </c>
      <c r="C999" t="s">
        <v>58</v>
      </c>
      <c r="D999" t="s">
        <v>1485</v>
      </c>
      <c r="E999" t="s">
        <v>1484</v>
      </c>
    </row>
    <row r="1000" spans="1:5" x14ac:dyDescent="0.2">
      <c r="A1000" s="269">
        <v>45910.605162037034</v>
      </c>
      <c r="B1000" t="s">
        <v>1434</v>
      </c>
      <c r="C1000" t="s">
        <v>58</v>
      </c>
      <c r="D1000" t="s">
        <v>1486</v>
      </c>
      <c r="E1000" t="s">
        <v>1484</v>
      </c>
    </row>
    <row r="1001" spans="1:5" x14ac:dyDescent="0.2">
      <c r="A1001" s="269">
        <v>45910.605173611111</v>
      </c>
      <c r="B1001" t="s">
        <v>1434</v>
      </c>
      <c r="C1001" t="s">
        <v>58</v>
      </c>
      <c r="D1001" t="s">
        <v>1487</v>
      </c>
      <c r="E1001" t="s">
        <v>1484</v>
      </c>
    </row>
    <row r="1002" spans="1:5" x14ac:dyDescent="0.2">
      <c r="A1002" s="269">
        <v>45910.605497685188</v>
      </c>
      <c r="B1002" t="s">
        <v>1434</v>
      </c>
      <c r="C1002" t="s">
        <v>58</v>
      </c>
      <c r="D1002" t="s">
        <v>1489</v>
      </c>
      <c r="E1002" t="s">
        <v>1488</v>
      </c>
    </row>
    <row r="1003" spans="1:5" x14ac:dyDescent="0.2">
      <c r="A1003" s="269">
        <v>45910.605532407404</v>
      </c>
      <c r="B1003" t="s">
        <v>1434</v>
      </c>
      <c r="C1003" t="s">
        <v>58</v>
      </c>
      <c r="D1003" t="s">
        <v>1490</v>
      </c>
      <c r="E1003" t="s">
        <v>1488</v>
      </c>
    </row>
    <row r="1004" spans="1:5" x14ac:dyDescent="0.2">
      <c r="A1004" s="269">
        <v>45910.605532407404</v>
      </c>
      <c r="B1004" t="s">
        <v>1434</v>
      </c>
      <c r="C1004" t="s">
        <v>58</v>
      </c>
      <c r="D1004" t="s">
        <v>1491</v>
      </c>
      <c r="E1004" t="s">
        <v>1488</v>
      </c>
    </row>
    <row r="1005" spans="1:5" x14ac:dyDescent="0.2">
      <c r="A1005" s="269">
        <v>45910.605543981481</v>
      </c>
      <c r="B1005" t="s">
        <v>1434</v>
      </c>
      <c r="C1005" t="s">
        <v>58</v>
      </c>
      <c r="D1005" t="s">
        <v>1492</v>
      </c>
      <c r="E1005" t="s">
        <v>1488</v>
      </c>
    </row>
    <row r="1006" spans="1:5" x14ac:dyDescent="0.2">
      <c r="A1006" s="269">
        <v>45910.605543981481</v>
      </c>
      <c r="B1006" t="s">
        <v>1434</v>
      </c>
      <c r="C1006" t="s">
        <v>58</v>
      </c>
      <c r="D1006" t="s">
        <v>1493</v>
      </c>
      <c r="E1006" t="s">
        <v>1488</v>
      </c>
    </row>
    <row r="1007" spans="1:5" x14ac:dyDescent="0.2">
      <c r="A1007" s="269">
        <v>45910.605555555558</v>
      </c>
      <c r="B1007" t="s">
        <v>1434</v>
      </c>
      <c r="C1007" t="s">
        <v>58</v>
      </c>
      <c r="D1007" t="s">
        <v>1494</v>
      </c>
      <c r="E1007" t="s">
        <v>1488</v>
      </c>
    </row>
    <row r="1008" spans="1:5" x14ac:dyDescent="0.2">
      <c r="A1008" s="269">
        <v>45910.605555555558</v>
      </c>
      <c r="B1008" t="s">
        <v>1434</v>
      </c>
      <c r="C1008" t="s">
        <v>58</v>
      </c>
      <c r="D1008" t="s">
        <v>1495</v>
      </c>
      <c r="E1008" t="s">
        <v>1488</v>
      </c>
    </row>
    <row r="1009" spans="1:5" x14ac:dyDescent="0.2">
      <c r="A1009" s="269">
        <v>45910.605567129627</v>
      </c>
      <c r="B1009" t="s">
        <v>1434</v>
      </c>
      <c r="C1009" t="s">
        <v>58</v>
      </c>
      <c r="D1009" t="s">
        <v>1496</v>
      </c>
      <c r="E1009" t="s">
        <v>1488</v>
      </c>
    </row>
    <row r="1010" spans="1:5" x14ac:dyDescent="0.2">
      <c r="A1010" s="269">
        <v>45910.605567129627</v>
      </c>
      <c r="B1010" t="s">
        <v>1434</v>
      </c>
      <c r="C1010" t="s">
        <v>58</v>
      </c>
      <c r="D1010" t="s">
        <v>1497</v>
      </c>
      <c r="E1010" t="s">
        <v>1488</v>
      </c>
    </row>
    <row r="1011" spans="1:5" x14ac:dyDescent="0.2">
      <c r="A1011" s="269">
        <v>45910.605578703704</v>
      </c>
      <c r="B1011" t="s">
        <v>1434</v>
      </c>
      <c r="C1011" t="s">
        <v>58</v>
      </c>
      <c r="D1011" t="s">
        <v>1498</v>
      </c>
      <c r="E1011" t="s">
        <v>1488</v>
      </c>
    </row>
    <row r="1012" spans="1:5" x14ac:dyDescent="0.2">
      <c r="A1012" s="269">
        <v>45910.605578703704</v>
      </c>
      <c r="B1012" t="s">
        <v>1434</v>
      </c>
      <c r="C1012" t="s">
        <v>58</v>
      </c>
      <c r="D1012" t="s">
        <v>1499</v>
      </c>
      <c r="E1012" t="s">
        <v>1488</v>
      </c>
    </row>
    <row r="1013" spans="1:5" x14ac:dyDescent="0.2">
      <c r="A1013" s="269">
        <v>45910.605578703704</v>
      </c>
      <c r="B1013" t="s">
        <v>1434</v>
      </c>
      <c r="C1013" t="s">
        <v>58</v>
      </c>
      <c r="D1013" t="s">
        <v>1500</v>
      </c>
      <c r="E1013" t="s">
        <v>1488</v>
      </c>
    </row>
    <row r="1014" spans="1:5" x14ac:dyDescent="0.2">
      <c r="A1014" s="269">
        <v>45910.610648148147</v>
      </c>
      <c r="B1014" t="s">
        <v>1434</v>
      </c>
      <c r="C1014" t="s">
        <v>58</v>
      </c>
      <c r="D1014" t="s">
        <v>1501</v>
      </c>
    </row>
    <row r="1015" spans="1:5" x14ac:dyDescent="0.2">
      <c r="A1015" s="269">
        <v>45910.610752314817</v>
      </c>
      <c r="B1015" t="s">
        <v>1434</v>
      </c>
      <c r="C1015" t="s">
        <v>58</v>
      </c>
      <c r="D1015" t="s">
        <v>1501</v>
      </c>
      <c r="E1015" t="s">
        <v>381</v>
      </c>
    </row>
    <row r="1016" spans="1:5" x14ac:dyDescent="0.2">
      <c r="A1016" s="269">
        <v>45910.610821759263</v>
      </c>
      <c r="B1016" t="s">
        <v>1434</v>
      </c>
      <c r="C1016" t="s">
        <v>58</v>
      </c>
      <c r="D1016" t="s">
        <v>1502</v>
      </c>
    </row>
    <row r="1017" spans="1:5" x14ac:dyDescent="0.2">
      <c r="A1017" s="269">
        <v>45910.610925925925</v>
      </c>
      <c r="B1017" t="s">
        <v>1434</v>
      </c>
      <c r="C1017" t="s">
        <v>58</v>
      </c>
      <c r="D1017" t="s">
        <v>1503</v>
      </c>
    </row>
    <row r="1018" spans="1:5" x14ac:dyDescent="0.2">
      <c r="A1018" s="269">
        <v>45910.610925925925</v>
      </c>
      <c r="B1018" t="s">
        <v>1434</v>
      </c>
      <c r="C1018" t="s">
        <v>58</v>
      </c>
      <c r="D1018" t="s">
        <v>1504</v>
      </c>
      <c r="E1018" t="s">
        <v>364</v>
      </c>
    </row>
    <row r="1019" spans="1:5" x14ac:dyDescent="0.2">
      <c r="A1019" s="269">
        <v>45910.610949074071</v>
      </c>
      <c r="B1019" t="s">
        <v>1434</v>
      </c>
      <c r="C1019" t="s">
        <v>58</v>
      </c>
      <c r="D1019" t="s">
        <v>1503</v>
      </c>
      <c r="E1019" t="s">
        <v>364</v>
      </c>
    </row>
    <row r="1020" spans="1:5" x14ac:dyDescent="0.2">
      <c r="A1020" s="269">
        <v>45910.610949074071</v>
      </c>
      <c r="B1020" t="s">
        <v>1434</v>
      </c>
      <c r="C1020" t="s">
        <v>58</v>
      </c>
      <c r="D1020" t="s">
        <v>1504</v>
      </c>
    </row>
    <row r="1021" spans="1:5" x14ac:dyDescent="0.2">
      <c r="A1021" s="269">
        <v>45910.610949074071</v>
      </c>
      <c r="B1021" t="s">
        <v>1434</v>
      </c>
      <c r="C1021" t="s">
        <v>58</v>
      </c>
      <c r="D1021" t="s">
        <v>1504</v>
      </c>
    </row>
    <row r="1022" spans="1:5" x14ac:dyDescent="0.2">
      <c r="A1022" s="269">
        <v>45910.611030092594</v>
      </c>
      <c r="B1022" t="s">
        <v>1434</v>
      </c>
      <c r="C1022" t="s">
        <v>58</v>
      </c>
      <c r="D1022" t="s">
        <v>676</v>
      </c>
      <c r="E1022" t="s">
        <v>364</v>
      </c>
    </row>
    <row r="1023" spans="1:5" x14ac:dyDescent="0.2">
      <c r="A1023" s="269">
        <v>45910.611064814817</v>
      </c>
      <c r="B1023" t="s">
        <v>1434</v>
      </c>
      <c r="C1023" t="s">
        <v>58</v>
      </c>
      <c r="D1023" t="s">
        <v>677</v>
      </c>
      <c r="E1023" t="s">
        <v>364</v>
      </c>
    </row>
    <row r="1024" spans="1:5" x14ac:dyDescent="0.2">
      <c r="A1024" s="269">
        <v>45910.611481481479</v>
      </c>
      <c r="B1024" t="s">
        <v>1434</v>
      </c>
      <c r="C1024" t="s">
        <v>58</v>
      </c>
      <c r="D1024" t="s">
        <v>678</v>
      </c>
      <c r="E1024" t="s">
        <v>343</v>
      </c>
    </row>
    <row r="1025" spans="1:5" x14ac:dyDescent="0.2">
      <c r="A1025" s="269">
        <v>45910.611493055556</v>
      </c>
      <c r="B1025" t="s">
        <v>1434</v>
      </c>
      <c r="C1025" t="s">
        <v>58</v>
      </c>
      <c r="D1025" t="s">
        <v>678</v>
      </c>
    </row>
    <row r="1026" spans="1:5" x14ac:dyDescent="0.2">
      <c r="A1026" s="269">
        <v>45910.611574074072</v>
      </c>
      <c r="B1026" t="s">
        <v>1434</v>
      </c>
      <c r="C1026" t="s">
        <v>58</v>
      </c>
      <c r="D1026" t="s">
        <v>676</v>
      </c>
      <c r="E1026" t="s">
        <v>343</v>
      </c>
    </row>
    <row r="1027" spans="1:5" x14ac:dyDescent="0.2">
      <c r="A1027" s="269">
        <v>45910.611608796295</v>
      </c>
      <c r="B1027" t="s">
        <v>1434</v>
      </c>
      <c r="C1027" t="s">
        <v>58</v>
      </c>
      <c r="D1027" t="s">
        <v>677</v>
      </c>
      <c r="E1027" t="s">
        <v>343</v>
      </c>
    </row>
    <row r="1028" spans="1:5" x14ac:dyDescent="0.2">
      <c r="A1028" s="269">
        <v>45910.611817129633</v>
      </c>
      <c r="B1028" t="s">
        <v>1434</v>
      </c>
      <c r="C1028" t="s">
        <v>58</v>
      </c>
      <c r="D1028" t="s">
        <v>1505</v>
      </c>
      <c r="E1028" t="s">
        <v>338</v>
      </c>
    </row>
    <row r="1029" spans="1:5" x14ac:dyDescent="0.2">
      <c r="A1029" s="269">
        <v>45910.611898148149</v>
      </c>
      <c r="B1029" t="s">
        <v>1434</v>
      </c>
      <c r="C1029" t="s">
        <v>58</v>
      </c>
      <c r="D1029" t="s">
        <v>1506</v>
      </c>
    </row>
    <row r="1030" spans="1:5" x14ac:dyDescent="0.2">
      <c r="A1030" s="269">
        <v>45910.611944444441</v>
      </c>
      <c r="B1030" t="s">
        <v>1434</v>
      </c>
      <c r="C1030" t="s">
        <v>58</v>
      </c>
      <c r="D1030" t="s">
        <v>1503</v>
      </c>
    </row>
    <row r="1031" spans="1:5" x14ac:dyDescent="0.2">
      <c r="A1031" s="269">
        <v>45910.612002314818</v>
      </c>
      <c r="B1031" t="s">
        <v>1434</v>
      </c>
      <c r="C1031" t="s">
        <v>58</v>
      </c>
      <c r="D1031" t="s">
        <v>1507</v>
      </c>
    </row>
    <row r="1032" spans="1:5" x14ac:dyDescent="0.2">
      <c r="A1032" s="269">
        <v>45910.612037037034</v>
      </c>
      <c r="B1032" t="s">
        <v>1434</v>
      </c>
      <c r="C1032" t="s">
        <v>58</v>
      </c>
      <c r="D1032" t="s">
        <v>1508</v>
      </c>
    </row>
    <row r="1033" spans="1:5" x14ac:dyDescent="0.2">
      <c r="A1033" s="269">
        <v>45910.612083333333</v>
      </c>
      <c r="B1033" t="s">
        <v>1434</v>
      </c>
      <c r="C1033" t="s">
        <v>58</v>
      </c>
      <c r="D1033" t="s">
        <v>1509</v>
      </c>
    </row>
    <row r="1034" spans="1:5" x14ac:dyDescent="0.2">
      <c r="A1034" s="269">
        <v>45910.61215277778</v>
      </c>
      <c r="B1034" t="s">
        <v>1434</v>
      </c>
      <c r="C1034" t="s">
        <v>58</v>
      </c>
      <c r="D1034" t="s">
        <v>1510</v>
      </c>
    </row>
    <row r="1035" spans="1:5" x14ac:dyDescent="0.2">
      <c r="A1035" s="269">
        <v>45910.612187500003</v>
      </c>
      <c r="B1035" t="s">
        <v>1434</v>
      </c>
      <c r="C1035" t="s">
        <v>58</v>
      </c>
      <c r="D1035" t="s">
        <v>1510</v>
      </c>
      <c r="E1035" t="s">
        <v>1488</v>
      </c>
    </row>
    <row r="1036" spans="1:5" x14ac:dyDescent="0.2">
      <c r="A1036" s="269">
        <v>45910.612256944441</v>
      </c>
      <c r="B1036" t="s">
        <v>1434</v>
      </c>
      <c r="C1036" t="s">
        <v>58</v>
      </c>
      <c r="D1036" t="s">
        <v>1511</v>
      </c>
      <c r="E1036" t="s">
        <v>1436</v>
      </c>
    </row>
    <row r="1037" spans="1:5" x14ac:dyDescent="0.2">
      <c r="A1037" s="269">
        <v>45910.612280092595</v>
      </c>
      <c r="B1037" t="s">
        <v>1434</v>
      </c>
      <c r="C1037" t="s">
        <v>58</v>
      </c>
      <c r="D1037" t="s">
        <v>1512</v>
      </c>
    </row>
    <row r="1038" spans="1:5" x14ac:dyDescent="0.2">
      <c r="A1038" s="269">
        <v>45910.61241898148</v>
      </c>
      <c r="B1038" t="s">
        <v>1434</v>
      </c>
      <c r="C1038" t="s">
        <v>58</v>
      </c>
      <c r="D1038" t="s">
        <v>1513</v>
      </c>
      <c r="E1038" t="s">
        <v>1488</v>
      </c>
    </row>
    <row r="1039" spans="1:5" x14ac:dyDescent="0.2">
      <c r="A1039" s="269">
        <v>45910.612476851849</v>
      </c>
      <c r="B1039" t="s">
        <v>1434</v>
      </c>
      <c r="C1039" t="s">
        <v>58</v>
      </c>
      <c r="D1039" t="s">
        <v>1514</v>
      </c>
      <c r="E1039" t="s">
        <v>1488</v>
      </c>
    </row>
    <row r="1040" spans="1:5" x14ac:dyDescent="0.2">
      <c r="A1040" s="269">
        <v>45910.612974537034</v>
      </c>
      <c r="B1040" t="s">
        <v>1434</v>
      </c>
      <c r="C1040" t="s">
        <v>58</v>
      </c>
      <c r="D1040" t="s">
        <v>1515</v>
      </c>
      <c r="E1040">
        <v>15.55</v>
      </c>
    </row>
    <row r="1041" spans="1:5" x14ac:dyDescent="0.2">
      <c r="A1041" s="269">
        <v>45910.61309027778</v>
      </c>
      <c r="B1041" t="s">
        <v>1434</v>
      </c>
      <c r="C1041" t="s">
        <v>58</v>
      </c>
      <c r="D1041" t="s">
        <v>1516</v>
      </c>
      <c r="E1041">
        <v>18.18</v>
      </c>
    </row>
    <row r="1042" spans="1:5" x14ac:dyDescent="0.2">
      <c r="A1042" s="269">
        <v>45910.613182870373</v>
      </c>
      <c r="B1042" t="s">
        <v>1434</v>
      </c>
      <c r="C1042" t="s">
        <v>58</v>
      </c>
      <c r="D1042" t="s">
        <v>1517</v>
      </c>
      <c r="E1042">
        <v>23.14</v>
      </c>
    </row>
    <row r="1043" spans="1:5" x14ac:dyDescent="0.2">
      <c r="A1043" s="269">
        <v>45910.613333333335</v>
      </c>
      <c r="B1043" t="s">
        <v>1434</v>
      </c>
      <c r="C1043" t="s">
        <v>58</v>
      </c>
      <c r="D1043" t="s">
        <v>1518</v>
      </c>
      <c r="E1043">
        <v>29.42</v>
      </c>
    </row>
    <row r="1044" spans="1:5" x14ac:dyDescent="0.2">
      <c r="A1044" s="269">
        <v>45910.613495370373</v>
      </c>
      <c r="B1044" t="s">
        <v>1434</v>
      </c>
      <c r="C1044" t="s">
        <v>58</v>
      </c>
      <c r="D1044" t="s">
        <v>1519</v>
      </c>
      <c r="E1044">
        <v>12.37</v>
      </c>
    </row>
    <row r="1045" spans="1:5" x14ac:dyDescent="0.2">
      <c r="A1045" s="269">
        <v>45910.613541666666</v>
      </c>
      <c r="B1045" t="s">
        <v>1434</v>
      </c>
      <c r="C1045" t="s">
        <v>58</v>
      </c>
      <c r="D1045" t="s">
        <v>1520</v>
      </c>
      <c r="E1045" t="s">
        <v>386</v>
      </c>
    </row>
    <row r="1046" spans="1:5" x14ac:dyDescent="0.2">
      <c r="A1046" s="269">
        <v>45910.613564814812</v>
      </c>
      <c r="B1046" t="s">
        <v>1434</v>
      </c>
      <c r="C1046" t="s">
        <v>58</v>
      </c>
      <c r="D1046" t="s">
        <v>1521</v>
      </c>
    </row>
    <row r="1047" spans="1:5" x14ac:dyDescent="0.2">
      <c r="A1047" s="269">
        <v>45910.613599537035</v>
      </c>
      <c r="B1047" t="s">
        <v>1434</v>
      </c>
      <c r="C1047" t="s">
        <v>58</v>
      </c>
      <c r="D1047" t="s">
        <v>1522</v>
      </c>
    </row>
    <row r="1048" spans="1:5" x14ac:dyDescent="0.2">
      <c r="A1048" s="269">
        <v>45910.613622685189</v>
      </c>
      <c r="B1048" t="s">
        <v>1434</v>
      </c>
      <c r="C1048" t="s">
        <v>58</v>
      </c>
      <c r="D1048" t="s">
        <v>1523</v>
      </c>
    </row>
    <row r="1049" spans="1:5" x14ac:dyDescent="0.2">
      <c r="A1049" s="269">
        <v>45910.613634259258</v>
      </c>
      <c r="B1049" t="s">
        <v>1434</v>
      </c>
      <c r="C1049" t="s">
        <v>58</v>
      </c>
      <c r="D1049" t="s">
        <v>675</v>
      </c>
    </row>
    <row r="1050" spans="1:5" x14ac:dyDescent="0.2">
      <c r="A1050" s="269">
        <v>45910.615439814814</v>
      </c>
      <c r="B1050" t="s">
        <v>1434</v>
      </c>
      <c r="C1050" t="s">
        <v>58</v>
      </c>
      <c r="D1050" t="s">
        <v>1524</v>
      </c>
      <c r="E1050">
        <v>29.51</v>
      </c>
    </row>
    <row r="1051" spans="1:5" x14ac:dyDescent="0.2">
      <c r="A1051" s="269">
        <v>45910.615543981483</v>
      </c>
      <c r="B1051" t="s">
        <v>1434</v>
      </c>
      <c r="C1051" t="s">
        <v>58</v>
      </c>
      <c r="D1051" t="s">
        <v>937</v>
      </c>
      <c r="E1051">
        <v>25.44</v>
      </c>
    </row>
    <row r="1052" spans="1:5" x14ac:dyDescent="0.2">
      <c r="A1052" s="269">
        <v>45910.615624999999</v>
      </c>
      <c r="B1052" t="s">
        <v>1434</v>
      </c>
      <c r="C1052" t="s">
        <v>58</v>
      </c>
      <c r="D1052" t="s">
        <v>926</v>
      </c>
      <c r="E1052">
        <v>50.15</v>
      </c>
    </row>
    <row r="1053" spans="1:5" x14ac:dyDescent="0.2">
      <c r="A1053" s="269">
        <v>45910.615729166668</v>
      </c>
      <c r="B1053" t="s">
        <v>1434</v>
      </c>
      <c r="C1053" t="s">
        <v>58</v>
      </c>
      <c r="D1053" t="s">
        <v>874</v>
      </c>
      <c r="E1053">
        <v>29.13</v>
      </c>
    </row>
    <row r="1054" spans="1:5" x14ac:dyDescent="0.2">
      <c r="A1054" s="269">
        <v>45910.615833333337</v>
      </c>
      <c r="B1054" t="s">
        <v>1434</v>
      </c>
      <c r="C1054" t="s">
        <v>58</v>
      </c>
      <c r="D1054" t="s">
        <v>1525</v>
      </c>
      <c r="E1054">
        <v>56.21</v>
      </c>
    </row>
    <row r="1055" spans="1:5" x14ac:dyDescent="0.2">
      <c r="A1055" s="269">
        <v>45910.615879629629</v>
      </c>
      <c r="B1055" t="s">
        <v>1434</v>
      </c>
      <c r="C1055" t="s">
        <v>58</v>
      </c>
      <c r="D1055" t="s">
        <v>874</v>
      </c>
      <c r="E1055">
        <v>29.03</v>
      </c>
    </row>
    <row r="1056" spans="1:5" x14ac:dyDescent="0.2">
      <c r="A1056" s="269">
        <v>45910.615995370368</v>
      </c>
      <c r="B1056" t="s">
        <v>1434</v>
      </c>
      <c r="C1056" t="s">
        <v>58</v>
      </c>
      <c r="D1056" t="s">
        <v>1526</v>
      </c>
      <c r="E1056">
        <v>46.22</v>
      </c>
    </row>
    <row r="1057" spans="1:5" x14ac:dyDescent="0.2">
      <c r="A1057" s="269">
        <v>45910.6169212963</v>
      </c>
      <c r="B1057" t="s">
        <v>1434</v>
      </c>
      <c r="C1057" t="s">
        <v>58</v>
      </c>
      <c r="D1057" t="s">
        <v>1524</v>
      </c>
      <c r="E1057">
        <v>146.31</v>
      </c>
    </row>
    <row r="1058" spans="1:5" x14ac:dyDescent="0.2">
      <c r="A1058" s="269">
        <v>45910.617754629631</v>
      </c>
      <c r="B1058" t="s">
        <v>1434</v>
      </c>
      <c r="C1058" t="s">
        <v>58</v>
      </c>
      <c r="D1058" t="s">
        <v>1527</v>
      </c>
      <c r="E1058">
        <v>146.32999999999998</v>
      </c>
    </row>
    <row r="1059" spans="1:5" x14ac:dyDescent="0.2">
      <c r="A1059" s="269">
        <v>45910.618009259262</v>
      </c>
      <c r="B1059" t="s">
        <v>1434</v>
      </c>
      <c r="C1059" t="s">
        <v>58</v>
      </c>
      <c r="D1059" t="s">
        <v>1528</v>
      </c>
      <c r="E1059">
        <v>1438</v>
      </c>
    </row>
    <row r="1060" spans="1:5" x14ac:dyDescent="0.2">
      <c r="A1060" s="269">
        <v>45910.61822916667</v>
      </c>
      <c r="B1060" t="s">
        <v>1434</v>
      </c>
      <c r="C1060" t="s">
        <v>58</v>
      </c>
      <c r="D1060" t="s">
        <v>1529</v>
      </c>
      <c r="E1060">
        <v>11</v>
      </c>
    </row>
    <row r="1061" spans="1:5" x14ac:dyDescent="0.2">
      <c r="A1061" s="269">
        <v>45910.618333333332</v>
      </c>
      <c r="B1061" t="s">
        <v>1434</v>
      </c>
      <c r="C1061" t="s">
        <v>58</v>
      </c>
      <c r="D1061" t="s">
        <v>1530</v>
      </c>
      <c r="E1061">
        <v>18</v>
      </c>
    </row>
    <row r="1062" spans="1:5" x14ac:dyDescent="0.2">
      <c r="A1062" s="269">
        <v>45910.62190972222</v>
      </c>
      <c r="B1062" t="s">
        <v>1434</v>
      </c>
      <c r="C1062" t="s">
        <v>58</v>
      </c>
      <c r="D1062" t="s">
        <v>1531</v>
      </c>
      <c r="E1062">
        <v>45.78</v>
      </c>
    </row>
    <row r="1063" spans="1:5" x14ac:dyDescent="0.2">
      <c r="A1063" s="269">
        <v>45910.621979166666</v>
      </c>
      <c r="B1063" t="s">
        <v>1434</v>
      </c>
      <c r="C1063" t="s">
        <v>58</v>
      </c>
      <c r="D1063" t="s">
        <v>675</v>
      </c>
      <c r="E1063" t="s">
        <v>343</v>
      </c>
    </row>
    <row r="1064" spans="1:5" x14ac:dyDescent="0.2">
      <c r="A1064" s="269">
        <v>45910.622025462966</v>
      </c>
      <c r="B1064" t="s">
        <v>1434</v>
      </c>
      <c r="C1064" t="s">
        <v>58</v>
      </c>
      <c r="D1064" t="s">
        <v>678</v>
      </c>
      <c r="E1064" t="s">
        <v>343</v>
      </c>
    </row>
    <row r="1065" spans="1:5" x14ac:dyDescent="0.2">
      <c r="A1065" s="269">
        <v>45910.622048611112</v>
      </c>
      <c r="B1065" t="s">
        <v>1434</v>
      </c>
      <c r="C1065" t="s">
        <v>58</v>
      </c>
      <c r="D1065" t="s">
        <v>1532</v>
      </c>
      <c r="E1065" t="s">
        <v>343</v>
      </c>
    </row>
    <row r="1066" spans="1:5" x14ac:dyDescent="0.2">
      <c r="A1066" s="269">
        <v>45910.622118055559</v>
      </c>
      <c r="B1066" t="s">
        <v>1434</v>
      </c>
      <c r="C1066" t="s">
        <v>58</v>
      </c>
      <c r="D1066" t="s">
        <v>1533</v>
      </c>
      <c r="E1066" t="s">
        <v>63</v>
      </c>
    </row>
    <row r="1067" spans="1:5" x14ac:dyDescent="0.2">
      <c r="A1067" s="269">
        <v>45910.622141203705</v>
      </c>
      <c r="B1067" t="s">
        <v>1434</v>
      </c>
      <c r="C1067" t="s">
        <v>58</v>
      </c>
      <c r="D1067" t="s">
        <v>1534</v>
      </c>
      <c r="E1067" t="s">
        <v>63</v>
      </c>
    </row>
    <row r="1068" spans="1:5" x14ac:dyDescent="0.2">
      <c r="A1068" s="269">
        <v>45910.622187499997</v>
      </c>
      <c r="B1068" t="s">
        <v>1434</v>
      </c>
      <c r="C1068" t="s">
        <v>58</v>
      </c>
      <c r="D1068" t="s">
        <v>1521</v>
      </c>
      <c r="E1068" t="s">
        <v>338</v>
      </c>
    </row>
    <row r="1069" spans="1:5" x14ac:dyDescent="0.2">
      <c r="A1069" s="269">
        <v>45910.62222222222</v>
      </c>
      <c r="B1069" t="s">
        <v>1434</v>
      </c>
      <c r="C1069" t="s">
        <v>58</v>
      </c>
      <c r="D1069" t="s">
        <v>1522</v>
      </c>
      <c r="E1069" t="s">
        <v>89</v>
      </c>
    </row>
    <row r="1070" spans="1:5" x14ac:dyDescent="0.2">
      <c r="A1070" s="269">
        <v>45910.622256944444</v>
      </c>
      <c r="B1070" t="s">
        <v>1434</v>
      </c>
      <c r="C1070" t="s">
        <v>58</v>
      </c>
      <c r="D1070" t="s">
        <v>1523</v>
      </c>
      <c r="E1070" t="s">
        <v>362</v>
      </c>
    </row>
    <row r="1071" spans="1:5" x14ac:dyDescent="0.2">
      <c r="A1071" s="269">
        <v>45910.622291666667</v>
      </c>
      <c r="B1071" t="s">
        <v>1434</v>
      </c>
      <c r="C1071" t="s">
        <v>58</v>
      </c>
      <c r="D1071" t="s">
        <v>1535</v>
      </c>
      <c r="E1071" t="s">
        <v>371</v>
      </c>
    </row>
    <row r="1072" spans="1:5" x14ac:dyDescent="0.2">
      <c r="A1072" s="269">
        <v>45910.622303240743</v>
      </c>
      <c r="B1072" t="s">
        <v>1434</v>
      </c>
      <c r="C1072" t="s">
        <v>58</v>
      </c>
      <c r="D1072" t="s">
        <v>1536</v>
      </c>
      <c r="E1072" t="s">
        <v>386</v>
      </c>
    </row>
    <row r="1073" spans="1:5" x14ac:dyDescent="0.2">
      <c r="A1073" s="269">
        <v>45910.622476851851</v>
      </c>
      <c r="B1073" t="s">
        <v>1434</v>
      </c>
      <c r="C1073" t="s">
        <v>58</v>
      </c>
      <c r="D1073" t="s">
        <v>1537</v>
      </c>
      <c r="E1073">
        <v>49.7</v>
      </c>
    </row>
    <row r="1074" spans="1:5" x14ac:dyDescent="0.2">
      <c r="A1074" s="269">
        <v>45910.622650462959</v>
      </c>
      <c r="B1074" t="s">
        <v>1434</v>
      </c>
      <c r="C1074" t="s">
        <v>58</v>
      </c>
      <c r="D1074" t="s">
        <v>1538</v>
      </c>
      <c r="E1074">
        <v>34</v>
      </c>
    </row>
    <row r="1075" spans="1:5" x14ac:dyDescent="0.2">
      <c r="A1075" s="269">
        <v>45910.622754629629</v>
      </c>
      <c r="B1075" t="s">
        <v>1434</v>
      </c>
      <c r="C1075" t="s">
        <v>58</v>
      </c>
      <c r="D1075" t="s">
        <v>1539</v>
      </c>
      <c r="E1075">
        <v>65</v>
      </c>
    </row>
    <row r="1076" spans="1:5" x14ac:dyDescent="0.2">
      <c r="A1076" s="269">
        <v>45910.622800925928</v>
      </c>
      <c r="B1076" t="s">
        <v>1434</v>
      </c>
      <c r="C1076" t="s">
        <v>58</v>
      </c>
      <c r="D1076" t="s">
        <v>1491</v>
      </c>
      <c r="E1076" t="s">
        <v>1436</v>
      </c>
    </row>
    <row r="1077" spans="1:5" x14ac:dyDescent="0.2">
      <c r="A1077" s="269">
        <v>45910.622812499998</v>
      </c>
      <c r="B1077" t="s">
        <v>1434</v>
      </c>
      <c r="C1077" t="s">
        <v>58</v>
      </c>
      <c r="D1077" t="s">
        <v>1492</v>
      </c>
      <c r="E1077" t="s">
        <v>1436</v>
      </c>
    </row>
    <row r="1078" spans="1:5" x14ac:dyDescent="0.2">
      <c r="A1078" s="269">
        <v>45910.623252314814</v>
      </c>
      <c r="B1078" t="s">
        <v>1434</v>
      </c>
      <c r="C1078" t="s">
        <v>27</v>
      </c>
      <c r="D1078" t="s">
        <v>1540</v>
      </c>
      <c r="E1078">
        <v>60</v>
      </c>
    </row>
    <row r="1079" spans="1:5" x14ac:dyDescent="0.2">
      <c r="A1079" s="269">
        <v>45910.623310185183</v>
      </c>
      <c r="B1079" t="s">
        <v>1434</v>
      </c>
      <c r="C1079" t="s">
        <v>27</v>
      </c>
      <c r="D1079" t="s">
        <v>1541</v>
      </c>
    </row>
    <row r="1080" spans="1:5" x14ac:dyDescent="0.2">
      <c r="A1080" s="269">
        <v>45910.623356481483</v>
      </c>
      <c r="B1080" t="s">
        <v>1434</v>
      </c>
      <c r="C1080" t="s">
        <v>27</v>
      </c>
      <c r="D1080" t="s">
        <v>946</v>
      </c>
    </row>
    <row r="1081" spans="1:5" x14ac:dyDescent="0.2">
      <c r="A1081" s="269">
        <v>45910.623449074075</v>
      </c>
      <c r="B1081" t="s">
        <v>1434</v>
      </c>
      <c r="C1081" t="s">
        <v>27</v>
      </c>
      <c r="D1081" t="s">
        <v>946</v>
      </c>
      <c r="E1081" t="s">
        <v>37</v>
      </c>
    </row>
    <row r="1082" spans="1:5" x14ac:dyDescent="0.2">
      <c r="A1082" s="269">
        <v>45910.623495370368</v>
      </c>
      <c r="B1082" t="s">
        <v>1434</v>
      </c>
      <c r="C1082" t="s">
        <v>27</v>
      </c>
      <c r="D1082" t="s">
        <v>1542</v>
      </c>
      <c r="E1082" t="s">
        <v>37</v>
      </c>
    </row>
    <row r="1083" spans="1:5" x14ac:dyDescent="0.2">
      <c r="A1083" s="269">
        <v>45910.623518518521</v>
      </c>
      <c r="B1083" t="s">
        <v>1434</v>
      </c>
      <c r="C1083" t="s">
        <v>27</v>
      </c>
      <c r="D1083" t="s">
        <v>1191</v>
      </c>
      <c r="E1083" t="s">
        <v>37</v>
      </c>
    </row>
    <row r="1084" spans="1:5" x14ac:dyDescent="0.2">
      <c r="A1084" s="269">
        <v>45910.623553240737</v>
      </c>
      <c r="B1084" t="s">
        <v>1434</v>
      </c>
      <c r="C1084" t="s">
        <v>27</v>
      </c>
      <c r="D1084" t="s">
        <v>795</v>
      </c>
      <c r="E1084" t="s">
        <v>37</v>
      </c>
    </row>
    <row r="1085" spans="1:5" x14ac:dyDescent="0.2">
      <c r="A1085" s="269">
        <v>45910.623576388891</v>
      </c>
      <c r="B1085" t="s">
        <v>1434</v>
      </c>
      <c r="C1085" t="s">
        <v>27</v>
      </c>
      <c r="D1085" t="s">
        <v>1013</v>
      </c>
      <c r="E1085" t="s">
        <v>37</v>
      </c>
    </row>
    <row r="1086" spans="1:5" x14ac:dyDescent="0.2">
      <c r="A1086" s="269">
        <v>45910.623622685183</v>
      </c>
      <c r="B1086" t="s">
        <v>1434</v>
      </c>
      <c r="C1086" t="s">
        <v>27</v>
      </c>
      <c r="D1086" t="s">
        <v>747</v>
      </c>
      <c r="E1086" t="s">
        <v>37</v>
      </c>
    </row>
    <row r="1087" spans="1:5" x14ac:dyDescent="0.2">
      <c r="A1087" s="269">
        <v>45910.623969907407</v>
      </c>
      <c r="B1087" t="s">
        <v>1434</v>
      </c>
      <c r="C1087" t="s">
        <v>27</v>
      </c>
      <c r="D1087" t="s">
        <v>1543</v>
      </c>
      <c r="E1087">
        <v>2</v>
      </c>
    </row>
    <row r="1088" spans="1:5" x14ac:dyDescent="0.2">
      <c r="A1088" s="269">
        <v>45910.624039351853</v>
      </c>
      <c r="B1088" t="s">
        <v>1434</v>
      </c>
      <c r="C1088" t="s">
        <v>27</v>
      </c>
      <c r="D1088" t="s">
        <v>1435</v>
      </c>
      <c r="E1088" t="s">
        <v>37</v>
      </c>
    </row>
    <row r="1089" spans="1:5" x14ac:dyDescent="0.2">
      <c r="A1089" s="269">
        <v>45910.624062499999</v>
      </c>
      <c r="B1089" t="s">
        <v>1434</v>
      </c>
      <c r="C1089" t="s">
        <v>27</v>
      </c>
      <c r="D1089" t="s">
        <v>1544</v>
      </c>
      <c r="E1089" t="s">
        <v>298</v>
      </c>
    </row>
    <row r="1090" spans="1:5" x14ac:dyDescent="0.2">
      <c r="A1090" s="269">
        <v>45910.624120370368</v>
      </c>
      <c r="B1090" t="s">
        <v>1434</v>
      </c>
      <c r="C1090" t="s">
        <v>27</v>
      </c>
      <c r="D1090" t="s">
        <v>1545</v>
      </c>
      <c r="E1090" t="s">
        <v>37</v>
      </c>
    </row>
    <row r="1091" spans="1:5" x14ac:dyDescent="0.2">
      <c r="A1091" s="269">
        <v>45910.624155092592</v>
      </c>
      <c r="B1091" t="s">
        <v>1434</v>
      </c>
      <c r="C1091" t="s">
        <v>27</v>
      </c>
      <c r="D1091" t="s">
        <v>675</v>
      </c>
      <c r="E1091" t="s">
        <v>37</v>
      </c>
    </row>
    <row r="1092" spans="1:5" x14ac:dyDescent="0.2">
      <c r="A1092" s="269">
        <v>45910.624236111114</v>
      </c>
      <c r="B1092" t="s">
        <v>1434</v>
      </c>
      <c r="C1092" t="s">
        <v>27</v>
      </c>
      <c r="D1092" t="s">
        <v>675</v>
      </c>
    </row>
    <row r="1093" spans="1:5" x14ac:dyDescent="0.2">
      <c r="A1093" s="269">
        <v>45910.624247685184</v>
      </c>
      <c r="B1093" t="s">
        <v>1434</v>
      </c>
      <c r="C1093" t="s">
        <v>27</v>
      </c>
      <c r="D1093" t="s">
        <v>1545</v>
      </c>
      <c r="E1093" t="s">
        <v>298</v>
      </c>
    </row>
    <row r="1094" spans="1:5" x14ac:dyDescent="0.2">
      <c r="A1094" s="269">
        <v>45910.624259259261</v>
      </c>
      <c r="B1094" t="s">
        <v>1434</v>
      </c>
      <c r="C1094" t="s">
        <v>27</v>
      </c>
      <c r="D1094" t="s">
        <v>1544</v>
      </c>
    </row>
    <row r="1095" spans="1:5" x14ac:dyDescent="0.2">
      <c r="A1095" s="269">
        <v>45910.62427083333</v>
      </c>
      <c r="B1095" t="s">
        <v>1434</v>
      </c>
      <c r="C1095" t="s">
        <v>27</v>
      </c>
      <c r="D1095" t="s">
        <v>1435</v>
      </c>
    </row>
    <row r="1096" spans="1:5" x14ac:dyDescent="0.2">
      <c r="A1096" s="269">
        <v>45910.624282407407</v>
      </c>
      <c r="B1096" t="s">
        <v>1434</v>
      </c>
      <c r="C1096" t="s">
        <v>27</v>
      </c>
      <c r="D1096" t="s">
        <v>1543</v>
      </c>
    </row>
    <row r="1097" spans="1:5" x14ac:dyDescent="0.2">
      <c r="A1097" s="269">
        <v>45910.624282407407</v>
      </c>
      <c r="B1097" t="s">
        <v>1434</v>
      </c>
      <c r="C1097" t="s">
        <v>27</v>
      </c>
      <c r="D1097" t="s">
        <v>747</v>
      </c>
    </row>
    <row r="1098" spans="1:5" x14ac:dyDescent="0.2">
      <c r="A1098" s="269">
        <v>45910.624293981484</v>
      </c>
      <c r="B1098" t="s">
        <v>1434</v>
      </c>
      <c r="C1098" t="s">
        <v>27</v>
      </c>
      <c r="D1098" t="s">
        <v>1013</v>
      </c>
    </row>
    <row r="1099" spans="1:5" x14ac:dyDescent="0.2">
      <c r="A1099" s="269">
        <v>45910.624293981484</v>
      </c>
      <c r="B1099" t="s">
        <v>1434</v>
      </c>
      <c r="C1099" t="s">
        <v>27</v>
      </c>
      <c r="D1099" t="s">
        <v>795</v>
      </c>
    </row>
    <row r="1100" spans="1:5" x14ac:dyDescent="0.2">
      <c r="A1100" s="269">
        <v>45910.624305555553</v>
      </c>
      <c r="B1100" t="s">
        <v>1434</v>
      </c>
      <c r="C1100" t="s">
        <v>27</v>
      </c>
      <c r="D1100" t="s">
        <v>1191</v>
      </c>
    </row>
    <row r="1101" spans="1:5" x14ac:dyDescent="0.2">
      <c r="A1101" s="269">
        <v>45910.624305555553</v>
      </c>
      <c r="B1101" t="s">
        <v>1434</v>
      </c>
      <c r="C1101" t="s">
        <v>27</v>
      </c>
      <c r="D1101" t="s">
        <v>1542</v>
      </c>
    </row>
    <row r="1102" spans="1:5" x14ac:dyDescent="0.2">
      <c r="A1102" s="269">
        <v>45910.62431712963</v>
      </c>
      <c r="B1102" t="s">
        <v>1434</v>
      </c>
      <c r="C1102" t="s">
        <v>27</v>
      </c>
      <c r="D1102" t="s">
        <v>946</v>
      </c>
    </row>
    <row r="1103" spans="1:5" x14ac:dyDescent="0.2">
      <c r="A1103" s="269">
        <v>45910.624421296299</v>
      </c>
      <c r="B1103" t="s">
        <v>1434</v>
      </c>
      <c r="C1103" t="s">
        <v>27</v>
      </c>
      <c r="D1103" t="s">
        <v>1540</v>
      </c>
    </row>
    <row r="1104" spans="1:5" x14ac:dyDescent="0.2">
      <c r="A1104" s="269">
        <v>45910.624467592592</v>
      </c>
      <c r="B1104" t="s">
        <v>1434</v>
      </c>
      <c r="C1104" t="s">
        <v>27</v>
      </c>
      <c r="D1104" t="s">
        <v>1546</v>
      </c>
    </row>
    <row r="1105" spans="1:5" x14ac:dyDescent="0.2">
      <c r="A1105" s="269">
        <v>45910.624548611115</v>
      </c>
      <c r="B1105" t="s">
        <v>1434</v>
      </c>
      <c r="C1105" t="s">
        <v>27</v>
      </c>
      <c r="D1105" t="s">
        <v>946</v>
      </c>
      <c r="E1105" t="s">
        <v>37</v>
      </c>
    </row>
    <row r="1106" spans="1:5" x14ac:dyDescent="0.2">
      <c r="A1106" s="269">
        <v>45910.624583333331</v>
      </c>
      <c r="B1106" t="s">
        <v>1434</v>
      </c>
      <c r="C1106" t="s">
        <v>27</v>
      </c>
      <c r="D1106" t="s">
        <v>950</v>
      </c>
      <c r="E1106" t="s">
        <v>338</v>
      </c>
    </row>
    <row r="1107" spans="1:5" x14ac:dyDescent="0.2">
      <c r="A1107" s="269">
        <v>45910.624664351853</v>
      </c>
      <c r="B1107" t="s">
        <v>1434</v>
      </c>
      <c r="C1107" t="s">
        <v>27</v>
      </c>
      <c r="D1107" t="s">
        <v>1542</v>
      </c>
      <c r="E1107" t="s">
        <v>37</v>
      </c>
    </row>
    <row r="1108" spans="1:5" x14ac:dyDescent="0.2">
      <c r="A1108" s="269">
        <v>45910.624699074076</v>
      </c>
      <c r="B1108" t="s">
        <v>1434</v>
      </c>
      <c r="C1108" t="s">
        <v>27</v>
      </c>
      <c r="D1108" t="s">
        <v>1547</v>
      </c>
      <c r="E1108" t="s">
        <v>89</v>
      </c>
    </row>
    <row r="1109" spans="1:5" x14ac:dyDescent="0.2">
      <c r="A1109" s="269">
        <v>45910.624722222223</v>
      </c>
      <c r="B1109" t="s">
        <v>1434</v>
      </c>
      <c r="C1109" t="s">
        <v>27</v>
      </c>
      <c r="D1109" t="s">
        <v>1547</v>
      </c>
      <c r="E1109" t="s">
        <v>89</v>
      </c>
    </row>
    <row r="1110" spans="1:5" x14ac:dyDescent="0.2">
      <c r="A1110" s="269">
        <v>45910.624745370369</v>
      </c>
      <c r="B1110" t="s">
        <v>1434</v>
      </c>
      <c r="C1110" t="s">
        <v>27</v>
      </c>
      <c r="D1110" t="s">
        <v>924</v>
      </c>
    </row>
    <row r="1111" spans="1:5" x14ac:dyDescent="0.2">
      <c r="A1111" s="269">
        <v>45910.624756944446</v>
      </c>
      <c r="B1111" t="s">
        <v>1434</v>
      </c>
      <c r="C1111" t="s">
        <v>27</v>
      </c>
      <c r="D1111" t="s">
        <v>924</v>
      </c>
    </row>
    <row r="1112" spans="1:5" x14ac:dyDescent="0.2">
      <c r="A1112" s="269">
        <v>45910.624826388892</v>
      </c>
      <c r="B1112" t="s">
        <v>1434</v>
      </c>
      <c r="C1112" t="s">
        <v>27</v>
      </c>
      <c r="D1112" t="s">
        <v>924</v>
      </c>
    </row>
    <row r="1113" spans="1:5" x14ac:dyDescent="0.2">
      <c r="A1113" s="269">
        <v>45910.624930555554</v>
      </c>
      <c r="B1113" t="s">
        <v>1434</v>
      </c>
      <c r="C1113" t="s">
        <v>27</v>
      </c>
      <c r="D1113" t="s">
        <v>1548</v>
      </c>
    </row>
    <row r="1114" spans="1:5" x14ac:dyDescent="0.2">
      <c r="A1114" s="269">
        <v>45910.625023148146</v>
      </c>
      <c r="B1114" t="s">
        <v>1434</v>
      </c>
      <c r="C1114" t="s">
        <v>27</v>
      </c>
      <c r="D1114" t="s">
        <v>1549</v>
      </c>
    </row>
    <row r="1115" spans="1:5" x14ac:dyDescent="0.2">
      <c r="A1115" s="269">
        <v>45910.625034722223</v>
      </c>
      <c r="B1115" t="s">
        <v>1434</v>
      </c>
      <c r="C1115" t="s">
        <v>27</v>
      </c>
      <c r="D1115" t="s">
        <v>1549</v>
      </c>
    </row>
    <row r="1116" spans="1:5" x14ac:dyDescent="0.2">
      <c r="A1116" s="269">
        <v>45910.625034722223</v>
      </c>
      <c r="B1116" t="s">
        <v>1434</v>
      </c>
      <c r="C1116" t="s">
        <v>27</v>
      </c>
      <c r="D1116" t="s">
        <v>1549</v>
      </c>
    </row>
    <row r="1117" spans="1:5" x14ac:dyDescent="0.2">
      <c r="A1117" s="269">
        <v>45910.6250462963</v>
      </c>
      <c r="B1117" t="s">
        <v>1434</v>
      </c>
      <c r="C1117" t="s">
        <v>27</v>
      </c>
      <c r="D1117" t="s">
        <v>1549</v>
      </c>
    </row>
    <row r="1118" spans="1:5" x14ac:dyDescent="0.2">
      <c r="A1118" s="269">
        <v>45910.625057870369</v>
      </c>
      <c r="B1118" t="s">
        <v>1434</v>
      </c>
      <c r="C1118" t="s">
        <v>27</v>
      </c>
      <c r="D1118" t="s">
        <v>1549</v>
      </c>
    </row>
    <row r="1119" spans="1:5" x14ac:dyDescent="0.2">
      <c r="A1119" s="269">
        <v>45910.625057870369</v>
      </c>
      <c r="B1119" t="s">
        <v>1434</v>
      </c>
      <c r="C1119" t="s">
        <v>27</v>
      </c>
      <c r="D1119" t="s">
        <v>1549</v>
      </c>
    </row>
    <row r="1120" spans="1:5" x14ac:dyDescent="0.2">
      <c r="A1120" s="269">
        <v>45910.625069444446</v>
      </c>
      <c r="B1120" t="s">
        <v>1434</v>
      </c>
      <c r="C1120" t="s">
        <v>27</v>
      </c>
      <c r="D1120" t="s">
        <v>1549</v>
      </c>
    </row>
    <row r="1121" spans="1:5" x14ac:dyDescent="0.2">
      <c r="A1121" s="269">
        <v>45910.625081018516</v>
      </c>
      <c r="B1121" t="s">
        <v>1434</v>
      </c>
      <c r="C1121" t="s">
        <v>27</v>
      </c>
      <c r="D1121" t="s">
        <v>1549</v>
      </c>
    </row>
    <row r="1122" spans="1:5" x14ac:dyDescent="0.2">
      <c r="A1122" s="269">
        <v>45910.625081018516</v>
      </c>
      <c r="B1122" t="s">
        <v>1434</v>
      </c>
      <c r="C1122" t="s">
        <v>27</v>
      </c>
      <c r="D1122" t="s">
        <v>1549</v>
      </c>
    </row>
    <row r="1123" spans="1:5" x14ac:dyDescent="0.2">
      <c r="A1123" s="269">
        <v>45910.625081018516</v>
      </c>
      <c r="B1123" t="s">
        <v>1434</v>
      </c>
      <c r="C1123" t="s">
        <v>27</v>
      </c>
      <c r="D1123" t="s">
        <v>1549</v>
      </c>
    </row>
    <row r="1124" spans="1:5" x14ac:dyDescent="0.2">
      <c r="A1124" s="269">
        <v>45910.625081018516</v>
      </c>
      <c r="B1124" t="s">
        <v>1434</v>
      </c>
      <c r="C1124" t="s">
        <v>27</v>
      </c>
      <c r="D1124" t="s">
        <v>1549</v>
      </c>
    </row>
    <row r="1125" spans="1:5" x14ac:dyDescent="0.2">
      <c r="A1125" s="269">
        <v>45910.625081018516</v>
      </c>
      <c r="B1125" t="s">
        <v>1434</v>
      </c>
      <c r="C1125" t="s">
        <v>27</v>
      </c>
      <c r="D1125" t="s">
        <v>1549</v>
      </c>
    </row>
    <row r="1126" spans="1:5" x14ac:dyDescent="0.2">
      <c r="A1126" s="269">
        <v>45910.625081018516</v>
      </c>
      <c r="B1126" t="s">
        <v>1434</v>
      </c>
      <c r="C1126" t="s">
        <v>27</v>
      </c>
      <c r="D1126" t="s">
        <v>1548</v>
      </c>
      <c r="E1126" t="s">
        <v>37</v>
      </c>
    </row>
    <row r="1127" spans="1:5" x14ac:dyDescent="0.2">
      <c r="A1127" s="269">
        <v>45910.625092592592</v>
      </c>
      <c r="B1127" t="s">
        <v>1434</v>
      </c>
      <c r="C1127" t="s">
        <v>27</v>
      </c>
      <c r="D1127" t="s">
        <v>924</v>
      </c>
    </row>
    <row r="1128" spans="1:5" x14ac:dyDescent="0.2">
      <c r="A1128" s="269">
        <v>45910.625092592592</v>
      </c>
      <c r="B1128" t="s">
        <v>1434</v>
      </c>
      <c r="C1128" t="s">
        <v>27</v>
      </c>
      <c r="D1128" t="s">
        <v>924</v>
      </c>
    </row>
    <row r="1129" spans="1:5" x14ac:dyDescent="0.2">
      <c r="A1129" s="269">
        <v>45910.625092592592</v>
      </c>
      <c r="B1129" t="s">
        <v>1434</v>
      </c>
      <c r="C1129" t="s">
        <v>27</v>
      </c>
      <c r="D1129" t="s">
        <v>924</v>
      </c>
    </row>
    <row r="1130" spans="1:5" x14ac:dyDescent="0.2">
      <c r="A1130" s="269">
        <v>45910.625092592592</v>
      </c>
      <c r="B1130" t="s">
        <v>1434</v>
      </c>
      <c r="C1130" t="s">
        <v>27</v>
      </c>
      <c r="D1130" t="s">
        <v>1547</v>
      </c>
      <c r="E1130" t="s">
        <v>89</v>
      </c>
    </row>
    <row r="1131" spans="1:5" x14ac:dyDescent="0.2">
      <c r="A1131" s="269">
        <v>45910.625104166669</v>
      </c>
      <c r="B1131" t="s">
        <v>1434</v>
      </c>
      <c r="C1131" t="s">
        <v>27</v>
      </c>
      <c r="D1131" t="s">
        <v>1547</v>
      </c>
    </row>
    <row r="1132" spans="1:5" x14ac:dyDescent="0.2">
      <c r="A1132" s="269">
        <v>45910.625104166669</v>
      </c>
      <c r="B1132" t="s">
        <v>1434</v>
      </c>
      <c r="C1132" t="s">
        <v>27</v>
      </c>
      <c r="D1132" t="s">
        <v>1542</v>
      </c>
    </row>
    <row r="1133" spans="1:5" x14ac:dyDescent="0.2">
      <c r="A1133" s="269">
        <v>45910.625104166669</v>
      </c>
      <c r="B1133" t="s">
        <v>1434</v>
      </c>
      <c r="C1133" t="s">
        <v>27</v>
      </c>
      <c r="D1133" t="s">
        <v>950</v>
      </c>
    </row>
    <row r="1134" spans="1:5" x14ac:dyDescent="0.2">
      <c r="A1134" s="269">
        <v>45910.625104166669</v>
      </c>
      <c r="B1134" t="s">
        <v>1434</v>
      </c>
      <c r="C1134" t="s">
        <v>27</v>
      </c>
      <c r="D1134" t="s">
        <v>946</v>
      </c>
    </row>
    <row r="1135" spans="1:5" x14ac:dyDescent="0.2">
      <c r="A1135" s="269">
        <v>45910.625104166669</v>
      </c>
      <c r="B1135" t="s">
        <v>1434</v>
      </c>
      <c r="C1135" t="s">
        <v>27</v>
      </c>
      <c r="D1135" t="s">
        <v>1546</v>
      </c>
      <c r="E1135" t="s">
        <v>1433</v>
      </c>
    </row>
    <row r="1136" spans="1:5" x14ac:dyDescent="0.2">
      <c r="A1136" s="269">
        <v>45910.625115740739</v>
      </c>
      <c r="B1136" t="s">
        <v>1434</v>
      </c>
      <c r="C1136" t="s">
        <v>27</v>
      </c>
      <c r="D1136" t="s">
        <v>1540</v>
      </c>
      <c r="E1136">
        <v>60</v>
      </c>
    </row>
    <row r="1137" spans="1:5" x14ac:dyDescent="0.2">
      <c r="A1137" s="269">
        <v>45910.625115740739</v>
      </c>
      <c r="B1137" t="s">
        <v>1434</v>
      </c>
      <c r="C1137" t="s">
        <v>27</v>
      </c>
      <c r="D1137" t="s">
        <v>946</v>
      </c>
    </row>
    <row r="1138" spans="1:5" x14ac:dyDescent="0.2">
      <c r="A1138" s="269">
        <v>45910.625115740739</v>
      </c>
      <c r="B1138" t="s">
        <v>1434</v>
      </c>
      <c r="C1138" t="s">
        <v>27</v>
      </c>
      <c r="D1138" t="s">
        <v>1541</v>
      </c>
      <c r="E1138" t="s">
        <v>37</v>
      </c>
    </row>
    <row r="1139" spans="1:5" x14ac:dyDescent="0.2">
      <c r="A1139" s="269">
        <v>45910.625115740739</v>
      </c>
      <c r="B1139" t="s">
        <v>1434</v>
      </c>
      <c r="C1139" t="s">
        <v>27</v>
      </c>
      <c r="D1139" t="s">
        <v>1540</v>
      </c>
    </row>
    <row r="1140" spans="1:5" x14ac:dyDescent="0.2">
      <c r="A1140" s="269">
        <v>45910.625127314815</v>
      </c>
      <c r="B1140" t="s">
        <v>1434</v>
      </c>
      <c r="C1140" t="s">
        <v>58</v>
      </c>
      <c r="D1140" t="s">
        <v>1492</v>
      </c>
    </row>
    <row r="1141" spans="1:5" x14ac:dyDescent="0.2">
      <c r="A1141" s="269">
        <v>45910.625127314815</v>
      </c>
      <c r="B1141" t="s">
        <v>1434</v>
      </c>
      <c r="C1141" t="s">
        <v>58</v>
      </c>
      <c r="D1141" t="s">
        <v>1491</v>
      </c>
    </row>
    <row r="1142" spans="1:5" x14ac:dyDescent="0.2">
      <c r="A1142" s="269">
        <v>45910.625185185185</v>
      </c>
      <c r="B1142" t="s">
        <v>1434</v>
      </c>
      <c r="C1142" t="s">
        <v>58</v>
      </c>
      <c r="D1142" t="s">
        <v>1550</v>
      </c>
      <c r="E1142" t="s">
        <v>1436</v>
      </c>
    </row>
    <row r="1143" spans="1:5" x14ac:dyDescent="0.2">
      <c r="A1143" s="269">
        <v>45910.625231481485</v>
      </c>
      <c r="B1143" t="s">
        <v>1434</v>
      </c>
      <c r="C1143" t="s">
        <v>27</v>
      </c>
      <c r="D1143" t="s">
        <v>777</v>
      </c>
    </row>
    <row r="1144" spans="1:5" x14ac:dyDescent="0.2">
      <c r="A1144" s="269">
        <v>45910.625254629631</v>
      </c>
      <c r="B1144" t="s">
        <v>1434</v>
      </c>
      <c r="C1144" t="s">
        <v>27</v>
      </c>
      <c r="D1144" t="s">
        <v>777</v>
      </c>
    </row>
    <row r="1145" spans="1:5" x14ac:dyDescent="0.2">
      <c r="A1145" s="269">
        <v>45910.625474537039</v>
      </c>
      <c r="B1145" t="s">
        <v>1434</v>
      </c>
      <c r="C1145" t="s">
        <v>27</v>
      </c>
      <c r="D1145" t="s">
        <v>1551</v>
      </c>
      <c r="E1145" t="s">
        <v>37</v>
      </c>
    </row>
    <row r="1146" spans="1:5" x14ac:dyDescent="0.2">
      <c r="A1146" s="269">
        <v>45910.625567129631</v>
      </c>
      <c r="B1146" t="s">
        <v>1434</v>
      </c>
      <c r="C1146" t="s">
        <v>27</v>
      </c>
      <c r="D1146" t="s">
        <v>1552</v>
      </c>
    </row>
    <row r="1147" spans="1:5" x14ac:dyDescent="0.2">
      <c r="A1147" s="269">
        <v>45910.625659722224</v>
      </c>
      <c r="B1147" t="s">
        <v>1434</v>
      </c>
      <c r="C1147" t="s">
        <v>27</v>
      </c>
      <c r="D1147" t="s">
        <v>950</v>
      </c>
      <c r="E1147" t="s">
        <v>338</v>
      </c>
    </row>
    <row r="1148" spans="1:5" x14ac:dyDescent="0.2">
      <c r="A1148" s="269">
        <v>45910.625706018516</v>
      </c>
      <c r="B1148" t="s">
        <v>1434</v>
      </c>
      <c r="C1148" t="s">
        <v>27</v>
      </c>
      <c r="D1148" t="s">
        <v>1547</v>
      </c>
      <c r="E1148" t="s">
        <v>89</v>
      </c>
    </row>
    <row r="1149" spans="1:5" x14ac:dyDescent="0.2">
      <c r="A1149" s="269">
        <v>45910.625717592593</v>
      </c>
      <c r="B1149" t="s">
        <v>1434</v>
      </c>
      <c r="C1149" t="s">
        <v>27</v>
      </c>
      <c r="D1149" t="s">
        <v>1010</v>
      </c>
      <c r="E1149" t="s">
        <v>362</v>
      </c>
    </row>
    <row r="1150" spans="1:5" x14ac:dyDescent="0.2">
      <c r="A1150" s="269">
        <v>45910.62572916667</v>
      </c>
      <c r="B1150" t="s">
        <v>1434</v>
      </c>
      <c r="C1150" t="s">
        <v>27</v>
      </c>
      <c r="D1150" t="s">
        <v>995</v>
      </c>
      <c r="E1150" t="s">
        <v>371</v>
      </c>
    </row>
    <row r="1151" spans="1:5" x14ac:dyDescent="0.2">
      <c r="A1151" s="269">
        <v>45910.625752314816</v>
      </c>
      <c r="B1151" t="s">
        <v>1434</v>
      </c>
      <c r="C1151" t="s">
        <v>27</v>
      </c>
      <c r="D1151" t="s">
        <v>1014</v>
      </c>
      <c r="E1151" t="s">
        <v>362</v>
      </c>
    </row>
    <row r="1152" spans="1:5" x14ac:dyDescent="0.2">
      <c r="A1152" s="269">
        <v>45910.625752314816</v>
      </c>
      <c r="B1152" t="s">
        <v>1434</v>
      </c>
      <c r="C1152" t="s">
        <v>27</v>
      </c>
      <c r="D1152" t="s">
        <v>1017</v>
      </c>
      <c r="E1152" t="s">
        <v>338</v>
      </c>
    </row>
    <row r="1153" spans="1:5" x14ac:dyDescent="0.2">
      <c r="A1153" s="269">
        <v>45910.625763888886</v>
      </c>
      <c r="B1153" t="s">
        <v>1434</v>
      </c>
      <c r="C1153" t="s">
        <v>27</v>
      </c>
      <c r="D1153" t="s">
        <v>1553</v>
      </c>
      <c r="E1153" t="s">
        <v>371</v>
      </c>
    </row>
    <row r="1154" spans="1:5" x14ac:dyDescent="0.2">
      <c r="A1154" s="269">
        <v>45910.625798611109</v>
      </c>
      <c r="B1154" t="s">
        <v>1434</v>
      </c>
      <c r="C1154" t="s">
        <v>27</v>
      </c>
      <c r="D1154" t="s">
        <v>1553</v>
      </c>
      <c r="E1154" t="s">
        <v>338</v>
      </c>
    </row>
    <row r="1155" spans="1:5" x14ac:dyDescent="0.2">
      <c r="A1155" s="269">
        <v>45910.625810185185</v>
      </c>
      <c r="B1155" t="s">
        <v>1434</v>
      </c>
      <c r="C1155" t="s">
        <v>27</v>
      </c>
      <c r="D1155" t="s">
        <v>1554</v>
      </c>
      <c r="E1155" t="s">
        <v>89</v>
      </c>
    </row>
    <row r="1156" spans="1:5" x14ac:dyDescent="0.2">
      <c r="A1156" s="269">
        <v>45910.625821759262</v>
      </c>
      <c r="B1156" t="s">
        <v>1434</v>
      </c>
      <c r="C1156" t="s">
        <v>27</v>
      </c>
      <c r="D1156" t="s">
        <v>1555</v>
      </c>
      <c r="E1156" t="s">
        <v>362</v>
      </c>
    </row>
    <row r="1157" spans="1:5" x14ac:dyDescent="0.2">
      <c r="A1157" s="269">
        <v>45910.625821759262</v>
      </c>
      <c r="B1157" t="s">
        <v>1434</v>
      </c>
      <c r="C1157" t="s">
        <v>27</v>
      </c>
      <c r="D1157" t="s">
        <v>1556</v>
      </c>
      <c r="E1157" t="s">
        <v>371</v>
      </c>
    </row>
    <row r="1158" spans="1:5" x14ac:dyDescent="0.2">
      <c r="A1158" s="269">
        <v>45910.625844907408</v>
      </c>
      <c r="B1158" t="s">
        <v>1434</v>
      </c>
      <c r="C1158" t="s">
        <v>27</v>
      </c>
      <c r="D1158" t="s">
        <v>1557</v>
      </c>
      <c r="E1158" t="s">
        <v>362</v>
      </c>
    </row>
    <row r="1159" spans="1:5" x14ac:dyDescent="0.2">
      <c r="A1159" s="269">
        <v>45910.625925925924</v>
      </c>
      <c r="B1159" t="s">
        <v>1434</v>
      </c>
      <c r="C1159" t="s">
        <v>27</v>
      </c>
      <c r="D1159" t="s">
        <v>1014</v>
      </c>
      <c r="E1159" t="s">
        <v>379</v>
      </c>
    </row>
    <row r="1160" spans="1:5" x14ac:dyDescent="0.2">
      <c r="A1160" s="269">
        <v>45910.625937500001</v>
      </c>
      <c r="B1160" t="s">
        <v>1434</v>
      </c>
      <c r="C1160" t="s">
        <v>27</v>
      </c>
      <c r="D1160" t="s">
        <v>1017</v>
      </c>
      <c r="E1160" t="s">
        <v>386</v>
      </c>
    </row>
    <row r="1161" spans="1:5" x14ac:dyDescent="0.2">
      <c r="A1161" s="269">
        <v>45910.626018518517</v>
      </c>
      <c r="B1161" t="s">
        <v>1434</v>
      </c>
      <c r="C1161" t="s">
        <v>27</v>
      </c>
      <c r="D1161" t="s">
        <v>1558</v>
      </c>
      <c r="E1161" t="s">
        <v>338</v>
      </c>
    </row>
    <row r="1162" spans="1:5" x14ac:dyDescent="0.2">
      <c r="A1162" s="269">
        <v>45910.626273148147</v>
      </c>
      <c r="B1162" t="s">
        <v>1434</v>
      </c>
      <c r="C1162" t="s">
        <v>27</v>
      </c>
      <c r="D1162" t="s">
        <v>1543</v>
      </c>
      <c r="E1162">
        <v>2</v>
      </c>
    </row>
    <row r="1163" spans="1:5" x14ac:dyDescent="0.2">
      <c r="A1163" s="269">
        <v>45910.626493055555</v>
      </c>
      <c r="B1163" t="s">
        <v>1434</v>
      </c>
      <c r="C1163" t="s">
        <v>27</v>
      </c>
      <c r="D1163" t="s">
        <v>1540</v>
      </c>
      <c r="E1163">
        <v>60</v>
      </c>
    </row>
    <row r="1164" spans="1:5" x14ac:dyDescent="0.2">
      <c r="A1164" s="269">
        <v>45910.626759259256</v>
      </c>
      <c r="B1164" t="s">
        <v>1434</v>
      </c>
      <c r="C1164" t="s">
        <v>103</v>
      </c>
      <c r="D1164" t="s">
        <v>676</v>
      </c>
    </row>
    <row r="1165" spans="1:5" x14ac:dyDescent="0.2">
      <c r="A1165" s="269">
        <v>45910.626793981479</v>
      </c>
      <c r="B1165" t="s">
        <v>1434</v>
      </c>
      <c r="C1165" t="s">
        <v>103</v>
      </c>
      <c r="D1165" t="s">
        <v>1559</v>
      </c>
    </row>
    <row r="1166" spans="1:5" x14ac:dyDescent="0.2">
      <c r="A1166" s="269">
        <v>45910.627893518518</v>
      </c>
      <c r="B1166" t="s">
        <v>1434</v>
      </c>
      <c r="C1166" t="s">
        <v>103</v>
      </c>
      <c r="D1166" t="s">
        <v>1542</v>
      </c>
      <c r="E1166" t="s">
        <v>338</v>
      </c>
    </row>
    <row r="1167" spans="1:5" x14ac:dyDescent="0.2">
      <c r="A1167" s="269">
        <v>45910.627928240741</v>
      </c>
      <c r="B1167" t="s">
        <v>1434</v>
      </c>
      <c r="C1167" t="s">
        <v>103</v>
      </c>
      <c r="D1167" t="s">
        <v>1191</v>
      </c>
      <c r="E1167" t="s">
        <v>89</v>
      </c>
    </row>
    <row r="1168" spans="1:5" x14ac:dyDescent="0.2">
      <c r="A1168" s="269">
        <v>45910.627951388888</v>
      </c>
      <c r="B1168" t="s">
        <v>1434</v>
      </c>
      <c r="C1168" t="s">
        <v>103</v>
      </c>
      <c r="D1168" t="s">
        <v>1191</v>
      </c>
      <c r="E1168" t="s">
        <v>362</v>
      </c>
    </row>
    <row r="1169" spans="1:5" x14ac:dyDescent="0.2">
      <c r="A1169" s="269">
        <v>45910.627997685187</v>
      </c>
      <c r="B1169" t="s">
        <v>1434</v>
      </c>
      <c r="C1169" t="s">
        <v>103</v>
      </c>
      <c r="D1169" t="s">
        <v>1191</v>
      </c>
      <c r="E1169" t="s">
        <v>89</v>
      </c>
    </row>
    <row r="1170" spans="1:5" x14ac:dyDescent="0.2">
      <c r="A1170" s="269">
        <v>45910.628020833334</v>
      </c>
      <c r="B1170" t="s">
        <v>1434</v>
      </c>
      <c r="C1170" t="s">
        <v>103</v>
      </c>
      <c r="D1170" t="s">
        <v>795</v>
      </c>
      <c r="E1170" t="s">
        <v>362</v>
      </c>
    </row>
    <row r="1171" spans="1:5" x14ac:dyDescent="0.2">
      <c r="A1171" s="269">
        <v>45910.628020833334</v>
      </c>
      <c r="B1171" t="s">
        <v>1434</v>
      </c>
      <c r="C1171" t="s">
        <v>103</v>
      </c>
      <c r="D1171" t="s">
        <v>1013</v>
      </c>
      <c r="E1171" t="s">
        <v>371</v>
      </c>
    </row>
    <row r="1172" spans="1:5" x14ac:dyDescent="0.2">
      <c r="A1172" s="269">
        <v>45910.628032407411</v>
      </c>
      <c r="B1172" t="s">
        <v>1434</v>
      </c>
      <c r="C1172" t="s">
        <v>103</v>
      </c>
      <c r="D1172" t="s">
        <v>747</v>
      </c>
      <c r="E1172" t="s">
        <v>362</v>
      </c>
    </row>
    <row r="1173" spans="1:5" x14ac:dyDescent="0.2">
      <c r="A1173" s="269">
        <v>45910.628078703703</v>
      </c>
      <c r="B1173" t="s">
        <v>1434</v>
      </c>
      <c r="C1173" t="s">
        <v>103</v>
      </c>
      <c r="D1173" t="s">
        <v>747</v>
      </c>
      <c r="E1173" t="s">
        <v>379</v>
      </c>
    </row>
    <row r="1174" spans="1:5" x14ac:dyDescent="0.2">
      <c r="A1174" s="269">
        <v>45910.62809027778</v>
      </c>
      <c r="B1174" t="s">
        <v>1434</v>
      </c>
      <c r="C1174" t="s">
        <v>103</v>
      </c>
      <c r="D1174" t="s">
        <v>1435</v>
      </c>
      <c r="E1174" t="s">
        <v>386</v>
      </c>
    </row>
    <row r="1175" spans="1:5" x14ac:dyDescent="0.2">
      <c r="A1175" s="269">
        <v>45910.628159722219</v>
      </c>
      <c r="B1175" t="s">
        <v>1434</v>
      </c>
      <c r="C1175" t="s">
        <v>103</v>
      </c>
      <c r="D1175" t="s">
        <v>1560</v>
      </c>
    </row>
    <row r="1176" spans="1:5" x14ac:dyDescent="0.2">
      <c r="A1176" s="269">
        <v>45910.628194444442</v>
      </c>
      <c r="B1176" t="s">
        <v>1434</v>
      </c>
      <c r="C1176" t="s">
        <v>103</v>
      </c>
      <c r="D1176" t="s">
        <v>1561</v>
      </c>
    </row>
    <row r="1177" spans="1:5" x14ac:dyDescent="0.2">
      <c r="A1177" s="269">
        <v>45910.628969907404</v>
      </c>
      <c r="B1177" t="s">
        <v>1434</v>
      </c>
      <c r="C1177" t="s">
        <v>103</v>
      </c>
      <c r="D1177" t="s">
        <v>1562</v>
      </c>
      <c r="E1177">
        <v>21700</v>
      </c>
    </row>
    <row r="1178" spans="1:5" x14ac:dyDescent="0.2">
      <c r="A1178" s="269">
        <v>45910.629120370373</v>
      </c>
      <c r="B1178" t="s">
        <v>1434</v>
      </c>
      <c r="C1178" t="s">
        <v>103</v>
      </c>
      <c r="D1178" t="s">
        <v>1563</v>
      </c>
      <c r="E1178" s="443">
        <v>325353.40000000002</v>
      </c>
    </row>
    <row r="1179" spans="1:5" x14ac:dyDescent="0.2">
      <c r="A1179" s="269">
        <v>45910.629282407404</v>
      </c>
      <c r="B1179" t="s">
        <v>1434</v>
      </c>
      <c r="C1179" t="s">
        <v>26</v>
      </c>
      <c r="D1179" t="s">
        <v>1564</v>
      </c>
    </row>
    <row r="1180" spans="1:5" x14ac:dyDescent="0.2">
      <c r="A1180" s="269">
        <v>45910.629317129627</v>
      </c>
      <c r="B1180" t="s">
        <v>1434</v>
      </c>
      <c r="C1180" t="s">
        <v>26</v>
      </c>
      <c r="D1180" t="s">
        <v>1565</v>
      </c>
    </row>
    <row r="1181" spans="1:5" x14ac:dyDescent="0.2">
      <c r="A1181" s="269">
        <v>45910.629351851851</v>
      </c>
      <c r="B1181" t="s">
        <v>1434</v>
      </c>
      <c r="C1181" t="s">
        <v>26</v>
      </c>
      <c r="D1181" t="s">
        <v>1566</v>
      </c>
    </row>
    <row r="1182" spans="1:5" x14ac:dyDescent="0.2">
      <c r="A1182" s="269">
        <v>45910.63013888889</v>
      </c>
      <c r="B1182" t="s">
        <v>1434</v>
      </c>
      <c r="C1182" t="s">
        <v>26</v>
      </c>
      <c r="D1182" t="s">
        <v>1563</v>
      </c>
      <c r="E1182">
        <v>41</v>
      </c>
    </row>
    <row r="1183" spans="1:5" x14ac:dyDescent="0.2">
      <c r="A1183" s="269">
        <v>45910.63040509259</v>
      </c>
      <c r="B1183" t="s">
        <v>1434</v>
      </c>
      <c r="C1183" t="s">
        <v>28</v>
      </c>
      <c r="D1183" t="s">
        <v>1567</v>
      </c>
    </row>
    <row r="1184" spans="1:5" x14ac:dyDescent="0.2">
      <c r="A1184" s="269">
        <v>45910.630439814813</v>
      </c>
      <c r="B1184" t="s">
        <v>1434</v>
      </c>
      <c r="C1184" t="s">
        <v>28</v>
      </c>
      <c r="D1184" t="s">
        <v>1568</v>
      </c>
    </row>
    <row r="1185" spans="1:5" x14ac:dyDescent="0.2">
      <c r="A1185" s="269">
        <v>45910.630509259259</v>
      </c>
      <c r="B1185" t="s">
        <v>1434</v>
      </c>
      <c r="C1185" t="s">
        <v>28</v>
      </c>
      <c r="D1185" t="s">
        <v>1569</v>
      </c>
    </row>
    <row r="1186" spans="1:5" x14ac:dyDescent="0.2">
      <c r="A1186" s="269">
        <v>45910.630555555559</v>
      </c>
      <c r="B1186" t="s">
        <v>1434</v>
      </c>
      <c r="C1186" t="s">
        <v>28</v>
      </c>
      <c r="D1186" t="s">
        <v>1570</v>
      </c>
    </row>
    <row r="1187" spans="1:5" x14ac:dyDescent="0.2">
      <c r="A1187" s="269">
        <v>45910.630613425928</v>
      </c>
      <c r="B1187" t="s">
        <v>1434</v>
      </c>
      <c r="C1187" t="s">
        <v>28</v>
      </c>
      <c r="D1187" t="s">
        <v>1564</v>
      </c>
    </row>
    <row r="1188" spans="1:5" x14ac:dyDescent="0.2">
      <c r="A1188" s="269">
        <v>45910.630636574075</v>
      </c>
      <c r="B1188" t="s">
        <v>1434</v>
      </c>
      <c r="C1188" t="s">
        <v>28</v>
      </c>
      <c r="D1188" t="s">
        <v>1565</v>
      </c>
    </row>
    <row r="1189" spans="1:5" x14ac:dyDescent="0.2">
      <c r="A1189" s="269">
        <v>45910.630671296298</v>
      </c>
      <c r="B1189" t="s">
        <v>1434</v>
      </c>
      <c r="C1189" t="s">
        <v>28</v>
      </c>
      <c r="D1189" t="s">
        <v>1566</v>
      </c>
    </row>
    <row r="1190" spans="1:5" x14ac:dyDescent="0.2">
      <c r="A1190" s="269">
        <v>45910.630694444444</v>
      </c>
      <c r="B1190" t="s">
        <v>1434</v>
      </c>
      <c r="C1190" t="s">
        <v>28</v>
      </c>
      <c r="D1190" t="s">
        <v>1561</v>
      </c>
    </row>
    <row r="1191" spans="1:5" x14ac:dyDescent="0.2">
      <c r="A1191" s="269">
        <v>45910.637928240743</v>
      </c>
      <c r="B1191" t="s">
        <v>1434</v>
      </c>
      <c r="C1191" t="s">
        <v>28</v>
      </c>
      <c r="D1191" t="s">
        <v>973</v>
      </c>
      <c r="E1191">
        <v>1875</v>
      </c>
    </row>
    <row r="1192" spans="1:5" x14ac:dyDescent="0.2">
      <c r="A1192" s="269">
        <v>45910.638020833336</v>
      </c>
      <c r="B1192" t="s">
        <v>1434</v>
      </c>
      <c r="C1192" t="s">
        <v>28</v>
      </c>
      <c r="D1192" t="s">
        <v>976</v>
      </c>
      <c r="E1192">
        <v>2125</v>
      </c>
    </row>
    <row r="1193" spans="1:5" x14ac:dyDescent="0.2">
      <c r="A1193" s="269">
        <v>45910.638252314813</v>
      </c>
      <c r="B1193" t="s">
        <v>1434</v>
      </c>
      <c r="C1193" t="s">
        <v>28</v>
      </c>
      <c r="D1193" t="s">
        <v>977</v>
      </c>
      <c r="E1193">
        <v>1350</v>
      </c>
    </row>
    <row r="1194" spans="1:5" x14ac:dyDescent="0.2">
      <c r="A1194" s="269">
        <v>45910.63863425926</v>
      </c>
      <c r="B1194" t="s">
        <v>1434</v>
      </c>
      <c r="C1194" t="s">
        <v>28</v>
      </c>
      <c r="D1194" t="s">
        <v>923</v>
      </c>
      <c r="E1194">
        <v>2125</v>
      </c>
    </row>
    <row r="1195" spans="1:5" x14ac:dyDescent="0.2">
      <c r="A1195" s="269">
        <v>45910.639004629629</v>
      </c>
      <c r="B1195" t="s">
        <v>1434</v>
      </c>
      <c r="C1195" t="s">
        <v>28</v>
      </c>
      <c r="D1195" t="s">
        <v>1571</v>
      </c>
      <c r="E1195">
        <v>1920</v>
      </c>
    </row>
    <row r="1196" spans="1:5" x14ac:dyDescent="0.2">
      <c r="A1196" s="269">
        <v>45910.639270833337</v>
      </c>
      <c r="B1196" t="s">
        <v>1434</v>
      </c>
      <c r="C1196" t="s">
        <v>28</v>
      </c>
      <c r="D1196" t="s">
        <v>1571</v>
      </c>
      <c r="E1196">
        <v>2700</v>
      </c>
    </row>
    <row r="1197" spans="1:5" x14ac:dyDescent="0.2">
      <c r="A1197" s="269">
        <v>45910.639641203707</v>
      </c>
      <c r="B1197" t="s">
        <v>1434</v>
      </c>
      <c r="C1197" t="s">
        <v>28</v>
      </c>
      <c r="D1197" t="s">
        <v>976</v>
      </c>
      <c r="E1197">
        <v>2125</v>
      </c>
    </row>
    <row r="1198" spans="1:5" x14ac:dyDescent="0.2">
      <c r="A1198" s="269">
        <v>45910.639699074076</v>
      </c>
      <c r="B1198" t="s">
        <v>1434</v>
      </c>
      <c r="C1198" t="s">
        <v>28</v>
      </c>
      <c r="D1198" t="s">
        <v>973</v>
      </c>
      <c r="E1198">
        <v>1875</v>
      </c>
    </row>
    <row r="1199" spans="1:5" x14ac:dyDescent="0.2">
      <c r="A1199" s="269">
        <v>45910.639768518522</v>
      </c>
      <c r="B1199" t="s">
        <v>1434</v>
      </c>
      <c r="C1199" t="s">
        <v>28</v>
      </c>
      <c r="D1199" t="s">
        <v>973</v>
      </c>
      <c r="E1199">
        <v>3795</v>
      </c>
    </row>
    <row r="1200" spans="1:5" x14ac:dyDescent="0.2">
      <c r="A1200" s="269">
        <v>45910.6403125</v>
      </c>
      <c r="B1200" t="s">
        <v>1434</v>
      </c>
      <c r="C1200" t="s">
        <v>28</v>
      </c>
      <c r="D1200" t="s">
        <v>976</v>
      </c>
      <c r="E1200">
        <v>4045</v>
      </c>
    </row>
    <row r="1201" spans="1:5" x14ac:dyDescent="0.2">
      <c r="A1201" s="269">
        <v>45910.640648148146</v>
      </c>
      <c r="B1201" t="s">
        <v>1434</v>
      </c>
      <c r="C1201" t="s">
        <v>28</v>
      </c>
      <c r="D1201" t="s">
        <v>1571</v>
      </c>
      <c r="E1201">
        <v>1950</v>
      </c>
    </row>
    <row r="1202" spans="1:5" x14ac:dyDescent="0.2">
      <c r="A1202" s="269">
        <v>45910.640844907408</v>
      </c>
      <c r="B1202" t="s">
        <v>1434</v>
      </c>
      <c r="C1202" t="s">
        <v>28</v>
      </c>
      <c r="D1202" t="s">
        <v>973</v>
      </c>
      <c r="E1202">
        <v>3375</v>
      </c>
    </row>
    <row r="1203" spans="1:5" x14ac:dyDescent="0.2">
      <c r="A1203" s="269">
        <v>45910.640925925924</v>
      </c>
      <c r="B1203" t="s">
        <v>1434</v>
      </c>
      <c r="C1203" t="s">
        <v>28</v>
      </c>
      <c r="D1203" t="s">
        <v>976</v>
      </c>
      <c r="E1203">
        <v>3525</v>
      </c>
    </row>
    <row r="1204" spans="1:5" x14ac:dyDescent="0.2">
      <c r="A1204" s="269">
        <v>45910.641782407409</v>
      </c>
      <c r="B1204" t="s">
        <v>1434</v>
      </c>
      <c r="C1204" t="s">
        <v>28</v>
      </c>
      <c r="D1204" t="s">
        <v>973</v>
      </c>
      <c r="E1204">
        <v>3175</v>
      </c>
    </row>
    <row r="1205" spans="1:5" x14ac:dyDescent="0.2">
      <c r="A1205" s="269">
        <v>45910.641898148147</v>
      </c>
      <c r="B1205" t="s">
        <v>1434</v>
      </c>
      <c r="C1205" t="s">
        <v>28</v>
      </c>
      <c r="D1205" t="s">
        <v>973</v>
      </c>
      <c r="E1205">
        <v>2800</v>
      </c>
    </row>
    <row r="1206" spans="1:5" x14ac:dyDescent="0.2">
      <c r="A1206" s="269">
        <v>45910.641979166663</v>
      </c>
      <c r="B1206" t="s">
        <v>1434</v>
      </c>
      <c r="C1206" t="s">
        <v>28</v>
      </c>
      <c r="D1206" t="s">
        <v>973</v>
      </c>
      <c r="E1206">
        <v>3100</v>
      </c>
    </row>
    <row r="1207" spans="1:5" x14ac:dyDescent="0.2">
      <c r="A1207" s="269">
        <v>45910.642141203702</v>
      </c>
      <c r="B1207" t="s">
        <v>1434</v>
      </c>
      <c r="C1207" t="s">
        <v>28</v>
      </c>
      <c r="D1207" t="s">
        <v>976</v>
      </c>
      <c r="E1207">
        <v>3175</v>
      </c>
    </row>
    <row r="1208" spans="1:5" x14ac:dyDescent="0.2">
      <c r="A1208" s="269">
        <v>45910.642210648148</v>
      </c>
      <c r="B1208" t="s">
        <v>1434</v>
      </c>
      <c r="C1208" t="s">
        <v>28</v>
      </c>
      <c r="D1208" t="s">
        <v>976</v>
      </c>
      <c r="E1208">
        <v>3150</v>
      </c>
    </row>
    <row r="1209" spans="1:5" x14ac:dyDescent="0.2">
      <c r="A1209" s="269">
        <v>45910.64267361111</v>
      </c>
      <c r="B1209" t="s">
        <v>1434</v>
      </c>
      <c r="C1209" t="s">
        <v>28</v>
      </c>
      <c r="D1209" t="s">
        <v>977</v>
      </c>
      <c r="E1209">
        <v>2150</v>
      </c>
    </row>
    <row r="1210" spans="1:5" x14ac:dyDescent="0.2">
      <c r="A1210" s="269">
        <v>45910.642743055556</v>
      </c>
      <c r="B1210" t="s">
        <v>1434</v>
      </c>
      <c r="C1210" t="s">
        <v>28</v>
      </c>
      <c r="D1210" t="s">
        <v>923</v>
      </c>
      <c r="E1210">
        <v>2825</v>
      </c>
    </row>
    <row r="1211" spans="1:5" x14ac:dyDescent="0.2">
      <c r="A1211" s="269">
        <v>45910.642835648148</v>
      </c>
      <c r="B1211" t="s">
        <v>1434</v>
      </c>
      <c r="C1211" t="s">
        <v>28</v>
      </c>
      <c r="D1211" t="s">
        <v>918</v>
      </c>
      <c r="E1211">
        <v>4520</v>
      </c>
    </row>
    <row r="1212" spans="1:5" x14ac:dyDescent="0.2">
      <c r="A1212" s="269">
        <v>45910.642893518518</v>
      </c>
      <c r="B1212" t="s">
        <v>1434</v>
      </c>
      <c r="C1212" t="s">
        <v>28</v>
      </c>
      <c r="D1212" t="s">
        <v>918</v>
      </c>
      <c r="E1212">
        <v>1000</v>
      </c>
    </row>
    <row r="1213" spans="1:5" x14ac:dyDescent="0.2">
      <c r="A1213" s="269">
        <v>45910.64303240741</v>
      </c>
      <c r="B1213" t="s">
        <v>1434</v>
      </c>
      <c r="C1213" t="s">
        <v>28</v>
      </c>
      <c r="D1213" t="s">
        <v>923</v>
      </c>
      <c r="E1213">
        <v>2850</v>
      </c>
    </row>
    <row r="1214" spans="1:5" x14ac:dyDescent="0.2">
      <c r="A1214" s="269">
        <v>45910.64329861111</v>
      </c>
      <c r="B1214" t="s">
        <v>1434</v>
      </c>
      <c r="C1214" t="s">
        <v>28</v>
      </c>
      <c r="D1214" t="s">
        <v>923</v>
      </c>
      <c r="E1214">
        <v>2825</v>
      </c>
    </row>
    <row r="1215" spans="1:5" x14ac:dyDescent="0.2">
      <c r="A1215" s="269">
        <v>45910.643611111111</v>
      </c>
      <c r="B1215" t="s">
        <v>1434</v>
      </c>
      <c r="C1215" t="s">
        <v>28</v>
      </c>
      <c r="D1215" t="s">
        <v>923</v>
      </c>
      <c r="E1215">
        <v>2850</v>
      </c>
    </row>
    <row r="1216" spans="1:5" x14ac:dyDescent="0.2">
      <c r="A1216" s="269">
        <v>45910.654108796298</v>
      </c>
      <c r="B1216" t="s">
        <v>1434</v>
      </c>
      <c r="C1216" t="s">
        <v>597</v>
      </c>
      <c r="D1216" t="s">
        <v>1572</v>
      </c>
      <c r="E1216" t="s">
        <v>39</v>
      </c>
    </row>
    <row r="1217" spans="1:5" x14ac:dyDescent="0.2">
      <c r="A1217" s="269">
        <v>45910.656006944446</v>
      </c>
      <c r="B1217" t="s">
        <v>1434</v>
      </c>
      <c r="C1217" t="s">
        <v>28</v>
      </c>
      <c r="D1217" t="s">
        <v>1544</v>
      </c>
    </row>
    <row r="1218" spans="1:5" x14ac:dyDescent="0.2">
      <c r="A1218" s="269">
        <v>45910.656006944446</v>
      </c>
      <c r="B1218" t="s">
        <v>1434</v>
      </c>
      <c r="C1218" t="s">
        <v>28</v>
      </c>
      <c r="D1218" t="s">
        <v>1544</v>
      </c>
    </row>
    <row r="1219" spans="1:5" x14ac:dyDescent="0.2">
      <c r="A1219" s="269">
        <v>45910.66202546296</v>
      </c>
      <c r="B1219" t="s">
        <v>1434</v>
      </c>
      <c r="C1219" t="s">
        <v>597</v>
      </c>
      <c r="D1219" t="s">
        <v>1572</v>
      </c>
      <c r="E1219" t="s">
        <v>39</v>
      </c>
    </row>
    <row r="1220" spans="1:5" x14ac:dyDescent="0.2">
      <c r="A1220" s="269">
        <v>45910.662314814814</v>
      </c>
      <c r="B1220" t="s">
        <v>1434</v>
      </c>
      <c r="C1220" t="s">
        <v>2</v>
      </c>
      <c r="D1220" t="s">
        <v>1029</v>
      </c>
      <c r="E1220">
        <v>14200</v>
      </c>
    </row>
    <row r="1221" spans="1:5" x14ac:dyDescent="0.2">
      <c r="A1221" s="269">
        <v>45910.677685185183</v>
      </c>
      <c r="B1221" t="s">
        <v>1434</v>
      </c>
      <c r="C1221" t="s">
        <v>597</v>
      </c>
      <c r="D1221" t="s">
        <v>1572</v>
      </c>
      <c r="E1221" t="s">
        <v>39</v>
      </c>
    </row>
    <row r="1222" spans="1:5" x14ac:dyDescent="0.2">
      <c r="A1222" s="269">
        <v>45911.438333333332</v>
      </c>
      <c r="B1222" t="s">
        <v>1434</v>
      </c>
      <c r="C1222" t="s">
        <v>597</v>
      </c>
      <c r="D1222" t="s">
        <v>1572</v>
      </c>
      <c r="E1222" t="s">
        <v>39</v>
      </c>
    </row>
    <row r="1223" spans="1:5" x14ac:dyDescent="0.2">
      <c r="A1223" s="269">
        <v>45911.438483796293</v>
      </c>
      <c r="B1223" t="s">
        <v>1434</v>
      </c>
      <c r="C1223" t="s">
        <v>28</v>
      </c>
      <c r="D1223" t="s">
        <v>1544</v>
      </c>
      <c r="E1223" t="s">
        <v>338</v>
      </c>
    </row>
    <row r="1224" spans="1:5" x14ac:dyDescent="0.2">
      <c r="A1224" s="269">
        <v>45911.438518518517</v>
      </c>
      <c r="B1224" t="s">
        <v>1434</v>
      </c>
      <c r="C1224" t="s">
        <v>28</v>
      </c>
      <c r="D1224" t="s">
        <v>1573</v>
      </c>
      <c r="E1224" t="s">
        <v>89</v>
      </c>
    </row>
    <row r="1225" spans="1:5" x14ac:dyDescent="0.2">
      <c r="A1225" s="269">
        <v>45911.438564814816</v>
      </c>
      <c r="B1225" t="s">
        <v>1434</v>
      </c>
      <c r="C1225" t="s">
        <v>28</v>
      </c>
      <c r="D1225" t="s">
        <v>672</v>
      </c>
      <c r="E1225" t="s">
        <v>362</v>
      </c>
    </row>
    <row r="1226" spans="1:5" x14ac:dyDescent="0.2">
      <c r="A1226" s="269">
        <v>45911.438703703701</v>
      </c>
      <c r="B1226" t="s">
        <v>1434</v>
      </c>
      <c r="C1226" t="s">
        <v>28</v>
      </c>
      <c r="D1226" t="s">
        <v>674</v>
      </c>
      <c r="E1226" t="s">
        <v>371</v>
      </c>
    </row>
    <row r="1227" spans="1:5" x14ac:dyDescent="0.2">
      <c r="A1227" s="269">
        <v>45911.438761574071</v>
      </c>
      <c r="B1227" t="s">
        <v>1434</v>
      </c>
      <c r="C1227" t="s">
        <v>28</v>
      </c>
      <c r="D1227" t="s">
        <v>675</v>
      </c>
      <c r="E1227" t="s">
        <v>379</v>
      </c>
    </row>
    <row r="1228" spans="1:5" x14ac:dyDescent="0.2">
      <c r="A1228" s="269">
        <v>45911.438819444447</v>
      </c>
      <c r="B1228" t="s">
        <v>1434</v>
      </c>
      <c r="C1228" t="s">
        <v>28</v>
      </c>
      <c r="D1228" t="s">
        <v>676</v>
      </c>
      <c r="E1228" t="s">
        <v>386</v>
      </c>
    </row>
    <row r="1229" spans="1:5" x14ac:dyDescent="0.2">
      <c r="A1229" s="269">
        <v>45911.438877314817</v>
      </c>
      <c r="B1229" t="s">
        <v>1434</v>
      </c>
      <c r="C1229" t="s">
        <v>28</v>
      </c>
      <c r="D1229" t="s">
        <v>1069</v>
      </c>
      <c r="E1229" t="s">
        <v>317</v>
      </c>
    </row>
    <row r="1230" spans="1:5" x14ac:dyDescent="0.2">
      <c r="A1230" s="269">
        <v>45911.438923611109</v>
      </c>
      <c r="B1230" t="s">
        <v>1434</v>
      </c>
      <c r="C1230" t="s">
        <v>28</v>
      </c>
      <c r="D1230" t="s">
        <v>1574</v>
      </c>
      <c r="E1230" t="s">
        <v>317</v>
      </c>
    </row>
    <row r="1231" spans="1:5" x14ac:dyDescent="0.2">
      <c r="A1231" s="269">
        <v>45911.438969907409</v>
      </c>
      <c r="B1231" t="s">
        <v>1434</v>
      </c>
      <c r="C1231" t="s">
        <v>28</v>
      </c>
      <c r="D1231" t="s">
        <v>1575</v>
      </c>
      <c r="E1231" t="s">
        <v>317</v>
      </c>
    </row>
    <row r="1232" spans="1:5" x14ac:dyDescent="0.2">
      <c r="A1232" s="269">
        <v>45911.439016203702</v>
      </c>
      <c r="B1232" t="s">
        <v>1434</v>
      </c>
      <c r="C1232" t="s">
        <v>28</v>
      </c>
      <c r="D1232" t="s">
        <v>1521</v>
      </c>
      <c r="E1232" t="s">
        <v>317</v>
      </c>
    </row>
    <row r="1233" spans="1:5" x14ac:dyDescent="0.2">
      <c r="A1233" s="269">
        <v>45911.439085648148</v>
      </c>
      <c r="B1233" t="s">
        <v>1434</v>
      </c>
      <c r="C1233" t="s">
        <v>28</v>
      </c>
      <c r="D1233" t="s">
        <v>1520</v>
      </c>
      <c r="E1233" t="s">
        <v>317</v>
      </c>
    </row>
    <row r="1234" spans="1:5" x14ac:dyDescent="0.2">
      <c r="A1234" s="269">
        <v>45911.439155092594</v>
      </c>
      <c r="B1234" t="s">
        <v>1434</v>
      </c>
      <c r="C1234" t="s">
        <v>28</v>
      </c>
      <c r="D1234" t="s">
        <v>1516</v>
      </c>
      <c r="E1234" t="s">
        <v>364</v>
      </c>
    </row>
    <row r="1235" spans="1:5" x14ac:dyDescent="0.2">
      <c r="A1235" s="269">
        <v>45911.439212962963</v>
      </c>
      <c r="B1235" t="s">
        <v>1434</v>
      </c>
      <c r="C1235" t="s">
        <v>28</v>
      </c>
      <c r="D1235" t="s">
        <v>1517</v>
      </c>
      <c r="E1235" t="s">
        <v>364</v>
      </c>
    </row>
    <row r="1236" spans="1:5" x14ac:dyDescent="0.2">
      <c r="A1236" s="269">
        <v>45911.439282407409</v>
      </c>
      <c r="B1236" t="s">
        <v>1434</v>
      </c>
      <c r="C1236" t="s">
        <v>28</v>
      </c>
      <c r="D1236" t="s">
        <v>1518</v>
      </c>
      <c r="E1236" t="s">
        <v>364</v>
      </c>
    </row>
    <row r="1237" spans="1:5" x14ac:dyDescent="0.2">
      <c r="A1237" s="269">
        <v>45911.439328703702</v>
      </c>
      <c r="B1237" t="s">
        <v>1434</v>
      </c>
      <c r="C1237" t="s">
        <v>28</v>
      </c>
      <c r="D1237" t="s">
        <v>1519</v>
      </c>
      <c r="E1237" t="s">
        <v>364</v>
      </c>
    </row>
    <row r="1238" spans="1:5" x14ac:dyDescent="0.2">
      <c r="A1238" s="269">
        <v>45911.439386574071</v>
      </c>
      <c r="B1238" t="s">
        <v>1434</v>
      </c>
      <c r="C1238" t="s">
        <v>28</v>
      </c>
      <c r="D1238" t="s">
        <v>1576</v>
      </c>
      <c r="E1238" t="s">
        <v>364</v>
      </c>
    </row>
    <row r="1239" spans="1:5" x14ac:dyDescent="0.2">
      <c r="A1239" s="269">
        <v>45911.439444444448</v>
      </c>
      <c r="B1239" t="s">
        <v>1434</v>
      </c>
      <c r="C1239" t="s">
        <v>28</v>
      </c>
      <c r="D1239" t="s">
        <v>1522</v>
      </c>
      <c r="E1239" t="s">
        <v>383</v>
      </c>
    </row>
    <row r="1240" spans="1:5" x14ac:dyDescent="0.2">
      <c r="A1240" s="269">
        <v>45911.439479166664</v>
      </c>
      <c r="B1240" t="s">
        <v>1434</v>
      </c>
      <c r="C1240" t="s">
        <v>28</v>
      </c>
      <c r="D1240" t="s">
        <v>1522</v>
      </c>
      <c r="E1240" t="s">
        <v>317</v>
      </c>
    </row>
    <row r="1241" spans="1:5" x14ac:dyDescent="0.2">
      <c r="A1241" s="269">
        <v>45911.43953703704</v>
      </c>
      <c r="B1241" t="s">
        <v>1434</v>
      </c>
      <c r="C1241" t="s">
        <v>28</v>
      </c>
      <c r="D1241" t="s">
        <v>1577</v>
      </c>
      <c r="E1241" t="s">
        <v>364</v>
      </c>
    </row>
    <row r="1242" spans="1:5" x14ac:dyDescent="0.2">
      <c r="A1242" s="269">
        <v>45911.560671296298</v>
      </c>
      <c r="B1242" t="s">
        <v>1434</v>
      </c>
      <c r="C1242" t="s">
        <v>28</v>
      </c>
      <c r="D1242" t="s">
        <v>1579</v>
      </c>
      <c r="E1242" t="s">
        <v>1578</v>
      </c>
    </row>
    <row r="1243" spans="1:5" x14ac:dyDescent="0.2">
      <c r="A1243" s="269">
        <v>45911.560706018521</v>
      </c>
      <c r="B1243" t="s">
        <v>1434</v>
      </c>
      <c r="C1243" t="s">
        <v>28</v>
      </c>
      <c r="D1243" t="s">
        <v>1580</v>
      </c>
      <c r="E1243" t="s">
        <v>1578</v>
      </c>
    </row>
    <row r="1244" spans="1:5" x14ac:dyDescent="0.2">
      <c r="A1244" s="269">
        <v>45911.560717592591</v>
      </c>
      <c r="B1244" t="s">
        <v>1434</v>
      </c>
      <c r="C1244" t="s">
        <v>28</v>
      </c>
      <c r="D1244" t="s">
        <v>1581</v>
      </c>
      <c r="E1244" t="s">
        <v>1578</v>
      </c>
    </row>
    <row r="1245" spans="1:5" x14ac:dyDescent="0.2">
      <c r="A1245" s="269">
        <v>45911.560717592591</v>
      </c>
      <c r="B1245" t="s">
        <v>1434</v>
      </c>
      <c r="C1245" t="s">
        <v>28</v>
      </c>
      <c r="D1245" t="s">
        <v>1582</v>
      </c>
      <c r="E1245" t="s">
        <v>1578</v>
      </c>
    </row>
    <row r="1246" spans="1:5" x14ac:dyDescent="0.2">
      <c r="A1246" s="269">
        <v>45911.560717592591</v>
      </c>
      <c r="B1246" t="s">
        <v>1434</v>
      </c>
      <c r="C1246" t="s">
        <v>28</v>
      </c>
      <c r="D1246" t="s">
        <v>1583</v>
      </c>
      <c r="E1246" t="s">
        <v>1578</v>
      </c>
    </row>
    <row r="1247" spans="1:5" x14ac:dyDescent="0.2">
      <c r="A1247" s="269">
        <v>45911.560729166667</v>
      </c>
      <c r="B1247" t="s">
        <v>1434</v>
      </c>
      <c r="C1247" t="s">
        <v>28</v>
      </c>
      <c r="D1247" t="s">
        <v>1584</v>
      </c>
      <c r="E1247" t="s">
        <v>1578</v>
      </c>
    </row>
    <row r="1248" spans="1:5" x14ac:dyDescent="0.2">
      <c r="A1248" s="269">
        <v>45911.561307870368</v>
      </c>
      <c r="B1248" t="s">
        <v>1434</v>
      </c>
      <c r="C1248" t="s">
        <v>28</v>
      </c>
      <c r="D1248" t="s">
        <v>1544</v>
      </c>
    </row>
    <row r="1249" spans="1:5" x14ac:dyDescent="0.2">
      <c r="A1249" s="269">
        <v>45911.561412037037</v>
      </c>
      <c r="B1249" t="s">
        <v>1434</v>
      </c>
      <c r="C1249" t="s">
        <v>28</v>
      </c>
      <c r="D1249" t="s">
        <v>675</v>
      </c>
    </row>
    <row r="1250" spans="1:5" x14ac:dyDescent="0.2">
      <c r="A1250" s="269">
        <v>45911.561423611114</v>
      </c>
      <c r="B1250" t="s">
        <v>1434</v>
      </c>
      <c r="C1250" t="s">
        <v>28</v>
      </c>
      <c r="D1250" t="s">
        <v>672</v>
      </c>
    </row>
    <row r="1251" spans="1:5" x14ac:dyDescent="0.2">
      <c r="A1251" s="269">
        <v>45911.561493055553</v>
      </c>
      <c r="B1251" t="s">
        <v>1434</v>
      </c>
      <c r="C1251" t="s">
        <v>28</v>
      </c>
      <c r="D1251" t="s">
        <v>672</v>
      </c>
      <c r="E1251" t="s">
        <v>371</v>
      </c>
    </row>
    <row r="1252" spans="1:5" x14ac:dyDescent="0.2">
      <c r="A1252" s="269">
        <v>45911.56150462963</v>
      </c>
      <c r="B1252" t="s">
        <v>1434</v>
      </c>
      <c r="C1252" t="s">
        <v>28</v>
      </c>
      <c r="D1252" t="s">
        <v>676</v>
      </c>
      <c r="E1252" t="s">
        <v>371</v>
      </c>
    </row>
    <row r="1253" spans="1:5" x14ac:dyDescent="0.2">
      <c r="A1253" s="269">
        <v>45911.561574074076</v>
      </c>
      <c r="B1253" t="s">
        <v>1434</v>
      </c>
      <c r="C1253" t="s">
        <v>28</v>
      </c>
      <c r="D1253" t="s">
        <v>674</v>
      </c>
      <c r="E1253" t="s">
        <v>386</v>
      </c>
    </row>
    <row r="1254" spans="1:5" x14ac:dyDescent="0.2">
      <c r="A1254" s="269">
        <v>45911.561608796299</v>
      </c>
      <c r="B1254" t="s">
        <v>1434</v>
      </c>
      <c r="C1254" t="s">
        <v>28</v>
      </c>
      <c r="D1254" t="s">
        <v>676</v>
      </c>
    </row>
    <row r="1255" spans="1:5" x14ac:dyDescent="0.2">
      <c r="A1255" s="269">
        <v>45911.561631944445</v>
      </c>
      <c r="B1255" t="s">
        <v>1434</v>
      </c>
      <c r="C1255" t="s">
        <v>28</v>
      </c>
      <c r="D1255" t="s">
        <v>676</v>
      </c>
    </row>
    <row r="1256" spans="1:5" x14ac:dyDescent="0.2">
      <c r="A1256" s="269">
        <v>45911.561701388891</v>
      </c>
      <c r="B1256" t="s">
        <v>1434</v>
      </c>
      <c r="C1256" t="s">
        <v>28</v>
      </c>
      <c r="D1256" t="s">
        <v>1585</v>
      </c>
      <c r="E1256" t="s">
        <v>89</v>
      </c>
    </row>
    <row r="1257" spans="1:5" x14ac:dyDescent="0.2">
      <c r="A1257" s="269">
        <v>45911.561724537038</v>
      </c>
      <c r="B1257" t="s">
        <v>1434</v>
      </c>
      <c r="C1257" t="s">
        <v>28</v>
      </c>
      <c r="D1257" t="s">
        <v>674</v>
      </c>
    </row>
    <row r="1258" spans="1:5" x14ac:dyDescent="0.2">
      <c r="A1258" s="269">
        <v>45911.561736111114</v>
      </c>
      <c r="B1258" t="s">
        <v>1434</v>
      </c>
      <c r="C1258" t="s">
        <v>28</v>
      </c>
      <c r="D1258" t="s">
        <v>1520</v>
      </c>
    </row>
    <row r="1259" spans="1:5" x14ac:dyDescent="0.2">
      <c r="A1259" s="269">
        <v>45911.561759259261</v>
      </c>
      <c r="B1259" t="s">
        <v>1434</v>
      </c>
      <c r="C1259" t="s">
        <v>28</v>
      </c>
      <c r="D1259" t="s">
        <v>1521</v>
      </c>
    </row>
    <row r="1260" spans="1:5" x14ac:dyDescent="0.2">
      <c r="A1260" s="269">
        <v>45911.561759259261</v>
      </c>
      <c r="B1260" t="s">
        <v>1434</v>
      </c>
      <c r="C1260" t="s">
        <v>28</v>
      </c>
      <c r="D1260" t="s">
        <v>1522</v>
      </c>
    </row>
    <row r="1261" spans="1:5" x14ac:dyDescent="0.2">
      <c r="A1261" s="269">
        <v>45911.56177083333</v>
      </c>
      <c r="B1261" t="s">
        <v>1434</v>
      </c>
      <c r="C1261" t="s">
        <v>28</v>
      </c>
      <c r="D1261" t="s">
        <v>1577</v>
      </c>
    </row>
    <row r="1262" spans="1:5" x14ac:dyDescent="0.2">
      <c r="A1262" s="269">
        <v>45911.561782407407</v>
      </c>
      <c r="B1262" t="s">
        <v>1434</v>
      </c>
      <c r="C1262" t="s">
        <v>28</v>
      </c>
      <c r="D1262" t="s">
        <v>1576</v>
      </c>
    </row>
    <row r="1263" spans="1:5" x14ac:dyDescent="0.2">
      <c r="A1263" s="269">
        <v>45911.561782407407</v>
      </c>
      <c r="B1263" t="s">
        <v>1434</v>
      </c>
      <c r="C1263" t="s">
        <v>28</v>
      </c>
      <c r="D1263" t="s">
        <v>1519</v>
      </c>
    </row>
    <row r="1264" spans="1:5" x14ac:dyDescent="0.2">
      <c r="A1264" s="269">
        <v>45911.561805555553</v>
      </c>
      <c r="B1264" t="s">
        <v>1434</v>
      </c>
      <c r="C1264" t="s">
        <v>28</v>
      </c>
      <c r="D1264" t="s">
        <v>1579</v>
      </c>
    </row>
    <row r="1265" spans="1:5" x14ac:dyDescent="0.2">
      <c r="A1265" s="269">
        <v>45911.561805555553</v>
      </c>
      <c r="B1265" t="s">
        <v>1434</v>
      </c>
      <c r="C1265" t="s">
        <v>28</v>
      </c>
      <c r="D1265" t="s">
        <v>1580</v>
      </c>
    </row>
    <row r="1266" spans="1:5" x14ac:dyDescent="0.2">
      <c r="A1266" s="269">
        <v>45911.561863425923</v>
      </c>
      <c r="B1266" t="s">
        <v>1434</v>
      </c>
      <c r="C1266" t="s">
        <v>28</v>
      </c>
      <c r="D1266" t="s">
        <v>1581</v>
      </c>
      <c r="E1266" t="s">
        <v>1578</v>
      </c>
    </row>
    <row r="1267" spans="1:5" x14ac:dyDescent="0.2">
      <c r="A1267" s="269">
        <v>45911.561886574076</v>
      </c>
      <c r="B1267" t="s">
        <v>1434</v>
      </c>
      <c r="C1267" t="s">
        <v>28</v>
      </c>
      <c r="D1267" t="s">
        <v>1586</v>
      </c>
    </row>
    <row r="1268" spans="1:5" x14ac:dyDescent="0.2">
      <c r="A1268" s="269">
        <v>45911.561921296299</v>
      </c>
      <c r="B1268" t="s">
        <v>1434</v>
      </c>
      <c r="C1268" t="s">
        <v>28</v>
      </c>
      <c r="D1268" t="s">
        <v>1580</v>
      </c>
      <c r="E1268" t="s">
        <v>1578</v>
      </c>
    </row>
    <row r="1269" spans="1:5" x14ac:dyDescent="0.2">
      <c r="A1269" s="269">
        <v>45911.561956018515</v>
      </c>
      <c r="B1269" t="s">
        <v>1434</v>
      </c>
      <c r="C1269" t="s">
        <v>28</v>
      </c>
      <c r="D1269" t="s">
        <v>1579</v>
      </c>
      <c r="E1269" t="s">
        <v>1578</v>
      </c>
    </row>
    <row r="1270" spans="1:5" x14ac:dyDescent="0.2">
      <c r="A1270" s="269">
        <v>45911.562511574077</v>
      </c>
      <c r="B1270" t="s">
        <v>1434</v>
      </c>
      <c r="C1270" t="s">
        <v>28</v>
      </c>
      <c r="D1270" t="s">
        <v>924</v>
      </c>
      <c r="E1270">
        <v>6</v>
      </c>
    </row>
    <row r="1271" spans="1:5" x14ac:dyDescent="0.2">
      <c r="A1271" s="269">
        <v>45911.562627314815</v>
      </c>
      <c r="B1271" t="s">
        <v>1434</v>
      </c>
      <c r="C1271" t="s">
        <v>28</v>
      </c>
      <c r="D1271" t="s">
        <v>1587</v>
      </c>
    </row>
    <row r="1272" spans="1:5" x14ac:dyDescent="0.2">
      <c r="A1272" s="269">
        <v>45911.563287037039</v>
      </c>
      <c r="B1272" t="s">
        <v>1434</v>
      </c>
      <c r="C1272" t="s">
        <v>28</v>
      </c>
      <c r="D1272" t="s">
        <v>924</v>
      </c>
      <c r="E1272">
        <v>17</v>
      </c>
    </row>
    <row r="1273" spans="1:5" x14ac:dyDescent="0.2">
      <c r="A1273" s="269">
        <v>45911.563692129632</v>
      </c>
      <c r="B1273" t="s">
        <v>1434</v>
      </c>
      <c r="C1273" t="s">
        <v>28</v>
      </c>
      <c r="D1273" t="s">
        <v>1587</v>
      </c>
      <c r="E1273">
        <v>24.5</v>
      </c>
    </row>
    <row r="1274" spans="1:5" x14ac:dyDescent="0.2">
      <c r="A1274" s="269">
        <v>45911.563796296294</v>
      </c>
      <c r="B1274" t="s">
        <v>1434</v>
      </c>
      <c r="C1274" t="s">
        <v>28</v>
      </c>
      <c r="D1274" t="s">
        <v>981</v>
      </c>
      <c r="E1274">
        <v>11.5</v>
      </c>
    </row>
    <row r="1275" spans="1:5" x14ac:dyDescent="0.2">
      <c r="A1275" s="269">
        <v>45911.564618055556</v>
      </c>
      <c r="B1275" t="s">
        <v>1434</v>
      </c>
      <c r="C1275" t="s">
        <v>28</v>
      </c>
      <c r="D1275" t="s">
        <v>981</v>
      </c>
      <c r="E1275">
        <v>11.5</v>
      </c>
    </row>
    <row r="1276" spans="1:5" x14ac:dyDescent="0.2">
      <c r="A1276" s="269">
        <v>45911.564826388887</v>
      </c>
      <c r="B1276" t="s">
        <v>1434</v>
      </c>
      <c r="C1276" t="s">
        <v>28</v>
      </c>
      <c r="D1276" t="s">
        <v>1588</v>
      </c>
      <c r="E1276" t="s">
        <v>89</v>
      </c>
    </row>
    <row r="1277" spans="1:5" x14ac:dyDescent="0.2">
      <c r="A1277" s="269">
        <v>45911.564849537041</v>
      </c>
      <c r="B1277" t="s">
        <v>1434</v>
      </c>
      <c r="C1277" t="s">
        <v>28</v>
      </c>
      <c r="D1277" t="s">
        <v>1544</v>
      </c>
      <c r="E1277" t="s">
        <v>338</v>
      </c>
    </row>
    <row r="1278" spans="1:5" x14ac:dyDescent="0.2">
      <c r="A1278" s="269">
        <v>45911.564930555556</v>
      </c>
      <c r="B1278" t="s">
        <v>1434</v>
      </c>
      <c r="C1278" t="s">
        <v>28</v>
      </c>
      <c r="D1278" t="s">
        <v>1589</v>
      </c>
      <c r="E1278">
        <v>17</v>
      </c>
    </row>
    <row r="1279" spans="1:5" x14ac:dyDescent="0.2">
      <c r="A1279" s="269">
        <v>45911.565335648149</v>
      </c>
      <c r="B1279" t="s">
        <v>1434</v>
      </c>
      <c r="C1279" t="s">
        <v>28</v>
      </c>
      <c r="D1279" t="s">
        <v>1590</v>
      </c>
      <c r="E1279">
        <v>53</v>
      </c>
    </row>
    <row r="1280" spans="1:5" x14ac:dyDescent="0.2">
      <c r="A1280" s="269">
        <v>45911.565370370372</v>
      </c>
      <c r="B1280" t="s">
        <v>1434</v>
      </c>
      <c r="C1280" t="s">
        <v>28</v>
      </c>
      <c r="D1280" t="s">
        <v>981</v>
      </c>
    </row>
    <row r="1281" spans="1:5" x14ac:dyDescent="0.2">
      <c r="A1281" s="269">
        <v>45911.565393518518</v>
      </c>
      <c r="B1281" t="s">
        <v>1434</v>
      </c>
      <c r="C1281" t="s">
        <v>28</v>
      </c>
      <c r="D1281" t="s">
        <v>1587</v>
      </c>
    </row>
    <row r="1282" spans="1:5" x14ac:dyDescent="0.2">
      <c r="A1282" s="269">
        <v>45911.565416666665</v>
      </c>
      <c r="B1282" t="s">
        <v>1434</v>
      </c>
      <c r="C1282" t="s">
        <v>28</v>
      </c>
      <c r="D1282" t="s">
        <v>924</v>
      </c>
    </row>
    <row r="1283" spans="1:5" x14ac:dyDescent="0.2">
      <c r="A1283" s="269">
        <v>45911.565486111111</v>
      </c>
      <c r="B1283" t="s">
        <v>1434</v>
      </c>
      <c r="C1283" t="s">
        <v>28</v>
      </c>
      <c r="D1283" t="s">
        <v>1520</v>
      </c>
      <c r="E1283" t="s">
        <v>317</v>
      </c>
    </row>
    <row r="1284" spans="1:5" x14ac:dyDescent="0.2">
      <c r="A1284" s="269">
        <v>45911.566018518519</v>
      </c>
      <c r="B1284" t="s">
        <v>1434</v>
      </c>
      <c r="C1284" t="s">
        <v>28</v>
      </c>
      <c r="D1284" t="s">
        <v>924</v>
      </c>
      <c r="E1284">
        <v>60.7</v>
      </c>
    </row>
    <row r="1285" spans="1:5" x14ac:dyDescent="0.2">
      <c r="A1285" s="269">
        <v>45911.566157407404</v>
      </c>
      <c r="B1285" t="s">
        <v>1434</v>
      </c>
      <c r="C1285" t="s">
        <v>28</v>
      </c>
      <c r="D1285" t="s">
        <v>1587</v>
      </c>
    </row>
    <row r="1286" spans="1:5" x14ac:dyDescent="0.2">
      <c r="A1286" s="269">
        <v>45911.56621527778</v>
      </c>
      <c r="B1286" t="s">
        <v>1434</v>
      </c>
      <c r="C1286" t="s">
        <v>28</v>
      </c>
      <c r="D1286" t="s">
        <v>924</v>
      </c>
      <c r="E1286">
        <v>128</v>
      </c>
    </row>
    <row r="1287" spans="1:5" x14ac:dyDescent="0.2">
      <c r="A1287" s="269">
        <v>45911.566863425927</v>
      </c>
      <c r="B1287" t="s">
        <v>1434</v>
      </c>
      <c r="C1287" t="s">
        <v>28</v>
      </c>
      <c r="D1287" t="s">
        <v>1587</v>
      </c>
      <c r="E1287">
        <v>130</v>
      </c>
    </row>
    <row r="1288" spans="1:5" x14ac:dyDescent="0.2">
      <c r="A1288" s="269">
        <v>45911.566944444443</v>
      </c>
      <c r="B1288" t="s">
        <v>1434</v>
      </c>
      <c r="C1288" t="s">
        <v>28</v>
      </c>
      <c r="D1288" t="s">
        <v>981</v>
      </c>
      <c r="E1288">
        <v>14</v>
      </c>
    </row>
    <row r="1289" spans="1:5" x14ac:dyDescent="0.2">
      <c r="A1289" s="269">
        <v>45911.567152777781</v>
      </c>
      <c r="B1289" t="s">
        <v>1434</v>
      </c>
      <c r="C1289" t="s">
        <v>28</v>
      </c>
      <c r="D1289" t="s">
        <v>1519</v>
      </c>
      <c r="E1289" t="s">
        <v>364</v>
      </c>
    </row>
    <row r="1290" spans="1:5" x14ac:dyDescent="0.2">
      <c r="A1290" s="269">
        <v>45911.567199074074</v>
      </c>
      <c r="B1290" t="s">
        <v>1434</v>
      </c>
      <c r="C1290" t="s">
        <v>28</v>
      </c>
      <c r="D1290" t="s">
        <v>1582</v>
      </c>
      <c r="E1290" t="s">
        <v>1578</v>
      </c>
    </row>
    <row r="1291" spans="1:5" x14ac:dyDescent="0.2">
      <c r="A1291" s="269">
        <v>45911.591874999998</v>
      </c>
      <c r="B1291" t="s">
        <v>1434</v>
      </c>
      <c r="C1291" t="s">
        <v>597</v>
      </c>
      <c r="D1291" t="s">
        <v>1572</v>
      </c>
      <c r="E1291" t="s">
        <v>39</v>
      </c>
    </row>
    <row r="1292" spans="1:5" x14ac:dyDescent="0.2">
      <c r="A1292" s="269">
        <v>45911.591979166667</v>
      </c>
      <c r="B1292" t="s">
        <v>1434</v>
      </c>
      <c r="C1292" t="s">
        <v>25</v>
      </c>
      <c r="D1292" t="s">
        <v>946</v>
      </c>
      <c r="E1292" t="s">
        <v>338</v>
      </c>
    </row>
    <row r="1293" spans="1:5" x14ac:dyDescent="0.2">
      <c r="A1293" s="269">
        <v>45911.592002314814</v>
      </c>
      <c r="B1293" t="s">
        <v>1434</v>
      </c>
      <c r="C1293" t="s">
        <v>25</v>
      </c>
      <c r="D1293" t="s">
        <v>1542</v>
      </c>
      <c r="E1293" t="s">
        <v>338</v>
      </c>
    </row>
    <row r="1294" spans="1:5" x14ac:dyDescent="0.2">
      <c r="A1294" s="269">
        <v>45911.592037037037</v>
      </c>
      <c r="B1294" t="s">
        <v>1434</v>
      </c>
      <c r="C1294" t="s">
        <v>25</v>
      </c>
      <c r="D1294" t="s">
        <v>1542</v>
      </c>
      <c r="E1294" t="s">
        <v>89</v>
      </c>
    </row>
    <row r="1295" spans="1:5" x14ac:dyDescent="0.2">
      <c r="A1295" s="269">
        <v>45911.592141203706</v>
      </c>
      <c r="B1295" t="s">
        <v>1434</v>
      </c>
      <c r="C1295" t="s">
        <v>25</v>
      </c>
      <c r="D1295" t="s">
        <v>1591</v>
      </c>
      <c r="E1295" t="s">
        <v>362</v>
      </c>
    </row>
    <row r="1296" spans="1:5" x14ac:dyDescent="0.2">
      <c r="A1296" s="269">
        <v>45911.592222222222</v>
      </c>
      <c r="B1296" t="s">
        <v>1434</v>
      </c>
      <c r="C1296" t="s">
        <v>25</v>
      </c>
      <c r="D1296" t="s">
        <v>1501</v>
      </c>
    </row>
    <row r="1297" spans="1:5" x14ac:dyDescent="0.2">
      <c r="A1297" s="269">
        <v>45911.592314814814</v>
      </c>
      <c r="B1297" t="s">
        <v>1434</v>
      </c>
      <c r="C1297" t="s">
        <v>25</v>
      </c>
      <c r="D1297" t="s">
        <v>951</v>
      </c>
      <c r="E1297">
        <v>36</v>
      </c>
    </row>
    <row r="1298" spans="1:5" x14ac:dyDescent="0.2">
      <c r="A1298" s="269">
        <v>45911.592326388891</v>
      </c>
      <c r="B1298" t="s">
        <v>1434</v>
      </c>
      <c r="C1298" t="s">
        <v>25</v>
      </c>
      <c r="D1298" t="s">
        <v>983</v>
      </c>
      <c r="E1298">
        <v>36</v>
      </c>
    </row>
    <row r="1299" spans="1:5" x14ac:dyDescent="0.2">
      <c r="A1299" s="269">
        <v>45911.592326388891</v>
      </c>
      <c r="B1299" t="s">
        <v>1434</v>
      </c>
      <c r="C1299" t="s">
        <v>25</v>
      </c>
      <c r="D1299" t="s">
        <v>1066</v>
      </c>
      <c r="E1299">
        <v>36</v>
      </c>
    </row>
    <row r="1300" spans="1:5" x14ac:dyDescent="0.2">
      <c r="A1300" s="269">
        <v>45911.59233796296</v>
      </c>
      <c r="B1300" t="s">
        <v>1434</v>
      </c>
      <c r="C1300" t="s">
        <v>25</v>
      </c>
      <c r="D1300" t="s">
        <v>994</v>
      </c>
      <c r="E1300">
        <v>36</v>
      </c>
    </row>
    <row r="1301" spans="1:5" x14ac:dyDescent="0.2">
      <c r="A1301" s="269">
        <v>45911.59233796296</v>
      </c>
      <c r="B1301" t="s">
        <v>1434</v>
      </c>
      <c r="C1301" t="s">
        <v>25</v>
      </c>
      <c r="D1301" t="s">
        <v>1015</v>
      </c>
      <c r="E1301">
        <v>36</v>
      </c>
    </row>
    <row r="1302" spans="1:5" x14ac:dyDescent="0.2">
      <c r="A1302" s="269">
        <v>45911.59233796296</v>
      </c>
      <c r="B1302" t="s">
        <v>1434</v>
      </c>
      <c r="C1302" t="s">
        <v>25</v>
      </c>
      <c r="D1302" t="s">
        <v>1018</v>
      </c>
      <c r="E1302">
        <v>36</v>
      </c>
    </row>
    <row r="1303" spans="1:5" x14ac:dyDescent="0.2">
      <c r="A1303" s="269">
        <v>45911.592430555553</v>
      </c>
      <c r="B1303" t="s">
        <v>1434</v>
      </c>
      <c r="C1303" t="s">
        <v>25</v>
      </c>
      <c r="D1303" t="s">
        <v>1540</v>
      </c>
      <c r="E1303">
        <v>36</v>
      </c>
    </row>
    <row r="1304" spans="1:5" x14ac:dyDescent="0.2">
      <c r="A1304" s="269">
        <v>45911.592604166668</v>
      </c>
      <c r="B1304" t="s">
        <v>1434</v>
      </c>
      <c r="C1304" t="s">
        <v>25</v>
      </c>
      <c r="D1304" t="s">
        <v>1524</v>
      </c>
      <c r="E1304" t="s">
        <v>1592</v>
      </c>
    </row>
    <row r="1305" spans="1:5" x14ac:dyDescent="0.2">
      <c r="A1305" s="269">
        <v>45911.592812499999</v>
      </c>
      <c r="B1305" t="s">
        <v>1434</v>
      </c>
      <c r="C1305" t="s">
        <v>25</v>
      </c>
      <c r="D1305" t="s">
        <v>937</v>
      </c>
      <c r="E1305" t="s">
        <v>1592</v>
      </c>
    </row>
    <row r="1306" spans="1:5" x14ac:dyDescent="0.2">
      <c r="A1306" s="269">
        <v>45911.592824074076</v>
      </c>
      <c r="B1306" t="s">
        <v>1434</v>
      </c>
      <c r="C1306" t="s">
        <v>25</v>
      </c>
      <c r="D1306" t="s">
        <v>926</v>
      </c>
      <c r="E1306" t="s">
        <v>1592</v>
      </c>
    </row>
    <row r="1307" spans="1:5" x14ac:dyDescent="0.2">
      <c r="A1307" s="269">
        <v>45911.592824074076</v>
      </c>
      <c r="B1307" t="s">
        <v>1434</v>
      </c>
      <c r="C1307" t="s">
        <v>25</v>
      </c>
      <c r="D1307" t="s">
        <v>874</v>
      </c>
      <c r="E1307" t="s">
        <v>1592</v>
      </c>
    </row>
    <row r="1308" spans="1:5" x14ac:dyDescent="0.2">
      <c r="A1308" s="269">
        <v>45911.592824074076</v>
      </c>
      <c r="B1308" t="s">
        <v>1434</v>
      </c>
      <c r="C1308" t="s">
        <v>25</v>
      </c>
      <c r="D1308" t="s">
        <v>1525</v>
      </c>
      <c r="E1308" t="s">
        <v>1592</v>
      </c>
    </row>
    <row r="1309" spans="1:5" x14ac:dyDescent="0.2">
      <c r="A1309" s="269">
        <v>45911.592824074076</v>
      </c>
      <c r="B1309" t="s">
        <v>1434</v>
      </c>
      <c r="C1309" t="s">
        <v>25</v>
      </c>
      <c r="D1309" t="s">
        <v>1526</v>
      </c>
      <c r="E1309" t="s">
        <v>1592</v>
      </c>
    </row>
    <row r="1310" spans="1:5" x14ac:dyDescent="0.2">
      <c r="A1310" s="269">
        <v>45911.597384259258</v>
      </c>
      <c r="B1310" t="s">
        <v>1434</v>
      </c>
      <c r="C1310" t="s">
        <v>25</v>
      </c>
      <c r="D1310" t="s">
        <v>1593</v>
      </c>
    </row>
    <row r="1311" spans="1:5" x14ac:dyDescent="0.2">
      <c r="A1311" s="269">
        <v>45911.597442129627</v>
      </c>
      <c r="B1311" t="s">
        <v>1434</v>
      </c>
      <c r="C1311" t="s">
        <v>25</v>
      </c>
      <c r="D1311" t="s">
        <v>1594</v>
      </c>
    </row>
    <row r="1312" spans="1:5" x14ac:dyDescent="0.2">
      <c r="A1312" s="269">
        <v>45916.930983796294</v>
      </c>
      <c r="B1312" t="s">
        <v>596</v>
      </c>
      <c r="C1312" t="s">
        <v>597</v>
      </c>
      <c r="D1312" t="s">
        <v>1572</v>
      </c>
      <c r="E1312" t="s">
        <v>39</v>
      </c>
    </row>
    <row r="1313" spans="1:5" x14ac:dyDescent="0.2">
      <c r="A1313" s="269">
        <v>45916.931319444448</v>
      </c>
      <c r="B1313" t="s">
        <v>596</v>
      </c>
      <c r="C1313" t="s">
        <v>27</v>
      </c>
      <c r="D1313" t="s">
        <v>1595</v>
      </c>
    </row>
    <row r="1314" spans="1:5" x14ac:dyDescent="0.2">
      <c r="A1314" s="269">
        <v>45916.931354166663</v>
      </c>
      <c r="B1314" t="s">
        <v>596</v>
      </c>
      <c r="C1314" t="s">
        <v>27</v>
      </c>
      <c r="D1314" t="s">
        <v>1596</v>
      </c>
      <c r="E1314"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85856290-1c23-4b19-9f06-96fbc7272041"/>
    <ds:schemaRef ds:uri="http://schemas.microsoft.com/office/2006/documentManagement/types"/>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1. Data Info and Summary</vt:lpstr>
      <vt:lpstr>Instructions</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2025-09-16T14:21:16Z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