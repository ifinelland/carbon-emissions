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Butuan Branch/"/>
    </mc:Choice>
  </mc:AlternateContent>
  <xr:revisionPtr revIDLastSave="0" documentId="13_ncr:1_{C85837D3-8197-074E-88EF-1BEC142DCCB9}"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442" r:id="rId19"/>
    <pivotCache cacheId="443" r:id="rId20"/>
    <pivotCache cacheId="444" r:id="rId21"/>
    <pivotCache cacheId="445" r:id="rId22"/>
    <pivotCache cacheId="446" r:id="rId23"/>
    <pivotCache cacheId="45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E49" i="37"/>
  <c r="E48" i="37"/>
  <c r="E46" i="37"/>
  <c r="E47" i="37"/>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57" i="40"/>
  <c r="I58" i="40" s="1"/>
  <c r="I59" i="40" s="1"/>
  <c r="I60" i="40" s="1"/>
  <c r="I61" i="40" s="1"/>
  <c r="I62" i="40" s="1"/>
  <c r="I63" i="40" s="1"/>
  <c r="I64" i="40" s="1"/>
  <c r="I65" i="40" s="1"/>
  <c r="I66" i="40" s="1"/>
  <c r="I67" i="40" s="1"/>
  <c r="I68" i="40" s="1"/>
  <c r="I69" i="40" s="1"/>
  <c r="I70" i="40" s="1"/>
  <c r="I71" i="40" s="1"/>
  <c r="I72" i="40" s="1"/>
  <c r="I73" i="40" s="1"/>
  <c r="I74" i="40" s="1"/>
  <c r="I75" i="40" s="1"/>
  <c r="I76" i="40" s="1"/>
  <c r="I77" i="40" s="1"/>
  <c r="I78" i="40" s="1"/>
  <c r="I79" i="40" s="1"/>
  <c r="I56" i="40"/>
  <c r="I44" i="40"/>
  <c r="I45" i="40" s="1"/>
  <c r="I46" i="40" s="1"/>
  <c r="I47" i="40" s="1"/>
  <c r="I48" i="40" s="1"/>
  <c r="I49" i="40" s="1"/>
  <c r="I50" i="40" s="1"/>
  <c r="I51" i="40" s="1"/>
  <c r="I52" i="40" s="1"/>
  <c r="I53" i="40" s="1"/>
  <c r="I54" i="40" s="1"/>
  <c r="I55" i="40" s="1"/>
  <c r="I33" i="40"/>
  <c r="I34" i="40" s="1"/>
  <c r="I35" i="40" s="1"/>
  <c r="I36" i="40" s="1"/>
  <c r="I37" i="40" s="1"/>
  <c r="I38" i="40" s="1"/>
  <c r="I39" i="40" s="1"/>
  <c r="I40" i="40" s="1"/>
  <c r="I41" i="40" s="1"/>
  <c r="I42" i="40" s="1"/>
  <c r="I43" i="40" s="1"/>
  <c r="I32" i="40"/>
  <c r="I20" i="40"/>
  <c r="I21" i="40" s="1"/>
  <c r="I22" i="40" s="1"/>
  <c r="I23" i="40" s="1"/>
  <c r="I24" i="40" s="1"/>
  <c r="I25" i="40" s="1"/>
  <c r="I26" i="40" s="1"/>
  <c r="I27" i="40" s="1"/>
  <c r="I28" i="40" s="1"/>
  <c r="I29" i="40" s="1"/>
  <c r="I30" i="40" s="1"/>
  <c r="I31" i="40" s="1"/>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2" i="38" s="1"/>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13" i="34"/>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E12" i="38" l="1"/>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G13" i="37" s="1"/>
  <c r="F11" i="41"/>
  <c r="F13" i="37" s="1"/>
  <c r="E11" i="41"/>
  <c r="E13" i="37" s="1"/>
  <c r="D11" i="41"/>
  <c r="D13" i="37" s="1"/>
  <c r="F15" i="40"/>
  <c r="G16" i="40"/>
  <c r="E15" i="40"/>
  <c r="D16" i="40"/>
  <c r="E16" i="40"/>
  <c r="G15" i="40"/>
  <c r="D15" i="40"/>
  <c r="F16" i="40"/>
  <c r="E11" i="50"/>
  <c r="D11" i="50"/>
  <c r="G11" i="50"/>
  <c r="F11" i="50"/>
  <c r="E12" i="39"/>
  <c r="G12" i="39"/>
  <c r="G11" i="37" s="1" a="1"/>
  <c r="G11" i="37" s="1"/>
  <c r="F12" i="39"/>
  <c r="F11" i="37" s="1" a="1"/>
  <c r="F11" i="37" s="1"/>
  <c r="F12" i="50" l="1"/>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4" i="34" l="1"/>
  <c r="G14" i="34"/>
  <c r="E14" i="34"/>
  <c r="D14" i="34"/>
  <c r="E13" i="34"/>
  <c r="F13" i="34"/>
  <c r="D13" i="34"/>
  <c r="G13" i="34"/>
  <c r="E12" i="34"/>
  <c r="F12" i="34"/>
  <c r="D12" i="34"/>
  <c r="G12" i="34"/>
  <c r="G11" i="34"/>
  <c r="E11" i="34"/>
  <c r="F11" i="34"/>
  <c r="D11" i="34"/>
  <c r="D15" i="34"/>
  <c r="F15" i="34"/>
  <c r="G15" i="34"/>
  <c r="E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<sst xmlns="http://schemas.openxmlformats.org/spreadsheetml/2006/main" count="7373" uniqueCount="1617">
  <si>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</si>
  <si>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</si>
  <si>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</si>
  <si>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</si>
  <si>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</si>
  <si>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</si>
  <si>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</si>
  <si>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</si>
  <si>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</si>
  <si>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</si>
  <si>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</si>
  <si>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</si>
  <si>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</si>
  <si>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</si>
  <si>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</si>
  <si>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</si>
  <si>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</si>
  <si>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</si>
  <si>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</si>
  <si>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</si>
  <si>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</si>
  <si>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</si>
  <si>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</si>
  <si>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</si>
  <si>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</si>
  <si>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</si>
  <si>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</si>
  <si>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</si>
  <si>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</si>
  <si>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</si>
  <si>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</si>
  <si>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</si>
  <si>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</si>
  <si>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</si>
  <si>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</si>
  <si>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</si>
  <si>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</si>
  <si>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</si>
  <si>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</si>
  <si>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</si>
  <si>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</si>
  <si>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</si>
  <si>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</si>
  <si>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</si>
  <si>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</si>
  <si>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</si>
  <si>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</si>
  <si>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</si>
  <si>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</si>
  <si>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</si>
  <si>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</si>
  <si>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</si>
  <si>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</si>
  <si>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</si>
  <si>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</si>
  <si>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</si>
  <si>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</si>
  <si>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</si>
  <si>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</si>
  <si>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</si>
  <si>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</si>
  <si>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</si>
  <si>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</si>
  <si>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</si>
  <si>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</si>
  <si>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</si>
  <si>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</si>
  <si>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</si>
  <si>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</si>
  <si>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</si>
  <si>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</si>
  <si>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</si>
  <si>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</si>
  <si>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</si>
  <si>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</si>
  <si>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</si>
  <si>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</si>
  <si>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</si>
  <si>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</si>
  <si>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</si>
  <si>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</si>
  <si>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</si>
  <si>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</si>
  <si>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</si>
  <si>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</si>
  <si>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</si>
  <si>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</si>
  <si>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</si>
  <si>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</si>
  <si>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</si>
  <si>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</si>
  <si>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</si>
  <si>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</si>
  <si>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</si>
  <si>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</si>
  <si>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</si>
  <si>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</si>
  <si>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</si>
  <si>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</si>
  <si>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</si>
  <si>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</si>
  <si>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</si>
  <si>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</si>
  <si>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</si>
  <si>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</si>
  <si>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</si>
  <si>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</si>
  <si>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</si>
  <si>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</si>
  <si>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</si>
  <si>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</si>
  <si>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</si>
  <si>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</si>
  <si>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</si>
  <si>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</si>
  <si>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</si>
  <si>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</si>
  <si>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</si>
  <si>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</si>
  <si>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</si>
  <si>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</si>
  <si>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</si>
  <si>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</si>
  <si>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</si>
  <si>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</si>
  <si>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</si>
  <si>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</si>
  <si>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</si>
  <si>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</si>
  <si>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</si>
  <si>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</si>
  <si>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</si>
  <si>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</si>
  <si>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</si>
  <si>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</si>
  <si>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</si>
  <si>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</si>
  <si>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</si>
  <si>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</si>
  <si>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</si>
  <si>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</si>
  <si>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</si>
  <si>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</si>
  <si>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</si>
  <si>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</si>
  <si>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</si>
  <si>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</si>
  <si>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</si>
  <si>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</si>
  <si>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</si>
  <si>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</si>
  <si>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</si>
  <si>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</si>
  <si>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</si>
  <si>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</si>
  <si>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</si>
  <si>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</si>
  <si>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</si>
  <si>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</si>
  <si>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</si>
  <si>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</si>
  <si>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</si>
  <si>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</si>
  <si>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</si>
  <si>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</si>
  <si>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</si>
  <si>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</si>
  <si>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</si>
  <si>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</si>
  <si>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</si>
  <si>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</si>
  <si>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</si>
  <si>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</si>
  <si>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</si>
  <si>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</si>
  <si>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</si>
  <si>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</si>
  <si>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</si>
  <si>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</si>
  <si>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</si>
  <si>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</si>
  <si>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</si>
  <si>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</si>
  <si>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</si>
  <si>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</si>
  <si>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</si>
  <si>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</si>
  <si>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</si>
  <si>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</si>
  <si>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</si>
  <si>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</si>
  <si>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</si>
  <si>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</si>
  <si>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</si>
  <si>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</si>
  <si>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</si>
  <si>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</si>
  <si>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</si>
  <si>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</si>
  <si>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</si>
  <si>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</si>
  <si>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</si>
  <si>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</si>
  <si>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</si>
  <si>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</si>
  <si>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</si>
  <si>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</si>
  <si>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</si>
  <si>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</si>
  <si>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</si>
  <si>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</si>
  <si>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</si>
  <si>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</si>
  <si>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</si>
  <si>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</si>
  <si>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</si>
  <si>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</si>
  <si>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</si>
  <si>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</si>
  <si>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</si>
  <si>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</si>
  <si>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</si>
  <si>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</si>
  <si>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</si>
  <si>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</si>
  <si>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</si>
  <si>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</si>
  <si>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</si>
  <si>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</si>
  <si>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</si>
  <si>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</si>
  <si>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</si>
  <si>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</si>
  <si>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</si>
  <si>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</si>
  <si>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</si>
  <si>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</si>
  <si>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</si>
  <si>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</si>
  <si>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</si>
  <si>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</si>
  <si>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</si>
  <si>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</si>
  <si>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</si>
  <si>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</si>
  <si>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</si>
  <si>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</si>
  <si>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</si>
  <si>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</si>
  <si>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</si>
  <si>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</si>
  <si>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</si>
  <si>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</si>
  <si>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</si>
  <si>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</si>
  <si>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</si>
  <si>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</si>
  <si>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</si>
  <si>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</si>
  <si>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</si>
  <si>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</si>
  <si>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</si>
  <si>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</si>
  <si>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</si>
  <si>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</si>
  <si>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</si>
  <si>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</si>
  <si>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</si>
  <si>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</si>
  <si>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</si>
  <si>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</si>
  <si>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</si>
  <si>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</si>
  <si>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</si>
  <si>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</si>
  <si>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</si>
  <si>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</si>
  <si>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</si>
  <si>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</si>
  <si>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</si>
  <si>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</si>
  <si>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</si>
  <si>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</si>
  <si>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</si>
  <si>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</si>
  <si>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</si>
  <si>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</si>
  <si>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</si>
  <si>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</si>
  <si>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</si>
  <si>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</si>
  <si>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</si>
  <si>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</si>
  <si>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</si>
  <si>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</si>
  <si>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</si>
  <si>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</si>
  <si>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</si>
  <si>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</si>
  <si>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</si>
  <si>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</si>
  <si>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</si>
  <si>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</si>
  <si>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</si>
  <si>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</si>
  <si>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</si>
  <si>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</si>
  <si>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</si>
  <si>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</si>
  <si>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</si>
  <si>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</si>
  <si>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</si>
  <si>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</si>
  <si>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</si>
  <si>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</si>
  <si>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</si>
  <si>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</si>
  <si>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</si>
  <si>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</si>
  <si>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</si>
  <si>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</si>
  <si>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</si>
  <si>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</si>
  <si>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</si>
  <si>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</si>
  <si>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</si>
  <si>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</si>
  <si>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</si>
  <si>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</si>
  <si>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</si>
  <si>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</si>
  <si>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</si>
  <si>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</si>
  <si>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</si>
  <si>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</si>
  <si>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</si>
  <si>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</si>
  <si>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</si>
  <si>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</si>
  <si>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</si>
  <si>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</si>
  <si>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</si>
  <si>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</si>
  <si>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</si>
  <si>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</si>
  <si>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</si>
  <si>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</si>
  <si>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</si>
  <si>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</si>
  <si>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</si>
  <si>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</si>
  <si>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</si>
  <si>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</si>
  <si>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</si>
  <si>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</si>
  <si>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</si>
  <si>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</si>
  <si>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</si>
  <si>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</si>
  <si>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</si>
  <si>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</si>
  <si>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</si>
  <si>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</si>
  <si>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</si>
  <si>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</si>
  <si>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</si>
  <si>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</si>
  <si>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</si>
  <si>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</si>
  <si>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</si>
  <si>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</si>
  <si>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</si>
  <si>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</si>
  <si>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</si>
  <si>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</si>
  <si>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</si>
  <si>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</si>
  <si>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</si>
  <si>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</si>
  <si>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</si>
  <si>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</si>
  <si>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</si>
  <si>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</si>
  <si>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</si>
  <si>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</si>
  <si>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</si>
  <si>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</si>
  <si>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</si>
  <si>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</si>
  <si>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</si>
  <si>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</si>
  <si>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</si>
  <si>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</si>
  <si>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</si>
  <si>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</si>
  <si>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</si>
  <si>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</si>
  <si>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</si>
  <si>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</si>
  <si>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</si>
  <si>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</si>
  <si>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</si>
  <si>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</si>
  <si>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</si>
  <si>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</si>
  <si>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</si>
  <si>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</si>
  <si>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</si>
  <si>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</si>
  <si>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</si>
  <si>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</si>
  <si>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</si>
  <si>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</si>
  <si>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</si>
  <si>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</si>
  <si>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</si>
  <si>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</si>
  <si>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</si>
  <si>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</si>
  <si>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</si>
  <si>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</si>
  <si>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</si>
  <si>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</si>
  <si>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</si>
  <si>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</si>
  <si>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</si>
  <si>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</si>
  <si>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</si>
  <si>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</si>
  <si>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</si>
  <si>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</si>
  <si>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</si>
  <si>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</si>
  <si>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</si>
  <si>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</si>
  <si>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</si>
  <si>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</si>
  <si>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</si>
  <si>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</si>
  <si>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</si>
  <si>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</si>
  <si>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</si>
  <si>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</si>
  <si>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</si>
  <si>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</si>
  <si>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</si>
  <si>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</si>
  <si>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</si>
  <si>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</si>
  <si>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</si>
  <si>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</si>
  <si>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</si>
  <si>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</si>
  <si>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</si>
  <si>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</si>
  <si>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</si>
  <si>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</si>
  <si>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</si>
  <si>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</si>
  <si>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</si>
  <si>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</si>
  <si>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</si>
  <si>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</si>
  <si>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</si>
  <si>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</si>
  <si>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</si>
  <si>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</si>
  <si>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</si>
  <si>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</si>
  <si>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</si>
  <si>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</si>
  <si>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</si>
  <si>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</si>
  <si>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</si>
  <si>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</si>
  <si>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</si>
  <si>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</si>
  <si>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</si>
  <si>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</si>
  <si>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</si>
  <si>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</si>
  <si>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</si>
  <si>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</si>
  <si>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</si>
  <si>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</si>
  <si>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</si>
  <si>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</si>
  <si>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</si>
  <si>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</si>
  <si>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</si>
  <si>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</si>
  <si>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</si>
  <si>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</si>
  <si>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</si>
  <si>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</si>
  <si>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</si>
  <si>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</si>
  <si>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</si>
  <si>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</si>
  <si>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</si>
  <si>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</si>
  <si>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</si>
  <si>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</si>
  <si>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</si>
  <si>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</si>
  <si>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</si>
  <si>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</si>
  <si>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</si>
  <si>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</si>
  <si>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</si>
  <si>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</si>
  <si>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</si>
  <si>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</si>
  <si>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</si>
  <si>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</si>
  <si>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</si>
  <si>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</si>
  <si>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</si>
  <si>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</si>
  <si>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</si>
  <si>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</si>
  <si>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</si>
  <si>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</si>
  <si>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</si>
  <si>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</si>
  <si>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</si>
  <si>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</si>
  <si>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</si>
  <si>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</si>
  <si>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</si>
  <si>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</si>
  <si>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</si>
  <si>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</si>
  <si>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</si>
  <si>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</si>
  <si>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</si>
  <si>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</si>
  <si>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</si>
  <si>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</si>
  <si>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</si>
  <si>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</si>
  <si>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</si>
  <si>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</si>
  <si>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</si>
  <si>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</si>
  <si>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</si>
  <si>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</si>
  <si>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</si>
  <si>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</si>
  <si>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</si>
  <si>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</si>
  <si>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</si>
  <si>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</si>
  <si>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</si>
  <si>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</si>
  <si>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</si>
  <si>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</si>
  <si>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</si>
  <si>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</si>
  <si>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</si>
  <si>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</si>
  <si>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</si>
  <si>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</si>
  <si>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</si>
  <si>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</si>
  <si>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</si>
  <si>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</si>
  <si>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</si>
  <si>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</si>
  <si>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</si>
  <si>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</si>
  <si>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</si>
  <si>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</si>
  <si>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</si>
  <si>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</si>
  <si>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</si>
  <si>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</si>
  <si>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</si>
  <si>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</si>
  <si>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</si>
  <si>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</si>
  <si>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</si>
  <si>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</si>
  <si>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</si>
  <si>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</si>
  <si>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</si>
  <si>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</si>
  <si>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</si>
  <si>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</si>
  <si>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</si>
  <si>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</si>
  <si>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</si>
  <si>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</si>
  <si>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</si>
  <si>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</si>
  <si>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</si>
  <si>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</si>
  <si>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</si>
  <si>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</si>
  <si>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</si>
  <si>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</si>
  <si>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</si>
  <si>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</si>
  <si>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</si>
  <si>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</si>
  <si>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</si>
  <si>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</si>
  <si>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</si>
  <si>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</si>
  <si>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</si>
  <si>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</si>
  <si>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</si>
  <si>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</si>
  <si>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</si>
  <si>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</si>
  <si>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</si>
  <si>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</si>
  <si>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</si>
  <si>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</si>
  <si>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</si>
  <si>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</si>
  <si>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</si>
  <si>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</si>
  <si>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</si>
  <si>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</si>
  <si>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</si>
  <si>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</si>
  <si>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</si>
  <si>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</si>
  <si>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</si>
  <si>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</si>
  <si>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</si>
  <si>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</si>
  <si>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</si>
  <si>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</si>
  <si>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</si>
  <si>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</si>
  <si>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</si>
  <si>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</si>
  <si>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</si>
  <si>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</si>
  <si>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</si>
  <si>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</si>
  <si>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</si>
  <si>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</si>
  <si>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</si>
  <si>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</si>
  <si>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</si>
  <si>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</si>
  <si>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</si>
  <si>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</si>
  <si>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</si>
  <si>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</si>
  <si>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</si>
  <si>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</si>
  <si>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</si>
  <si>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</si>
  <si>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</si>
  <si>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</si>
  <si>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</si>
  <si>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</si>
  <si>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</si>
  <si>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</si>
  <si>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</si>
  <si>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</si>
  <si>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</si>
  <si>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</si>
  <si>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</si>
  <si>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</si>
  <si>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</si>
  <si>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</si>
  <si>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</si>
  <si>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</si>
  <si>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</si>
  <si>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</si>
  <si>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</si>
  <si>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</si>
  <si>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</si>
  <si>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</si>
  <si>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</si>
  <si>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</si>
  <si>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</si>
  <si>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</si>
  <si>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</si>
  <si>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</si>
  <si>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</si>
  <si>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</si>
  <si>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</si>
  <si>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</si>
  <si>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</si>
  <si>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</si>
  <si>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</si>
  <si>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</si>
  <si>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</si>
  <si>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</si>
  <si>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</si>
  <si>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</si>
  <si>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</si>
  <si>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</si>
  <si>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</si>
  <si>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</si>
  <si>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</si>
  <si>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</si>
  <si>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</si>
  <si>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</si>
  <si>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</si>
  <si>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</si>
  <si>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</si>
  <si>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</si>
  <si>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</si>
  <si>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</si>
  <si>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</si>
  <si>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</si>
  <si>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</si>
  <si>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</si>
  <si>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</si>
  <si>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</si>
  <si>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</si>
  <si>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</si>
  <si>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</si>
  <si>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</si>
  <si>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</si>
  <si>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</si>
  <si>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</si>
  <si>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</si>
  <si>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</si>
  <si>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</si>
  <si>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</si>
  <si>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</si>
  <si>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</si>
  <si>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</si>
  <si>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</si>
  <si>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</si>
  <si>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</si>
  <si>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</si>
  <si>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</si>
  <si>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</si>
  <si>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</si>
  <si>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</si>
  <si>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</si>
  <si>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</si>
  <si>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</si>
  <si>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</si>
  <si>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</si>
  <si>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</si>
  <si>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</si>
  <si>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</si>
  <si>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</si>
  <si>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</si>
  <si>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</si>
  <si>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</si>
  <si>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</si>
  <si>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</si>
  <si>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</si>
  <si>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</si>
  <si>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</si>
  <si>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</si>
  <si>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</si>
  <si>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</si>
  <si>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</si>
  <si>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</si>
  <si>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</si>
  <si>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</si>
  <si>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</si>
  <si>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</si>
  <si>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</si>
  <si>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</si>
  <si>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</si>
  <si>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</si>
  <si>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</si>
  <si>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</si>
  <si>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</si>
  <si>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</si>
  <si>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</si>
  <si>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</si>
  <si>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</si>
  <si>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</si>
  <si>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</si>
  <si>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</si>
  <si>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</si>
  <si>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</si>
  <si>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</si>
  <si>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</si>
  <si>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</si>
  <si>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</si>
  <si>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</si>
  <si>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</si>
  <si>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</si>
  <si>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</si>
  <si>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</si>
  <si>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</si>
  <si>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</si>
  <si>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</si>
  <si>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</si>
  <si>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</si>
  <si>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</si>
  <si>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</si>
  <si>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</si>
  <si>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</si>
  <si>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</si>
  <si>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</si>
  <si>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</si>
  <si>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</si>
  <si>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</si>
  <si>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</si>
  <si>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</si>
  <si>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</si>
  <si>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</si>
  <si>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</si>
  <si>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</si>
  <si>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</si>
  <si>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</si>
  <si>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</si>
  <si>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</si>
  <si>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</si>
  <si>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</si>
  <si>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</si>
  <si>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</si>
  <si>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</si>
  <si>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</si>
  <si>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</si>
  <si>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</si>
  <si>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</si>
  <si>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</si>
  <si>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</si>
  <si>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</si>
  <si>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</si>
  <si>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</si>
  <si>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</si>
  <si>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</si>
  <si>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</si>
  <si>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</si>
  <si>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</si>
  <si>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</si>
  <si>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</si>
  <si>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</si>
  <si>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</si>
  <si>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</si>
  <si>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</si>
  <si>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</si>
  <si>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</si>
  <si>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</si>
  <si>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</si>
  <si>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</si>
  <si>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</si>
  <si>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</si>
  <si>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</si>
  <si>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</si>
  <si>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</si>
  <si>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</si>
  <si>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</si>
  <si>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</si>
  <si>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</si>
  <si>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</si>
  <si>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</si>
  <si>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</si>
  <si>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</si>
  <si>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</si>
  <si>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</si>
  <si>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</si>
  <si>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</si>
  <si>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</si>
  <si>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</si>
  <si>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</si>
  <si>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</si>
  <si>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</si>
  <si>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</si>
  <si>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</si>
  <si>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</si>
  <si>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</si>
  <si>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</si>
  <si>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</si>
  <si>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</si>
  <si>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</si>
  <si>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</si>
  <si>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</si>
  <si>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</si>
  <si>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</si>
  <si>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</si>
  <si>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</si>
  <si>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</si>
  <si>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</si>
  <si>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</si>
  <si>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</si>
  <si>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</si>
  <si>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</si>
  <si>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</si>
  <si>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</si>
  <si>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</si>
  <si>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</si>
  <si>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</si>
  <si>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</si>
  <si>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</si>
  <si>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</si>
  <si>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</si>
  <si>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</si>
  <si>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</si>
  <si>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</si>
  <si>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</si>
  <si>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</si>
  <si>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</si>
  <si>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</si>
  <si>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</si>
  <si>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</si>
  <si>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</si>
  <si>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</si>
  <si>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</si>
  <si>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</si>
  <si>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</si>
  <si>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</si>
  <si>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</si>
  <si>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</si>
  <si>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</si>
  <si>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</si>
  <si>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</si>
  <si>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</si>
  <si>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</si>
  <si>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</si>
  <si>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</si>
  <si>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</si>
  <si>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</si>
  <si>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</si>
  <si>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</si>
  <si>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</si>
  <si>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</si>
  <si>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</si>
  <si>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</si>
  <si>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</si>
  <si>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</si>
  <si>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</si>
  <si>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</si>
  <si>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</si>
  <si>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</si>
  <si>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</si>
  <si>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</si>
  <si>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</si>
  <si>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</si>
  <si>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</si>
  <si>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</si>
  <si>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</si>
  <si>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</si>
  <si>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</si>
  <si>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</si>
  <si>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</si>
  <si>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</si>
  <si>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</si>
  <si>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</si>
  <si>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</si>
  <si>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</si>
  <si>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</si>
  <si>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</si>
  <si>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</si>
  <si>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</si>
  <si>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</si>
  <si>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</si>
  <si>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</si>
  <si>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</si>
  <si>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</si>
  <si>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</si>
  <si>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</si>
  <si>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</si>
  <si>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</si>
  <si>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</si>
  <si>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</si>
  <si>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</si>
  <si>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</si>
  <si>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</si>
  <si>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</si>
  <si>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</si>
  <si>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</si>
  <si>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</si>
  <si>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</si>
  <si>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</si>
  <si>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</si>
  <si>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</si>
  <si>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</si>
  <si>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</si>
  <si>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</si>
  <si>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</si>
  <si>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</si>
  <si>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</si>
  <si>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</si>
  <si>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</si>
  <si>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</si>
  <si>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</si>
  <si>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</si>
  <si>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</si>
  <si>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</si>
  <si>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</si>
  <si>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</si>
  <si>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</si>
  <si>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</si>
  <si>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</si>
  <si>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</si>
  <si>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</si>
  <si>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</si>
  <si>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</si>
  <si>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</si>
  <si>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</si>
  <si>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</si>
  <si>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</si>
  <si>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</si>
  <si>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</si>
  <si>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</si>
  <si>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</si>
  <si>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</si>
  <si>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</si>
  <si>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</si>
  <si>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</si>
  <si>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</si>
  <si>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</si>
  <si>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</si>
  <si>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</si>
  <si>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</si>
  <si>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</si>
  <si>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</si>
  <si>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</si>
  <si>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</si>
  <si>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</si>
  <si>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</si>
  <si>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</si>
  <si>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</si>
  <si>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</si>
  <si>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</si>
  <si>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</si>
  <si>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</si>
  <si>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</si>
  <si>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</si>
  <si>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</si>
  <si>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</si>
  <si>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</si>
  <si>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</si>
  <si>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</si>
  <si>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</si>
  <si>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</si>
  <si>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</si>
  <si>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</si>
  <si>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</si>
  <si>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</si>
  <si>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</si>
  <si>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</si>
  <si>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</si>
  <si>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</si>
  <si>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</si>
  <si>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</si>
  <si>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</si>
  <si>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</si>
  <si>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</si>
  <si>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</si>
  <si>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</si>
  <si>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</si>
  <si>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</si>
  <si>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</si>
  <si>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</si>
  <si>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</si>
  <si>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</si>
  <si>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</si>
  <si>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</si>
  <si>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</si>
  <si>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</si>
  <si>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</si>
  <si>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</si>
  <si>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</si>
  <si>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</si>
  <si>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</si>
  <si>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</si>
  <si>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</si>
  <si>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</si>
  <si>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</si>
  <si>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</si>
  <si>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</si>
  <si>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</si>
  <si>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</si>
  <si>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</si>
  <si>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</si>
  <si>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</si>
  <si>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</si>
  <si>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</si>
  <si>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</si>
  <si>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</si>
  <si>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</si>
  <si>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</si>
  <si>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</si>
  <si>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</si>
  <si>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</si>
  <si>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</si>
  <si>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</si>
  <si>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</si>
  <si>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</si>
  <si>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</si>
  <si>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</si>
  <si>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</si>
  <si>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</si>
  <si>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</si>
  <si>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</si>
  <si>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</si>
  <si>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</si>
  <si>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</si>
  <si>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</si>
  <si>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</si>
  <si>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</si>
  <si>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</si>
  <si>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</si>
  <si>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</si>
  <si>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</si>
  <si>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</si>
  <si>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</si>
  <si>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</si>
  <si>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</si>
  <si>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</si>
  <si>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</si>
  <si>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</si>
  <si>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</si>
  <si>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</si>
  <si>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</si>
  <si>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</si>
  <si>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</si>
  <si>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</si>
  <si>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</si>
  <si>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</si>
  <si>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</si>
  <si>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</si>
  <si>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</si>
  <si>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</si>
  <si>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</si>
  <si>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</si>
  <si>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</si>
  <si>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</si>
  <si>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</si>
  <si>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</si>
  <si>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</si>
  <si>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</si>
  <si>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</si>
  <si>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</si>
  <si>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</si>
  <si>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</si>
  <si>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</si>
  <si>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</si>
  <si>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</si>
  <si>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</si>
  <si>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</si>
  <si>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</si>
  <si>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</si>
  <si>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</si>
  <si>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</si>
  <si>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</si>
  <si>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</si>
  <si>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</si>
  <si>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</si>
  <si>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</si>
  <si>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</si>
  <si>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</si>
  <si>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</si>
  <si>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</si>
  <si>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</si>
  <si>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</si>
  <si>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</si>
  <si>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</si>
  <si>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</si>
  <si>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</si>
  <si>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</si>
  <si>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</si>
  <si>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</si>
  <si>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</si>
  <si>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</si>
  <si>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</si>
  <si>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</si>
  <si>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</si>
  <si>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</si>
  <si>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</si>
  <si>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</si>
  <si>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</si>
  <si>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</si>
  <si>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</si>
  <si>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</si>
  <si>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</si>
  <si>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</si>
  <si>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</si>
  <si>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</si>
  <si>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</si>
  <si>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</si>
  <si>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</si>
  <si>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</si>
  <si>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</si>
  <si>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</si>
  <si>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</si>
  <si>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</si>
  <si>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</si>
  <si>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</si>
  <si>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</si>
  <si>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</si>
  <si>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</si>
  <si>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</si>
  <si>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</si>
  <si>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</si>
  <si>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</si>
  <si>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</si>
  <si>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</si>
  <si>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</si>
  <si>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</si>
  <si>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</si>
  <si>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</si>
  <si>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</si>
  <si>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</si>
  <si>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</si>
  <si>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</si>
  <si>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</si>
  <si>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</si>
  <si>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</si>
  <si>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</si>
  <si>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</si>
  <si>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</si>
  <si>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</si>
  <si>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</si>
  <si>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</si>
  <si>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</si>
  <si>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</si>
  <si>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</si>
  <si>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</si>
  <si>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</si>
  <si>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</si>
  <si>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</si>
  <si>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</si>
  <si>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</si>
  <si>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</si>
  <si>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</si>
  <si>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</si>
  <si>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</si>
  <si>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</si>
  <si>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</si>
  <si>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</si>
  <si>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</si>
  <si>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</si>
  <si>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</si>
  <si>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</si>
  <si>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</si>
  <si>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</si>
  <si>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</si>
  <si>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</si>
  <si>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</si>
  <si>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</si>
  <si>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</si>
  <si>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</si>
  <si>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</si>
  <si>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</si>
  <si>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</si>
  <si>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</si>
  <si>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</si>
  <si>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</si>
  <si>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</si>
  <si>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</si>
  <si>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</si>
  <si>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</si>
  <si>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</si>
  <si>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</si>
  <si>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</si>
  <si>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</si>
  <si>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</si>
  <si>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</si>
  <si>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</si>
  <si>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</si>
  <si>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</si>
  <si>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</si>
  <si>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</si>
  <si>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</si>
  <si>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</si>
  <si>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</si>
  <si>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</si>
  <si>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</si>
  <si>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</si>
  <si>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</si>
  <si>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</si>
  <si>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</si>
  <si>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</si>
  <si>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</si>
  <si>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</si>
  <si>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</si>
  <si>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</si>
  <si>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</si>
  <si>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</si>
  <si>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</si>
  <si>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</si>
  <si>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</si>
  <si>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</si>
  <si>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</si>
  <si>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</si>
  <si>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</si>
  <si>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</si>
  <si>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</si>
  <si>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</si>
  <si>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</si>
  <si>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</si>
  <si>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</si>
  <si>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</si>
  <si>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</si>
  <si>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</si>
  <si>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</si>
  <si>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</si>
  <si>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</si>
  <si>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</si>
  <si>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</si>
  <si>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</si>
  <si>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</si>
  <si>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</si>
  <si>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</si>
  <si>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</si>
  <si>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</si>
  <si>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</si>
  <si>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</si>
  <si>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</si>
  <si>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</si>
  <si>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</si>
  <si>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</si>
  <si>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</si>
  <si>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</si>
  <si>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</si>
  <si>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</si>
  <si>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</si>
  <si>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</si>
  <si>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</si>
  <si>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</si>
  <si>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</si>
  <si>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</si>
  <si>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</si>
  <si>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</si>
  <si>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</si>
  <si>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</si>
  <si>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</si>
  <si>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</si>
  <si>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</si>
  <si>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</si>
  <si>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</si>
  <si>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</si>
  <si>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</si>
  <si>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</si>
  <si>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</si>
  <si>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</si>
  <si>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</si>
  <si>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</si>
  <si>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</si>
  <si>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</si>
  <si>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</si>
  <si>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</si>
  <si>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</si>
  <si>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</si>
  <si>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</si>
  <si>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</si>
  <si>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</si>
  <si>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</si>
  <si>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</si>
  <si>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</si>
  <si>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</si>
  <si>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</si>
  <si>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</si>
  <si>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</si>
  <si>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</si>
  <si>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</si>
  <si>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</si>
  <si>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</si>
  <si>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</si>
  <si>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</si>
  <si>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</si>
  <si>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</si>
  <si>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</si>
  <si>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</si>
  <si>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</si>
  <si>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</si>
  <si>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</si>
  <si>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</si>
  <si>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</si>
  <si>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</si>
  <si>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</si>
  <si>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</si>
  <si>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</si>
  <si>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</si>
  <si>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</si>
  <si>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</si>
  <si>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</si>
  <si>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</si>
  <si>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</si>
  <si>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</si>
  <si>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</si>
  <si>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</si>
  <si>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</si>
  <si>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</si>
  <si>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</si>
  <si>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</si>
  <si>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</si>
  <si>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</si>
  <si>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</si>
  <si>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</si>
  <si>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</si>
  <si>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</si>
  <si>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</si>
  <si>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</si>
  <si>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</si>
  <si>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</si>
  <si>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</si>
  <si>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</si>
  <si>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</si>
  <si>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</si>
  <si>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</si>
  <si>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</si>
  <si>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</si>
  <si>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</si>
  <si>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</si>
  <si>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</si>
  <si>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</si>
  <si>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</si>
  <si>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</si>
  <si>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</si>
  <si>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</si>
  <si>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</si>
  <si>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</si>
  <si>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</si>
  <si>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</si>
  <si>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</si>
  <si>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</si>
  <si>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</si>
  <si>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</si>
  <si>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</si>
  <si>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</si>
  <si>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</si>
  <si>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</si>
  <si>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</si>
  <si>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</si>
  <si>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</si>
  <si>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</si>
  <si>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</si>
  <si>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</si>
  <si>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</si>
  <si>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Claire S. Balagulan</t>
  </si>
  <si>
    <t>$D$2</t>
  </si>
  <si>
    <t>$D$3</t>
  </si>
  <si>
    <t>$K$8</t>
  </si>
  <si>
    <t>$J$8</t>
  </si>
  <si>
    <t>$M$8</t>
  </si>
  <si>
    <t>$K$13</t>
  </si>
  <si>
    <t>$K$14</t>
  </si>
  <si>
    <t>$K$15</t>
  </si>
  <si>
    <t>$K$16</t>
  </si>
  <si>
    <t>$K$17</t>
  </si>
  <si>
    <t>$K$18</t>
  </si>
  <si>
    <t>$J$13</t>
  </si>
  <si>
    <t>$J$14</t>
  </si>
  <si>
    <t>$J$15</t>
  </si>
  <si>
    <t>$M$15</t>
  </si>
  <si>
    <t>$M$17</t>
  </si>
  <si>
    <t>$M$18</t>
  </si>
  <si>
    <t>CLAIRE S. BALAGULAN</t>
  </si>
  <si>
    <t>$C$6</t>
  </si>
  <si>
    <t>$C$7</t>
  </si>
  <si>
    <t>$L$15</t>
  </si>
  <si>
    <t>$L$16</t>
  </si>
  <si>
    <t>$L$17</t>
  </si>
  <si>
    <t>2 units Armored vehicle</t>
  </si>
  <si>
    <t>$L$18</t>
  </si>
  <si>
    <t>$N$7</t>
  </si>
  <si>
    <t>$N$11</t>
  </si>
  <si>
    <t>$N$12</t>
  </si>
  <si>
    <t>$P$8</t>
  </si>
  <si>
    <t>$P$11</t>
  </si>
  <si>
    <t>$P$12</t>
  </si>
  <si>
    <t>3 units Armored vehicle</t>
  </si>
  <si>
    <t>4 units Armored vehicle</t>
  </si>
  <si>
    <t>$R$8:$R$12</t>
  </si>
  <si>
    <t>$N$13</t>
  </si>
  <si>
    <t>$P$14</t>
  </si>
  <si>
    <t>$P$15</t>
  </si>
  <si>
    <t>$P$17</t>
  </si>
  <si>
    <t>$P$18</t>
  </si>
  <si>
    <t>$N$14</t>
  </si>
  <si>
    <t>$N$15</t>
  </si>
  <si>
    <t>$N$16</t>
  </si>
  <si>
    <t>$N$17</t>
  </si>
  <si>
    <t>$N$18</t>
  </si>
  <si>
    <t>$R$13</t>
  </si>
  <si>
    <t>$R$14:$R$18</t>
  </si>
  <si>
    <t>$R$14</t>
  </si>
  <si>
    <t>$R$15</t>
  </si>
  <si>
    <t>$R$16</t>
  </si>
  <si>
    <t>1 units Armored vehicle</t>
  </si>
  <si>
    <t>$R$18</t>
  </si>
  <si>
    <t>$J$20:$J$28</t>
  </si>
  <si>
    <t>$J$29:$J$30</t>
  </si>
  <si>
    <t>$K$19:$K$30</t>
  </si>
  <si>
    <t>$L$19:$L$30</t>
  </si>
  <si>
    <t>1 unit Toyota Grandia</t>
  </si>
  <si>
    <t>$R$25</t>
  </si>
  <si>
    <t>1 unit Armored vehicle</t>
  </si>
  <si>
    <t>$R$26:$R$30</t>
  </si>
  <si>
    <t>$R$33</t>
  </si>
  <si>
    <t>$N$25</t>
  </si>
  <si>
    <t>$N$26</t>
  </si>
  <si>
    <t>$N$27</t>
  </si>
  <si>
    <t>$N$28</t>
  </si>
  <si>
    <t>$N$29</t>
  </si>
  <si>
    <t>$N$30</t>
  </si>
  <si>
    <t>$P$25</t>
  </si>
  <si>
    <t>$P$26</t>
  </si>
  <si>
    <t>$P$27</t>
  </si>
  <si>
    <t>$P$28</t>
  </si>
  <si>
    <t>$P$29</t>
  </si>
  <si>
    <t>$P$30</t>
  </si>
  <si>
    <t>$N$19</t>
  </si>
  <si>
    <t>$N$20</t>
  </si>
  <si>
    <t>$N$21</t>
  </si>
  <si>
    <t>$N$22</t>
  </si>
  <si>
    <t>$N$23</t>
  </si>
  <si>
    <t>$N$24</t>
  </si>
  <si>
    <t>$P$19</t>
  </si>
  <si>
    <t>$P$20</t>
  </si>
  <si>
    <t>$P$21</t>
  </si>
  <si>
    <t>$P$22</t>
  </si>
  <si>
    <t>$P$23</t>
  </si>
  <si>
    <t>$P$24</t>
  </si>
  <si>
    <t>$R$19:$R$24</t>
  </si>
  <si>
    <t>$J$31</t>
  </si>
  <si>
    <t>$J$32:$J$43</t>
  </si>
  <si>
    <t>$J$43</t>
  </si>
  <si>
    <t>$K$30</t>
  </si>
  <si>
    <t>$K$31</t>
  </si>
  <si>
    <t>$K$32</t>
  </si>
  <si>
    <t>$K$33:$K$42</t>
  </si>
  <si>
    <t>$L$31:$L$42</t>
  </si>
  <si>
    <t>1 unit Toyota Innova</t>
  </si>
  <si>
    <t>$R$31</t>
  </si>
  <si>
    <t>$R$32:$R$42</t>
  </si>
  <si>
    <t>$R$47</t>
  </si>
  <si>
    <t>$N$31</t>
  </si>
  <si>
    <t>$N$32</t>
  </si>
  <si>
    <t>$N$33</t>
  </si>
  <si>
    <t>$N$34</t>
  </si>
  <si>
    <t>$N$35</t>
  </si>
  <si>
    <t>$N$36</t>
  </si>
  <si>
    <t>$N$37</t>
  </si>
  <si>
    <t>$N$38</t>
  </si>
  <si>
    <t>$N$39</t>
  </si>
  <si>
    <t>$N$40</t>
  </si>
  <si>
    <t>$N$41</t>
  </si>
  <si>
    <t>$N$42</t>
  </si>
  <si>
    <t>$P$31</t>
  </si>
  <si>
    <t>$P$32</t>
  </si>
  <si>
    <t>$P$33</t>
  </si>
  <si>
    <t>$P$34</t>
  </si>
  <si>
    <t>$P$35</t>
  </si>
  <si>
    <t>$P$36</t>
  </si>
  <si>
    <t>$P$37</t>
  </si>
  <si>
    <t>$P$38</t>
  </si>
  <si>
    <t>$P$39</t>
  </si>
  <si>
    <t>$P$40</t>
  </si>
  <si>
    <t>$P$41</t>
  </si>
  <si>
    <t>$P$42</t>
  </si>
  <si>
    <t>$C$6:$G$7</t>
  </si>
  <si>
    <t>$J$8:$J$19</t>
  </si>
  <si>
    <t>$L$19</t>
  </si>
  <si>
    <t>$N$9:$N$19</t>
  </si>
  <si>
    <t>$M$19</t>
  </si>
  <si>
    <t>.</t>
  </si>
  <si>
    <t>$X$25</t>
  </si>
  <si>
    <t>$L$9:$L$19</t>
  </si>
  <si>
    <t>$J$20:$J$31</t>
  </si>
  <si>
    <t>$J$44:$J$55</t>
  </si>
  <si>
    <t>$J$56:$J$67</t>
  </si>
  <si>
    <t>$J$68:$J$79</t>
  </si>
  <si>
    <t>$L$10:$L$19</t>
  </si>
  <si>
    <t>$L$20</t>
  </si>
  <si>
    <t>$L$21:$L$31</t>
  </si>
  <si>
    <t>$L$32</t>
  </si>
  <si>
    <t>$L$33:$L$43</t>
  </si>
  <si>
    <t>$L$44</t>
  </si>
  <si>
    <t>$L$45:$L$55</t>
  </si>
  <si>
    <t>$L$56</t>
  </si>
  <si>
    <t>$L$57:$L$67</t>
  </si>
  <si>
    <t>$L$68</t>
  </si>
  <si>
    <t>$L$69:$L$79</t>
  </si>
  <si>
    <t>$M$56</t>
  </si>
  <si>
    <t>$M$57:$M$67</t>
  </si>
  <si>
    <t>$M$45</t>
  </si>
  <si>
    <t>$M$47</t>
  </si>
  <si>
    <t>$M$50</t>
  </si>
  <si>
    <t>$M$51</t>
  </si>
  <si>
    <t>$M$52</t>
  </si>
  <si>
    <t>$M$55</t>
  </si>
  <si>
    <t>$M$44</t>
  </si>
  <si>
    <t>$M$46</t>
  </si>
  <si>
    <t>$M$48</t>
  </si>
  <si>
    <t>$M$49</t>
  </si>
  <si>
    <t>$M$53</t>
  </si>
  <si>
    <t>$M$54</t>
  </si>
  <si>
    <t>$A$27:$G$39</t>
  </si>
  <si>
    <t>sdfsdf</t>
  </si>
  <si>
    <t>$J$57:$J$67</t>
  </si>
  <si>
    <t>$L$57:$M$67</t>
  </si>
  <si>
    <t>$J$57:$J$68</t>
  </si>
  <si>
    <t>$J$69:$J$80</t>
  </si>
  <si>
    <t>$L$57:$L$61</t>
  </si>
  <si>
    <t>$L$62:$L$67</t>
  </si>
  <si>
    <t>$L$69:$L$80</t>
  </si>
  <si>
    <t>$N$56</t>
  </si>
  <si>
    <t>disposed via transported year 2022</t>
  </si>
  <si>
    <t>$O$56</t>
  </si>
  <si>
    <t>$M$57</t>
  </si>
  <si>
    <t>$M$58:$M$68</t>
  </si>
  <si>
    <t>$M$9:$M$19</t>
  </si>
  <si>
    <t>$M$20</t>
  </si>
  <si>
    <t>$M$21:$M$31</t>
  </si>
  <si>
    <t>$M$32</t>
  </si>
  <si>
    <t>$M$33:$M$43</t>
  </si>
  <si>
    <t>disposed via transporter year 2022</t>
  </si>
  <si>
    <t>VRF outdoor units</t>
  </si>
  <si>
    <t>$Q$9</t>
  </si>
  <si>
    <t>$E$48</t>
  </si>
  <si>
    <t>$E$48:$E$49</t>
  </si>
  <si>
    <t>$E$46:$E$49</t>
  </si>
  <si>
    <t>$N$7:$N$10</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</si>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</sst>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8">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7367326388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Armored Vehicle"/>
        <s v="Van  "/>
        <s v="Sport Utility Vehicle  (SUV)"/>
        <m/>
        <s v="Armored Vehicles" u="1"/>
        <s v="Motorbike" u="1"/>
        <s v="Passenger Car" u="1"/>
        <s v="Service Vehicles" u="1"/>
        <s v="Large Truck" u="1"/>
        <s v="Small Truck" u="1"/>
        <s v="Large Bu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5.64" maxValue="279.35000000000002"/>
    </cacheField>
    <cacheField name="Unit" numFmtId="0">
      <sharedItems containsBlank="1"/>
    </cacheField>
    <cacheField name="Total kilometers travelled (all vehicles)" numFmtId="4">
      <sharedItems containsString="0" containsBlank="1" containsNumber="1" minValue="16.899999999999999" maxValue="2444"/>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2.22"/>
    <s v="Liters"/>
    <n v="48.8"/>
    <s v="Kilometers"/>
    <s v="3 units Armored vehicle"/>
  </r>
  <r>
    <n v="2"/>
    <x v="0"/>
    <x v="0"/>
    <x v="1"/>
    <x v="0"/>
    <n v="38.96"/>
    <m/>
    <n v="155.80000000000001"/>
    <s v="Kilometers"/>
    <s v="3 units Armored vehicle"/>
  </r>
  <r>
    <n v="3"/>
    <x v="0"/>
    <x v="0"/>
    <x v="2"/>
    <x v="0"/>
    <n v="11.21"/>
    <s v="Liters"/>
    <n v="44.8"/>
    <s v="Kilometers"/>
    <s v="3 units Armored vehicle"/>
  </r>
  <r>
    <n v="4"/>
    <x v="0"/>
    <x v="0"/>
    <x v="3"/>
    <x v="1"/>
    <n v="17.48"/>
    <s v="Liters"/>
    <n v="52.4"/>
    <s v="Kilometers"/>
    <s v="3 units Armored vehicle"/>
  </r>
  <r>
    <n v="5"/>
    <x v="0"/>
    <x v="0"/>
    <x v="4"/>
    <x v="1"/>
    <n v="16.809999999999999"/>
    <s v="Liters"/>
    <n v="50.4"/>
    <s v="Kilometers"/>
    <s v="3 units Armored vehicle"/>
  </r>
  <r>
    <n v="6"/>
    <x v="0"/>
    <x v="0"/>
    <x v="5"/>
    <x v="1"/>
    <n v="48.48"/>
    <s v="Liters"/>
    <n v="146.4"/>
    <s v="Kilometers"/>
    <s v="3 units Armored vehicle"/>
  </r>
  <r>
    <n v="7"/>
    <x v="0"/>
    <x v="0"/>
    <x v="6"/>
    <x v="2"/>
    <n v="7.47"/>
    <s v="Liters"/>
    <n v="29.4"/>
    <s v="Kilometers"/>
    <s v="3 units Armored vehicle"/>
  </r>
  <r>
    <n v="8"/>
    <x v="0"/>
    <x v="0"/>
    <x v="7"/>
    <x v="2"/>
    <n v="5.64"/>
    <s v="Liters"/>
    <n v="16.899999999999999"/>
    <s v="Kilometers"/>
    <s v="2 units Armored vehicle"/>
  </r>
  <r>
    <n v="9"/>
    <x v="0"/>
    <x v="0"/>
    <x v="8"/>
    <x v="2"/>
    <n v="28"/>
    <s v="Liters"/>
    <n v="84"/>
    <s v="Kilometers"/>
    <s v="2 units Armored vehicle"/>
  </r>
  <r>
    <n v="10"/>
    <x v="0"/>
    <x v="0"/>
    <x v="9"/>
    <x v="3"/>
    <n v="16.37"/>
    <s v="Liters"/>
    <n v="49.1"/>
    <s v="Kilometers"/>
    <s v="2 units Armored vehicle"/>
  </r>
  <r>
    <n v="11"/>
    <x v="0"/>
    <x v="0"/>
    <x v="10"/>
    <x v="3"/>
    <n v="35.9"/>
    <s v="Liters"/>
    <n v="107.7"/>
    <s v="Kilometers"/>
    <s v="3 units Armored vehicle"/>
  </r>
  <r>
    <n v="12"/>
    <x v="0"/>
    <x v="0"/>
    <x v="11"/>
    <x v="3"/>
    <n v="6.67"/>
    <s v="Liters"/>
    <n v="20"/>
    <s v="Kilometers"/>
    <s v="1 unit Armored vehicle"/>
  </r>
  <r>
    <n v="13"/>
    <x v="1"/>
    <x v="0"/>
    <x v="0"/>
    <x v="0"/>
    <n v="61.71"/>
    <s v="Liters"/>
    <n v="441"/>
    <s v="Kilometers"/>
    <s v="1 unit Toyota Grandia"/>
  </r>
  <r>
    <n v="14"/>
    <x v="1"/>
    <x v="0"/>
    <x v="1"/>
    <x v="0"/>
    <n v="134.94999999999999"/>
    <s v="Liters"/>
    <n v="1473"/>
    <s v="Kilometers"/>
    <s v="1 unit Toyota Grandia"/>
  </r>
  <r>
    <n v="15"/>
    <x v="1"/>
    <x v="0"/>
    <x v="2"/>
    <x v="0"/>
    <n v="107.27"/>
    <s v="Liters"/>
    <n v="748"/>
    <s v="Kilometers"/>
    <s v="1 unit Toyota Grandia"/>
  </r>
  <r>
    <n v="16"/>
    <x v="1"/>
    <x v="0"/>
    <x v="3"/>
    <x v="1"/>
    <n v="173.2"/>
    <s v="Liters"/>
    <n v="1531"/>
    <s v="Kilometers"/>
    <s v="1 unit Toyota Grandia"/>
  </r>
  <r>
    <n v="17"/>
    <x v="1"/>
    <x v="0"/>
    <x v="4"/>
    <x v="1"/>
    <n v="279.35000000000002"/>
    <s v="Liters"/>
    <n v="2444"/>
    <s v="Kilometers"/>
    <s v="1 unit Toyota Grandia"/>
  </r>
  <r>
    <n v="18"/>
    <x v="1"/>
    <x v="0"/>
    <x v="5"/>
    <x v="1"/>
    <n v="216.91"/>
    <s v="Liters"/>
    <n v="1674"/>
    <s v="Kilometers"/>
    <s v="1 unit Toyota Grandia"/>
  </r>
  <r>
    <n v="19"/>
    <x v="1"/>
    <x v="0"/>
    <x v="6"/>
    <x v="2"/>
    <n v="189.28"/>
    <s v="Liters"/>
    <n v="1637"/>
    <s v="Kilometers"/>
    <s v="1 unit Toyota Grandia"/>
  </r>
  <r>
    <n v="20"/>
    <x v="1"/>
    <x v="0"/>
    <x v="7"/>
    <x v="2"/>
    <n v="104.92"/>
    <s v="Liters"/>
    <n v="994"/>
    <s v="Kilometers"/>
    <s v="1 unit Toyota Grandia"/>
  </r>
  <r>
    <n v="21"/>
    <x v="1"/>
    <x v="0"/>
    <x v="8"/>
    <x v="2"/>
    <n v="247.86"/>
    <s v="Liters"/>
    <n v="1735"/>
    <s v="Kilometers"/>
    <s v="1 unit Toyota Grandia"/>
  </r>
  <r>
    <n v="22"/>
    <x v="1"/>
    <x v="0"/>
    <x v="9"/>
    <x v="3"/>
    <n v="106.94"/>
    <s v="Liters"/>
    <n v="973"/>
    <s v="Kilometers"/>
    <s v="1 unit Toyota Grandia"/>
  </r>
  <r>
    <n v="23"/>
    <x v="1"/>
    <x v="0"/>
    <x v="10"/>
    <x v="3"/>
    <n v="211.81"/>
    <s v="Liters"/>
    <n v="1999"/>
    <s v="Kilometers"/>
    <s v="1 unit Toyota Grandia"/>
  </r>
  <r>
    <n v="24"/>
    <x v="1"/>
    <x v="0"/>
    <x v="11"/>
    <x v="3"/>
    <n v="16.149999999999999"/>
    <s v="Liters"/>
    <n v="113"/>
    <s v="Kilometers"/>
    <s v="1 unit Toyota Grandia"/>
  </r>
  <r>
    <n v="25"/>
    <x v="2"/>
    <x v="0"/>
    <x v="0"/>
    <x v="0"/>
    <n v="140.91"/>
    <s v="Liters"/>
    <n v="1127"/>
    <s v="Kilometers"/>
    <s v="1 unit Toyota Innova"/>
  </r>
  <r>
    <n v="26"/>
    <x v="2"/>
    <x v="0"/>
    <x v="1"/>
    <x v="0"/>
    <n v="79.37"/>
    <s v="Liters"/>
    <n v="676"/>
    <s v="Kilometers"/>
    <s v="1 unit Toyota Innova"/>
  </r>
  <r>
    <n v="27"/>
    <x v="2"/>
    <x v="0"/>
    <x v="2"/>
    <x v="0"/>
    <n v="112.76"/>
    <s v="Liters"/>
    <n v="1019"/>
    <s v="Kilometers"/>
    <s v="1 unit Toyota Innova"/>
  </r>
  <r>
    <n v="28"/>
    <x v="2"/>
    <x v="0"/>
    <x v="3"/>
    <x v="1"/>
    <n v="58.78"/>
    <s v="Liters"/>
    <n v="470"/>
    <s v="Kilometers"/>
    <s v="1 unit Toyota Innova"/>
  </r>
  <r>
    <n v="29"/>
    <x v="2"/>
    <x v="0"/>
    <x v="4"/>
    <x v="1"/>
    <n v="105.66"/>
    <s v="Liters"/>
    <n v="846"/>
    <s v="Kilometers"/>
    <s v="1 unit Toyota Innova"/>
  </r>
  <r>
    <n v="30"/>
    <x v="2"/>
    <x v="0"/>
    <x v="5"/>
    <x v="1"/>
    <n v="42.28"/>
    <s v="Liters"/>
    <n v="386"/>
    <s v="Kilometers"/>
    <s v="1 unit Toyota Innova"/>
  </r>
  <r>
    <n v="31"/>
    <x v="2"/>
    <x v="0"/>
    <x v="6"/>
    <x v="2"/>
    <n v="139.62"/>
    <s v="Liters"/>
    <n v="1166"/>
    <s v="Kilometers"/>
    <s v="1 unit Toyota Innova"/>
  </r>
  <r>
    <n v="32"/>
    <x v="2"/>
    <x v="0"/>
    <x v="7"/>
    <x v="2"/>
    <n v="181.43"/>
    <s v="Liters"/>
    <n v="1803"/>
    <s v="Kilometers"/>
    <s v="1 unit Toyota Innova"/>
  </r>
  <r>
    <n v="33"/>
    <x v="2"/>
    <x v="0"/>
    <x v="8"/>
    <x v="2"/>
    <n v="199.96"/>
    <s v="Liters"/>
    <n v="1890"/>
    <s v="Kilometers"/>
    <s v="1 unit Toyota Innova"/>
  </r>
  <r>
    <n v="34"/>
    <x v="2"/>
    <x v="0"/>
    <x v="9"/>
    <x v="3"/>
    <n v="86.1"/>
    <s v="Liters"/>
    <n v="749"/>
    <s v="Kilometers"/>
    <s v="1 unit Toyota Innova"/>
  </r>
  <r>
    <n v="35"/>
    <x v="2"/>
    <x v="0"/>
    <x v="10"/>
    <x v="3"/>
    <n v="139.35"/>
    <s v="Liters"/>
    <n v="1329"/>
    <s v="Kilometers"/>
    <s v="1 unit Toyota Innova"/>
  </r>
  <r>
    <n v="36"/>
    <x v="2"/>
    <x v="0"/>
    <x v="11"/>
    <x v="3"/>
    <n v="82.22"/>
    <s v="Liters"/>
    <n v="699"/>
    <s v="Kilometers"/>
    <s v="1 unit Toyota Innova"/>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4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4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4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4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4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4"/>
        <item m="1" x="7"/>
        <item x="3"/>
        <item m="1" x="6"/>
        <item m="1" x="9"/>
        <item m="1" x="10"/>
        <item m="1" x="8"/>
        <item m="1" x="5"/>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4" s="1" nd="1"/>
        <i x="10" s="1" nd="1"/>
        <i x="8" s="1" nd="1"/>
        <i x="5" s="1" nd="1"/>
        <i x="6" s="1" nd="1"/>
        <i x="7"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17" dataDxfId="115" headerRowBorderDxfId="116" tableBorderDxfId="114">
  <autoFilter ref="I6:O18" xr:uid="{5D54EA1C-BF56-1C41-A397-8FB104BB2C69}"/>
  <tableColumns count="7">
    <tableColumn id="1" xr3:uid="{0736B116-FD52-4F4F-884D-77C731445CFF}" name="No." dataDxfId="113">
      <calculatedColumnFormula>IF(#REF!="","",$I7+1)</calculatedColumnFormula>
    </tableColumn>
    <tableColumn id="5" xr3:uid="{C603CCC2-2764-574B-B616-B1F220EFF63F}" name="Fuel Type" dataDxfId="112"/>
    <tableColumn id="6" xr3:uid="{29E6127A-1BBD-4D42-8A5A-1FA1E160EC19}" name="Month" dataDxfId="111"/>
    <tableColumn id="7" xr3:uid="{AAB63BD1-C28A-2145-9671-756792E786E6}" name="Quarter" dataDxfId="110">
      <calculatedColumnFormula>IF(Fuel_Blg[[#This Row],[Month]]&lt;&gt;"",VLOOKUP(Fuel_Blg[[#This Row],[Month]], dropdown!$S$4:$T$15, 2, FALSE),"")</calculatedColumnFormula>
    </tableColumn>
    <tableColumn id="8" xr3:uid="{2659C633-FEE7-7446-91C8-0ACAADD03760}" name="Consumption" dataDxfId="109"/>
    <tableColumn id="9" xr3:uid="{83261790-77E9-A84F-890F-8F209571520F}" name="Unit" dataDxfId="108">
      <calculatedColumnFormula>IF($J7="","",VLOOKUP($J7,dropdown!$P$3:$Q$8,2,FALSE))</calculatedColumnFormula>
    </tableColumn>
    <tableColumn id="10" xr3:uid="{ADF20B56-6D74-6149-B0C0-FB9AA3F5AC8E}" name="Remarks" dataDxfId="10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06" dataDxfId="104" headerRowBorderDxfId="105" tableBorderDxfId="103" totalsRowBorderDxfId="102">
  <autoFilter ref="I6:R106" xr:uid="{A85D45EB-1572-A543-812E-815536D59C14}"/>
  <tableColumns count="10">
    <tableColumn id="1" xr3:uid="{CA340CBE-9D85-6C42-9CA1-DDAD368521C3}" name="No." dataDxfId="101">
      <calculatedColumnFormula>IF($J7="","",$I6+1)</calculatedColumnFormula>
    </tableColumn>
    <tableColumn id="2" xr3:uid="{CFAD3D96-F137-044A-AE4C-49E5188E1144}" name="Vehicle Type" dataDxfId="100"/>
    <tableColumn id="3" xr3:uid="{5A421D87-7A43-B14E-BA71-EABB4924A663}" name="Fuel Type" dataDxfId="99"/>
    <tableColumn id="4" xr3:uid="{9C4094CC-7613-9147-BAF8-A31087280A9A}" name="Month" dataDxfId="98"/>
    <tableColumn id="10" xr3:uid="{5211A67F-348D-494D-AD2E-AD4A362BCD78}" name="Quarter" dataDxfId="97">
      <calculatedColumnFormula>IF(Fuel_Veh[[#This Row],[Month]]&lt;&gt;"",VLOOKUP(Fuel_Veh[[#This Row],[Month]], dropdown!$S$4:$T$15, 2, FALSE),"")</calculatedColumnFormula>
    </tableColumn>
    <tableColumn id="5" xr3:uid="{6EDA12F9-55D0-694A-BAB9-B15BDE58CA76}" name="Consumption" dataDxfId="96"/>
    <tableColumn id="7" xr3:uid="{E7761959-51F4-954F-B8FB-F46DCC54C53F}" name="Unit" dataDxfId="95">
      <calculatedColumnFormula>IF($K7="","",VLOOKUP($K7,dropdown!$P$14:$Q$18,2,FALSE))</calculatedColumnFormula>
    </tableColumn>
    <tableColumn id="8" xr3:uid="{AD5D0247-3B56-D146-B22E-45D44E44A249}" name="Total kilometers travelled (all vehicles)" dataDxfId="94"/>
    <tableColumn id="6" xr3:uid="{7D9E5DFA-64C2-4B06-A40F-0BC8CB602574}" name="Unit2" dataDxfId="93">
      <calculatedColumnFormula>IF($P7="","","Kilometers")</calculatedColumnFormula>
    </tableColumn>
    <tableColumn id="9" xr3:uid="{3C24034E-2544-5447-B927-0F565A869F60}" name="Remarks" dataDxfId="9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91" dataDxfId="90">
  <autoFilter ref="I8:W107" xr:uid="{4EA7077C-50F7-42D2-96F2-51568F67E7B2}"/>
  <tableColumns count="15">
    <tableColumn id="1" xr3:uid="{F5FCA22D-7063-431B-9399-42C43DB71411}" name="No." dataDxfId="89">
      <calculatedColumnFormula>IF($K9="","",$I8+1)</calculatedColumnFormula>
    </tableColumn>
    <tableColumn id="2" xr3:uid="{132030AD-4541-47EB-A337-EEE87637C1DE}" name="Location" dataDxfId="88"/>
    <tableColumn id="3" xr3:uid="{E38A8A42-DF98-463F-8F43-42FB3365C31D}" name="Equipment Category" dataDxfId="87"/>
    <tableColumn id="4" xr3:uid="{73A30FFB-A2D9-422E-811C-B1A1BA4CF2FF}" name="No. of Units" dataDxfId="86"/>
    <tableColumn id="5" xr3:uid="{C542C367-6C7C-4A2E-AFC0-70AA09658289}" name="Refrigerant" dataDxfId="85"/>
    <tableColumn id="6" xr3:uid="{A49CD649-8CDA-4BDE-9E6C-7CED9E0C5258}" name="Equipment Status" dataDxfId="84"/>
    <tableColumn id="7" xr3:uid="{496D94A5-FA4D-4CAE-BA86-0076C8252260}" name="Month Purchased" dataDxfId="83"/>
    <tableColumn id="8" xr3:uid="{C2C4A362-BE62-4AD9-8A32-0EE063613BFF}" name="Charge (kg)" dataDxfId="82"/>
    <tableColumn id="9" xr3:uid="{72FA09EB-82CD-4F9D-B0C6-9BC0E94D6119}" name="Month Recharged" dataDxfId="81"/>
    <tableColumn id="10" xr3:uid="{47F108D4-F5B0-471A-95AA-199B8E9D5D51}" name="Recharge (kg)" dataDxfId="80"/>
    <tableColumn id="11" xr3:uid="{7F5D579B-DB98-4EE1-9316-59541598F54B}" name="Month Disposed" dataDxfId="79"/>
    <tableColumn id="12" xr3:uid="{27D4DE6A-84A7-49EE-85CD-4A4C4CF0E9C1}" name="Capacity (kg)" dataDxfId="78"/>
    <tableColumn id="13" xr3:uid="{57B4A461-924D-48EC-A43C-5A1EEE91ED09}" name="Recovered (kg)" dataDxfId="77"/>
    <tableColumn id="14" xr3:uid="{4A88164E-A6C3-4FE4-8DE4-0C0950D809F0}" name="Quarter" dataDxfId="76">
      <calculatedColumnFormula>IFERROR(VLOOKUP($O9, dropdown!$S$4:$T$15, 2, FALSE),
 IFERROR(VLOOKUP($Q9, dropdown!$S$4:$T$15, 2, FALSE),
 IFERROR(VLOOKUP($S9, dropdown!$S$4:$T$15, 2, FALSE),
 "")))</calculatedColumnFormula>
    </tableColumn>
    <tableColumn id="15" xr3:uid="{D18D61D3-B9DB-40F4-9EBB-61DAFC976BF5}" name="Remarks" dataDxfId="7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74" tableBorderDxfId="73">
  <autoFilter ref="I7:O107" xr:uid="{4E808252-F12F-E841-AB57-6A82E4759C1A}"/>
  <tableColumns count="7">
    <tableColumn id="1" xr3:uid="{D5D30AA3-E573-734B-B6AB-3BC327F8D967}" name="No." dataDxfId="72"/>
    <tableColumn id="3" xr3:uid="{E49E940C-A64E-A446-B958-9A58950DBA26}" name="Month" dataDxfId="71"/>
    <tableColumn id="8" xr3:uid="{A32745C6-53F1-AF48-B40D-2062538BA76C}" name="Quarter" dataDxfId="70">
      <calculatedColumnFormula>IF(Electricity[[#This Row],[Month]]&lt;&gt;"",VLOOKUP(Electricity[[#This Row],[Month]], dropdown!$S$4:$T$15, 2, FALSE),"")</calculatedColumnFormula>
    </tableColumn>
    <tableColumn id="4" xr3:uid="{7BDA3B9E-E331-A040-8D00-68C0D245C2DD}" name="Consumption (kWh)" dataDxfId="69"/>
    <tableColumn id="5" xr3:uid="{4597EC97-806C-4E41-8BA3-E789252B06C0}" name="Cost (PHP)" dataDxfId="68"/>
    <tableColumn id="6" xr3:uid="{4139C44D-830B-F247-8F9C-494AF4CBED3A}" name="Utility Provider" dataDxfId="67"/>
    <tableColumn id="7" xr3:uid="{A1E305CA-3F3B-AC45-B4A9-903D25ED562F}" name="Remarks" dataDxfId="6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65" tableBorderDxfId="64">
  <autoFilter ref="I6:N106" xr:uid="{4E808252-F12F-E841-AB57-6A82E4759C1A}"/>
  <tableColumns count="6">
    <tableColumn id="1" xr3:uid="{96892042-DA4D-554E-B6C0-56CC2E778BE0}" name="No." dataDxfId="63">
      <calculatedColumnFormula>IF(Electricity6[[#This Row],[Month]]="","",1)</calculatedColumnFormula>
    </tableColumn>
    <tableColumn id="3" xr3:uid="{4D461598-2D62-B244-9F61-EF4079251355}" name="Month" dataDxfId="62"/>
    <tableColumn id="8" xr3:uid="{45DB6F9E-A541-A04C-BEB7-D0FD16821599}" name="Quarter" dataDxfId="61">
      <calculatedColumnFormula>IF(Electricity6[[#This Row],[Month]]&lt;&gt;"",VLOOKUP(Electricity6[[#This Row],[Month]], dropdown!$S$4:$T$15, 2, FALSE),"")</calculatedColumnFormula>
    </tableColumn>
    <tableColumn id="4" xr3:uid="{2384A887-6797-9D45-A82F-AD87B1CEA514}" name="Solar Energy Generated (kWh)" dataDxfId="60"/>
    <tableColumn id="6" xr3:uid="{C0C5600A-2A4F-42FA-A171-A7D77002B82E}" name="Operational Energy Demand - One Shift (kWH)" dataDxfId="59"/>
    <tableColumn id="7" xr3:uid="{0E49F2FA-DF95-494F-B55D-59E5FA7DFB31}" name="Remarks" dataDxfId="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7" dataDxfId="55" headerRowBorderDxfId="56" tableBorderDxfId="54" totalsRowBorderDxfId="53">
  <autoFilter ref="I7:N107" xr:uid="{D1C0C9B2-779D-1649-AFF9-2DC747BD8D8E}"/>
  <tableColumns count="6">
    <tableColumn id="1" xr3:uid="{98251D21-9B72-FF46-855C-29CDFC3F8C49}" name="No." dataDxfId="52">
      <calculatedColumnFormula>IF(#REF!="","",$I7+1)</calculatedColumnFormula>
    </tableColumn>
    <tableColumn id="3" xr3:uid="{79584AA0-F1B7-3B41-BB42-77B2A9F16C14}" name="Month" dataDxfId="51"/>
    <tableColumn id="4" xr3:uid="{A3CA35C2-DBF2-C44A-8453-C1C3204D173D}" name="Quarter" dataDxfId="50">
      <calculatedColumnFormula>IF(water_in[[#This Row],[Month]]&lt;&gt;"",VLOOKUP(water_in[[#This Row],[Month]], dropdown!$S$4:$T$15, 2, FALSE),"")</calculatedColumnFormula>
    </tableColumn>
    <tableColumn id="5" xr3:uid="{94E41BA5-FE14-7A42-A566-007A23C80527}" name="Source" dataDxfId="49"/>
    <tableColumn id="6" xr3:uid="{06C9DE83-99A6-6E42-BFF6-BBB009F75383}" name="Volume (m3)" dataDxfId="48"/>
    <tableColumn id="7" xr3:uid="{76D3A7A4-7A71-A740-A5FE-E0978AE0D14C}" name="Remarks" dataDxfId="4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46" dataDxfId="44" headerRowBorderDxfId="45" tableBorderDxfId="43" totalsRowBorderDxfId="42">
  <autoFilter ref="P7:U107" xr:uid="{417FDA8E-3E35-E54B-B144-32DD667BE400}"/>
  <tableColumns count="6">
    <tableColumn id="1" xr3:uid="{C13D90C4-D898-7E42-BF11-5CEB6AE3F508}" name="No." dataDxfId="41">
      <calculatedColumnFormula>IF(#REF!="","",$P7+1)</calculatedColumnFormula>
    </tableColumn>
    <tableColumn id="3" xr3:uid="{FB4E4C5F-3555-F84A-866C-D2E830B01E5D}" name="Month" dataDxfId="40"/>
    <tableColumn id="4" xr3:uid="{619B28E5-6E0C-9445-94A5-CFE5B7E140CF}" name="Quarter" dataDxfId="39">
      <calculatedColumnFormula>IF(water_out[[#This Row],[Month]]&lt;&gt;"",VLOOKUP(water_out[[#This Row],[Month]], dropdown!$S$4:$T$15, 2, FALSE),"")</calculatedColumnFormula>
    </tableColumn>
    <tableColumn id="6" xr3:uid="{FC43882E-BF75-DA4D-B572-DC2FBD6873DC}" name="Water Destination" dataDxfId="38"/>
    <tableColumn id="2" xr3:uid="{10C062EB-B924-4DED-B867-1CB5A5574221}" name="Volume2 (m3)" dataDxfId="37"/>
    <tableColumn id="8" xr3:uid="{41D6224C-69B7-5E4A-8BC8-C342068A9656}" name="Remarks" dataDxfId="3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35" dataDxfId="34" tableBorderDxfId="33">
  <autoFilter ref="I12:O30" xr:uid="{644952C9-78B7-944D-8BFB-5F0BBB441E25}"/>
  <tableColumns count="7">
    <tableColumn id="1" xr3:uid="{905CBBCA-C4CE-E64F-8577-DD820D762EBE}" name="Component" dataDxfId="32"/>
    <tableColumn id="2" xr3:uid="{95B1D560-7606-8440-A263-1F3488DDCF60}" name="Chemical Formula" dataDxfId="31"/>
    <tableColumn id="3" xr3:uid="{BAFDD3D8-B5F1-0945-B68F-96F3F4D4E83A}" name="Molar Fraction (%)" dataDxfId="30"/>
    <tableColumn id="4" xr3:uid="{8ED09876-064B-5643-B346-8B9BE03FCA7C}" name="Total Moles (kg-mole/m3)" dataDxfId="29">
      <calculatedColumnFormula>IF(Waste_Gases[[#This Row],[Molar Fraction (%)]]=0,"",Waste_Gases[[#This Row],[Molar Fraction (%)]]*$D$15)</calculatedColumnFormula>
    </tableColumn>
    <tableColumn id="5" xr3:uid="{AF137C96-997B-0043-A824-BF6EB99BF204}" name="Molecular Weight" dataDxfId="28"/>
    <tableColumn id="6" xr3:uid="{45DE64DD-9AEC-7A47-BFD6-46841261F085}" name="Percent Carbon (%)" dataDxfId="27">
      <calculatedColumnFormula>Emission_Factors!$B$17/Waste_Gases[[#This Row],[Molecular Weight]]</calculatedColumnFormula>
    </tableColumn>
    <tableColumn id="7" xr3:uid="{2A4C64A5-A239-5A46-9E95-F45AEE05D934}" name="Carbon Content(kg/m3)" dataDxfId="26">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25" tableBorderDxfId="24">
  <autoFilter ref="I7:O104" xr:uid="{0230B550-3160-A24C-BB39-D77FBA7436E1}"/>
  <tableColumns count="7">
    <tableColumn id="1" xr3:uid="{E1E9FF9D-27E3-7D49-AEA6-2B1729AB118D}" name="No." dataDxfId="23"/>
    <tableColumn id="2" xr3:uid="{8380DC80-2805-C14F-AD3B-7C45100601CB}" name="Month" dataDxfId="22"/>
    <tableColumn id="3" xr3:uid="{8B50C8B1-2B60-7D48-8932-B0CD897CE645}" name="Quarter" dataDxfId="21">
      <calculatedColumnFormula>IF(Waste[[#This Row],[Month]]&lt;&gt;"",VLOOKUP(Waste[[#This Row],[Month]], dropdown!$S$4:$T$15, 2, FALSE),"")</calculatedColumnFormula>
    </tableColumn>
    <tableColumn id="4" xr3:uid="{1D0A3C03-9904-E148-8A78-B82195B0EA5C}" name="Waste Composition" dataDxfId="20"/>
    <tableColumn id="5" xr3:uid="{93373184-794D-CF48-B2C6-609884108023}" name="Weight (kg)" dataDxfId="19"/>
    <tableColumn id="6" xr3:uid="{AEA2ECE1-073B-3E43-BACD-0EDC33C61465}" name="Disposal/Recovery Method" dataDxfId="18"/>
    <tableColumn id="7" xr3:uid="{5D0BB89C-B4C6-D54A-A767-64E8AE7DDBFE}" name="Remarks" dataDxfId="1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85" totalsRowShown="0" headerRowDxfId="16">
  <autoFilter ref="A1:E1285" xr:uid="{76DE87AF-814A-AB4A-8281-B0E5A4C74319}"/>
  <tableColumns count="5">
    <tableColumn id="1" xr3:uid="{26002ACD-4A1E-4D49-89F1-047F359822D0}" name="Timestamp" dataDxfId="15"/>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110" zoomScaleNormal="130" workbookViewId="0">
      <selection activeCell="B25" sqref="B25"/>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40" zoomScale="88" zoomScaleNormal="60" workbookViewId="0">
      <selection activeCell="G51" sqref="G51"/>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359</v>
      </c>
      <c r="E2" s="445"/>
      <c r="F2" s="445"/>
      <c r="G2" s="446"/>
    </row>
    <row r="3" spans="3:7" x14ac:dyDescent="0.2">
      <c r="C3" s="117" t="s">
        <v>12</v>
      </c>
      <c r="D3" s="444">
        <v>2024</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954</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3464</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387030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791</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5400</v>
      </c>
    </row>
    <row r="45" spans="3:5" x14ac:dyDescent="0.2">
      <c r="C45" s="189" t="str">
        <f>'2.5 Waste'!B12</f>
        <v>Recyclable</v>
      </c>
      <c r="D45" s="189" t="str">
        <f>'2.5 Waste'!C12</f>
        <v>Kilograms</v>
      </c>
      <c r="E45" s="191">
        <f>SUM('2.5 Waste'!$D$12:$G$12)</f>
        <v>1800</v>
      </c>
    </row>
    <row r="46" spans="3:5" x14ac:dyDescent="0.2">
      <c r="C46" s="189" t="str">
        <f>'2.5 Waste'!B13</f>
        <v>Infectious</v>
      </c>
      <c r="D46" s="189" t="str">
        <f>'2.5 Waste'!C13</f>
        <v>Kilograms</v>
      </c>
      <c r="E46" s="191">
        <f>SUM('2.5 Waste'!$D$13:$G$13)</f>
        <v>180</v>
      </c>
    </row>
    <row r="47" spans="3:5" x14ac:dyDescent="0.2">
      <c r="C47" s="189" t="str">
        <f>'2.5 Waste'!B14</f>
        <v>Security</v>
      </c>
      <c r="D47" s="189" t="str">
        <f>'2.5 Waste'!C14</f>
        <v>Kilograms</v>
      </c>
      <c r="E47" s="191">
        <f>SUM('2.5 Waste'!$D$14:$G$14)</f>
        <v>54240</v>
      </c>
    </row>
    <row r="48" spans="3:5" x14ac:dyDescent="0.2">
      <c r="C48" s="189" t="str">
        <f>'2.5 Waste'!B15</f>
        <v>Hazardous</v>
      </c>
      <c r="D48" s="189" t="str">
        <f>'2.5 Waste'!C15</f>
        <v>Kilograms</v>
      </c>
      <c r="E48" s="191">
        <f>SUM('2.5 Waste'!$D$15:$G$15)</f>
        <v>1077</v>
      </c>
    </row>
    <row r="49" spans="3:5" x14ac:dyDescent="0.2">
      <c r="C49" s="189" t="str">
        <f>'2.5 Waste'!B16</f>
        <v>Residual/Landfill</v>
      </c>
      <c r="D49" s="189" t="str">
        <f>'2.5 Waste'!C16</f>
        <v>Kilograms</v>
      </c>
      <c r="E49" s="191">
        <f>SUM('2.5 Waste'!$D$16:$G$16)</f>
        <v>5400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J10" sqref="J1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Butuan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7" t="s">
        <v>1449</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45912</v>
      </c>
      <c r="D7" s="448"/>
      <c r="E7" s="448"/>
      <c r="F7" s="448"/>
      <c r="G7" s="449"/>
      <c r="I7" s="194">
        <f>IF($M7="","",1)</f>
        <v>1</v>
      </c>
      <c r="J7" s="57" t="s">
        <v>37</v>
      </c>
      <c r="K7" s="58" t="s">
        <v>338</v>
      </c>
      <c r="L7" s="18" t="str">
        <f>IF(Fuel_Blg[[#This Row],[Month]]&lt;&gt;"",VLOOKUP(Fuel_Blg[[#This Row],[Month]], dropdown!$S$4:$T$15, 2, FALSE),"")</f>
        <v>Q1</v>
      </c>
      <c r="M7" s="29">
        <v>84</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84</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85</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64</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253</v>
      </c>
      <c r="E11" s="41">
        <f>SUMIFS(Fuel_Blg[Consumption],Fuel_Blg[Quarter],E$10,Fuel_Blg[Fuel Type],$B$11)</f>
        <v>193</v>
      </c>
      <c r="F11" s="41">
        <f>SUMIFS(Fuel_Blg[Consumption],Fuel_Blg[Quarter],F$10,Fuel_Blg[Fuel Type],$B$11)</f>
        <v>350</v>
      </c>
      <c r="G11" s="41">
        <f>SUMIFS(Fuel_Blg[Consumption],Fuel_Blg[Quarter],G$10,Fuel_Blg[Fuel Type],$B$11)</f>
        <v>158</v>
      </c>
      <c r="I11" s="194">
        <f t="shared" si="0"/>
        <v>2</v>
      </c>
      <c r="J11" s="57" t="s">
        <v>37</v>
      </c>
      <c r="K11" s="58" t="s">
        <v>379</v>
      </c>
      <c r="L11" s="18" t="str">
        <f>IF(Fuel_Blg[[#This Row],[Month]]&lt;&gt;"",VLOOKUP(Fuel_Blg[[#This Row],[Month]], dropdown!$S$4:$T$15, 2, FALSE),"")</f>
        <v>Q2</v>
      </c>
      <c r="M11" s="29">
        <v>64</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65</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116</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116</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118</v>
      </c>
      <c r="N15" s="17" t="str">
        <f>IF($J15="","",VLOOKUP($J15,dropdown!$P$3:$Q$8,2,FALSE))</f>
        <v>Liters</v>
      </c>
      <c r="O15" s="195"/>
      <c r="P15" s="20"/>
    </row>
    <row r="16" spans="2:16" x14ac:dyDescent="0.2">
      <c r="I16" s="194">
        <f t="shared" si="0"/>
        <v>7</v>
      </c>
      <c r="J16" s="57" t="s">
        <v>37</v>
      </c>
      <c r="K16" s="58" t="s">
        <v>400</v>
      </c>
      <c r="L16" s="18" t="str">
        <f>IF(Fuel_Blg[[#This Row],[Month]]&lt;&gt;"",VLOOKUP(Fuel_Blg[[#This Row],[Month]], dropdown!$S$4:$T$15, 2, FALSE),"")</f>
        <v>Q4</v>
      </c>
      <c r="M16" s="29">
        <v>52</v>
      </c>
      <c r="N16" s="17" t="str">
        <f>IF($J16="","",VLOOKUP($J16,dropdown!$P$3:$Q$8,2,FALSE))</f>
        <v>Liters</v>
      </c>
      <c r="O16" s="195"/>
      <c r="P16" s="20"/>
    </row>
    <row r="17" spans="2:16" x14ac:dyDescent="0.2">
      <c r="B17" s="267" t="s">
        <v>38</v>
      </c>
      <c r="I17" s="194">
        <f t="shared" si="0"/>
        <v>8</v>
      </c>
      <c r="J17" s="57" t="s">
        <v>37</v>
      </c>
      <c r="K17" s="58" t="s">
        <v>404</v>
      </c>
      <c r="L17" s="18" t="str">
        <f>IF(Fuel_Blg[[#This Row],[Month]]&lt;&gt;"",VLOOKUP(Fuel_Blg[[#This Row],[Month]], dropdown!$S$4:$T$15, 2, FALSE),"")</f>
        <v>Q4</v>
      </c>
      <c r="M17" s="29">
        <v>53</v>
      </c>
      <c r="N17" s="17" t="str">
        <f>IF($J17="","",VLOOKUP($J17,dropdown!$P$3:$Q$8,2,FALSE))</f>
        <v>Liters</v>
      </c>
      <c r="O17" s="195"/>
      <c r="P17" s="20"/>
    </row>
    <row r="18" spans="2:16" x14ac:dyDescent="0.2">
      <c r="B18" s="268" t="s">
        <v>175</v>
      </c>
      <c r="I18" s="194">
        <f t="shared" si="0"/>
        <v>9</v>
      </c>
      <c r="J18" s="57" t="s">
        <v>37</v>
      </c>
      <c r="K18" s="58" t="s">
        <v>407</v>
      </c>
      <c r="L18" s="18" t="str">
        <f>IF(Fuel_Blg[[#This Row],[Month]]&lt;&gt;"",VLOOKUP(Fuel_Blg[[#This Row],[Month]], dropdown!$S$4:$T$15, 2, FALSE),"")</f>
        <v>Q4</v>
      </c>
      <c r="M18" s="29">
        <v>53</v>
      </c>
      <c r="N18" s="17" t="str">
        <f>IF($J18="","",VLOOKUP($J18,dropdown!$P$3:$Q$8,2,FALSE))</f>
        <v>Liters</v>
      </c>
      <c r="O18" s="195"/>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E25" zoomScaleNormal="100" workbookViewId="0">
      <selection activeCell="L7" sqref="L7:L18"/>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Butuan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1449</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45912</v>
      </c>
      <c r="D7" s="448"/>
      <c r="E7" s="448"/>
      <c r="F7" s="448"/>
      <c r="G7" s="449"/>
      <c r="I7" s="194">
        <f>IF($J7="","",1)</f>
        <v>1</v>
      </c>
      <c r="J7" s="57" t="s">
        <v>343</v>
      </c>
      <c r="K7" s="57" t="s">
        <v>63</v>
      </c>
      <c r="L7" s="58" t="s">
        <v>338</v>
      </c>
      <c r="M7" s="18" t="str">
        <f>IF(Fuel_Veh[[#This Row],[Month]]&lt;&gt;"",VLOOKUP(Fuel_Veh[[#This Row],[Month]], dropdown!$S$4:$T$15, 2, FALSE),"")</f>
        <v>Q1</v>
      </c>
      <c r="N7" s="29">
        <v>12.22</v>
      </c>
      <c r="O7" s="17" t="str">
        <f>IF($K7="","",VLOOKUP($K7,dropdown!$P$14:$Q$18,2,FALSE))</f>
        <v>Liters</v>
      </c>
      <c r="P7" s="29">
        <v>48.8</v>
      </c>
      <c r="Q7" s="17" t="str">
        <f t="shared" ref="Q7:Q70" si="0">IF($P7="","","Kilometers")</f>
        <v>Kilometers</v>
      </c>
      <c r="R7" s="195" t="s">
        <v>1463</v>
      </c>
    </row>
    <row r="8" spans="2:18" x14ac:dyDescent="0.2">
      <c r="I8" s="194">
        <f>IF($J8="","",$I7+1)</f>
        <v>2</v>
      </c>
      <c r="J8" s="57" t="s">
        <v>343</v>
      </c>
      <c r="K8" s="57" t="s">
        <v>63</v>
      </c>
      <c r="L8" s="58" t="s">
        <v>89</v>
      </c>
      <c r="M8" s="18" t="str">
        <f>IF(Fuel_Veh[[#This Row],[Month]]&lt;&gt;"",VLOOKUP(Fuel_Veh[[#This Row],[Month]], dropdown!$S$4:$T$15, 2, FALSE),"")</f>
        <v>Q1</v>
      </c>
      <c r="N8" s="29">
        <v>38.96</v>
      </c>
      <c r="O8" s="17"/>
      <c r="P8" s="29">
        <v>155.80000000000001</v>
      </c>
      <c r="Q8" s="17" t="str">
        <f t="shared" si="0"/>
        <v>Kilometers</v>
      </c>
      <c r="R8" s="195" t="s">
        <v>1463</v>
      </c>
    </row>
    <row r="9" spans="2:18" x14ac:dyDescent="0.2">
      <c r="B9" s="14" t="s">
        <v>33</v>
      </c>
      <c r="C9" s="14"/>
      <c r="D9" s="14"/>
      <c r="E9" s="14"/>
      <c r="F9" s="14"/>
      <c r="G9" s="14"/>
      <c r="I9" s="194">
        <f>IF($J9="","",$I8+1)</f>
        <v>3</v>
      </c>
      <c r="J9" s="57" t="s">
        <v>343</v>
      </c>
      <c r="K9" s="57" t="s">
        <v>63</v>
      </c>
      <c r="L9" s="58" t="s">
        <v>362</v>
      </c>
      <c r="M9" s="18" t="str">
        <f>IF(Fuel_Veh[[#This Row],[Month]]&lt;&gt;"",VLOOKUP(Fuel_Veh[[#This Row],[Month]], dropdown!$S$4:$T$15, 2, FALSE),"")</f>
        <v>Q1</v>
      </c>
      <c r="N9" s="29">
        <v>11.21</v>
      </c>
      <c r="O9" s="17" t="str">
        <f>IF($K9="","",VLOOKUP($K9,dropdown!$P$14:$Q$18,2,FALSE))</f>
        <v>Liters</v>
      </c>
      <c r="P9" s="29">
        <v>44.8</v>
      </c>
      <c r="Q9" s="17" t="str">
        <f t="shared" si="0"/>
        <v>Kilometers</v>
      </c>
      <c r="R9" s="195" t="s">
        <v>1463</v>
      </c>
    </row>
    <row r="10" spans="2:18" x14ac:dyDescent="0.2">
      <c r="B10" s="13" t="s">
        <v>35</v>
      </c>
      <c r="C10" s="13" t="s">
        <v>51</v>
      </c>
      <c r="D10" s="40" t="s">
        <v>45</v>
      </c>
      <c r="E10" s="40" t="s">
        <v>149</v>
      </c>
      <c r="F10" s="40" t="s">
        <v>150</v>
      </c>
      <c r="G10" s="40" t="s">
        <v>151</v>
      </c>
      <c r="I10" s="194">
        <f>IF($J10="","",$I9+1)</f>
        <v>4</v>
      </c>
      <c r="J10" s="57" t="s">
        <v>343</v>
      </c>
      <c r="K10" s="57" t="s">
        <v>63</v>
      </c>
      <c r="L10" s="58" t="s">
        <v>371</v>
      </c>
      <c r="M10" s="18" t="str">
        <f>IF(Fuel_Veh[[#This Row],[Month]]&lt;&gt;"",VLOOKUP(Fuel_Veh[[#This Row],[Month]], dropdown!$S$4:$T$15, 2, FALSE),"")</f>
        <v>Q2</v>
      </c>
      <c r="N10" s="29">
        <v>17.48</v>
      </c>
      <c r="O10" s="17" t="str">
        <f>IF($K10="","",VLOOKUP($K10,dropdown!$P$14:$Q$18,2,FALSE))</f>
        <v>Liters</v>
      </c>
      <c r="P10" s="29">
        <v>52.4</v>
      </c>
      <c r="Q10" s="17" t="str">
        <f t="shared" si="0"/>
        <v>Kilometers</v>
      </c>
      <c r="R10" s="195" t="s">
        <v>1463</v>
      </c>
    </row>
    <row r="11" spans="2:18" x14ac:dyDescent="0.2">
      <c r="B11" s="17" t="str">
        <f>dropdown!$P15</f>
        <v>Diesel - Transport vehicles</v>
      </c>
      <c r="C11" s="17" t="str">
        <f>dropdown!$Q15</f>
        <v>Liters</v>
      </c>
      <c r="D11" s="41">
        <f>SUMIFS(Fuel_Veh[Consumption],Fuel_Veh[Quarter],D$10,Fuel_Veh[Fuel Type],$B$11)</f>
        <v>699.3599999999999</v>
      </c>
      <c r="E11" s="41">
        <f>SUMIFS(Fuel_Veh[Consumption],Fuel_Veh[Quarter],E$10,Fuel_Veh[Fuel Type],$B$11)</f>
        <v>958.94999999999982</v>
      </c>
      <c r="F11" s="41">
        <f>SUMIFS(Fuel_Veh[Consumption],Fuel_Veh[Quarter],F$10,Fuel_Veh[Fuel Type],$B$11)</f>
        <v>1104.18</v>
      </c>
      <c r="G11" s="41">
        <f>SUMIFS(Fuel_Veh[Consumption],Fuel_Veh[Quarter],G$10,Fuel_Veh[Fuel Type],$B$11)</f>
        <v>701.51</v>
      </c>
      <c r="I11" s="194">
        <f>IF($J11="","",$I10+1)</f>
        <v>5</v>
      </c>
      <c r="J11" s="57" t="s">
        <v>343</v>
      </c>
      <c r="K11" s="57" t="s">
        <v>63</v>
      </c>
      <c r="L11" s="58" t="s">
        <v>379</v>
      </c>
      <c r="M11" s="18" t="str">
        <f>IF(Fuel_Veh[[#This Row],[Month]]&lt;&gt;"",VLOOKUP(Fuel_Veh[[#This Row],[Month]], dropdown!$S$4:$T$15, 2, FALSE),"")</f>
        <v>Q2</v>
      </c>
      <c r="N11" s="29">
        <v>16.809999999999999</v>
      </c>
      <c r="O11" s="17" t="str">
        <f>IF($K11="","",VLOOKUP($K11,dropdown!$P$14:$Q$18,2,FALSE))</f>
        <v>Liters</v>
      </c>
      <c r="P11" s="29">
        <v>50.4</v>
      </c>
      <c r="Q11" s="17" t="str">
        <f t="shared" si="0"/>
        <v>Kilometers</v>
      </c>
      <c r="R11" s="195" t="s">
        <v>1463</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386</v>
      </c>
      <c r="M12" s="18" t="str">
        <f>IF(Fuel_Veh[[#This Row],[Month]]&lt;&gt;"",VLOOKUP(Fuel_Veh[[#This Row],[Month]], dropdown!$S$4:$T$15, 2, FALSE),"")</f>
        <v>Q2</v>
      </c>
      <c r="N12" s="29">
        <v>48.48</v>
      </c>
      <c r="O12" s="17" t="str">
        <f>IF($K12="","",VLOOKUP($K12,dropdown!$P$14:$Q$18,2,FALSE))</f>
        <v>Liters</v>
      </c>
      <c r="P12" s="29">
        <v>146.4</v>
      </c>
      <c r="Q12" s="17" t="str">
        <f t="shared" si="0"/>
        <v>Kilometers</v>
      </c>
      <c r="R12" s="195" t="s">
        <v>1463</v>
      </c>
    </row>
    <row r="13" spans="2:18" ht="14" customHeight="1" x14ac:dyDescent="0.2">
      <c r="I13" s="194">
        <f t="shared" si="1"/>
        <v>7</v>
      </c>
      <c r="J13" s="57" t="s">
        <v>343</v>
      </c>
      <c r="K13" s="57" t="s">
        <v>63</v>
      </c>
      <c r="L13" s="58" t="s">
        <v>390</v>
      </c>
      <c r="M13" s="18" t="str">
        <f>IF(Fuel_Veh[[#This Row],[Month]]&lt;&gt;"",VLOOKUP(Fuel_Veh[[#This Row],[Month]], dropdown!$S$4:$T$15, 2, FALSE),"")</f>
        <v>Q3</v>
      </c>
      <c r="N13" s="29">
        <v>7.47</v>
      </c>
      <c r="O13" s="17" t="str">
        <f>IF($K13="","",VLOOKUP($K13,dropdown!$P$14:$Q$18,2,FALSE))</f>
        <v>Liters</v>
      </c>
      <c r="P13" s="29">
        <v>29.4</v>
      </c>
      <c r="Q13" s="17" t="str">
        <f t="shared" si="0"/>
        <v>Kilometers</v>
      </c>
      <c r="R13" s="195" t="s">
        <v>1463</v>
      </c>
    </row>
    <row r="14" spans="2:18" x14ac:dyDescent="0.2">
      <c r="B14" s="267" t="s">
        <v>38</v>
      </c>
      <c r="I14" s="194">
        <f t="shared" si="1"/>
        <v>8</v>
      </c>
      <c r="J14" s="57" t="s">
        <v>343</v>
      </c>
      <c r="K14" s="57" t="s">
        <v>63</v>
      </c>
      <c r="L14" s="58" t="s">
        <v>41</v>
      </c>
      <c r="M14" s="18" t="str">
        <f>IF(Fuel_Veh[[#This Row],[Month]]&lt;&gt;"",VLOOKUP(Fuel_Veh[[#This Row],[Month]], dropdown!$S$4:$T$15, 2, FALSE),"")</f>
        <v>Q3</v>
      </c>
      <c r="N14" s="29">
        <v>5.64</v>
      </c>
      <c r="O14" s="17" t="str">
        <f>IF($K14="","",VLOOKUP($K14,dropdown!$P$14:$Q$18,2,FALSE))</f>
        <v>Liters</v>
      </c>
      <c r="P14" s="29">
        <v>16.899999999999999</v>
      </c>
      <c r="Q14" s="17" t="str">
        <f t="shared" si="0"/>
        <v>Kilometers</v>
      </c>
      <c r="R14" s="195" t="s">
        <v>1455</v>
      </c>
    </row>
    <row r="15" spans="2:18" x14ac:dyDescent="0.2">
      <c r="B15" s="268" t="s">
        <v>175</v>
      </c>
      <c r="I15" s="194">
        <f t="shared" si="1"/>
        <v>9</v>
      </c>
      <c r="J15" s="57" t="s">
        <v>343</v>
      </c>
      <c r="K15" s="57" t="s">
        <v>63</v>
      </c>
      <c r="L15" s="58" t="s">
        <v>397</v>
      </c>
      <c r="M15" s="18" t="str">
        <f>IF(Fuel_Veh[[#This Row],[Month]]&lt;&gt;"",VLOOKUP(Fuel_Veh[[#This Row],[Month]], dropdown!$S$4:$T$15, 2, FALSE),"")</f>
        <v>Q3</v>
      </c>
      <c r="N15" s="29">
        <v>28</v>
      </c>
      <c r="O15" s="17" t="str">
        <f>IF($K15="","",VLOOKUP($K15,dropdown!$P$14:$Q$18,2,FALSE))</f>
        <v>Liters</v>
      </c>
      <c r="P15" s="29">
        <v>84</v>
      </c>
      <c r="Q15" s="17" t="str">
        <f t="shared" si="0"/>
        <v>Kilometers</v>
      </c>
      <c r="R15" s="195" t="s">
        <v>1455</v>
      </c>
    </row>
    <row r="16" spans="2:18" x14ac:dyDescent="0.2">
      <c r="B16" s="266" t="s">
        <v>176</v>
      </c>
      <c r="I16" s="194">
        <f t="shared" si="1"/>
        <v>10</v>
      </c>
      <c r="J16" s="57" t="s">
        <v>343</v>
      </c>
      <c r="K16" s="57" t="s">
        <v>63</v>
      </c>
      <c r="L16" s="58" t="s">
        <v>400</v>
      </c>
      <c r="M16" s="18" t="str">
        <f>IF(Fuel_Veh[[#This Row],[Month]]&lt;&gt;"",VLOOKUP(Fuel_Veh[[#This Row],[Month]], dropdown!$S$4:$T$15, 2, FALSE),"")</f>
        <v>Q4</v>
      </c>
      <c r="N16" s="29">
        <v>16.37</v>
      </c>
      <c r="O16" s="17" t="str">
        <f>IF($K16="","",VLOOKUP($K16,dropdown!$P$14:$Q$18,2,FALSE))</f>
        <v>Liters</v>
      </c>
      <c r="P16" s="29">
        <v>49.1</v>
      </c>
      <c r="Q16" s="17" t="str">
        <f t="shared" si="0"/>
        <v>Kilometers</v>
      </c>
      <c r="R16" s="195" t="s">
        <v>1455</v>
      </c>
    </row>
    <row r="17" spans="2:18" x14ac:dyDescent="0.2">
      <c r="B17" s="17" t="s">
        <v>177</v>
      </c>
      <c r="I17" s="194">
        <f t="shared" si="1"/>
        <v>11</v>
      </c>
      <c r="J17" s="57" t="s">
        <v>343</v>
      </c>
      <c r="K17" s="57" t="s">
        <v>63</v>
      </c>
      <c r="L17" s="58" t="s">
        <v>404</v>
      </c>
      <c r="M17" s="18" t="str">
        <f>IF(Fuel_Veh[[#This Row],[Month]]&lt;&gt;"",VLOOKUP(Fuel_Veh[[#This Row],[Month]], dropdown!$S$4:$T$15, 2, FALSE),"")</f>
        <v>Q4</v>
      </c>
      <c r="N17" s="29">
        <v>35.9</v>
      </c>
      <c r="O17" s="17" t="str">
        <f>IF($K17="","",VLOOKUP($K17,dropdown!$P$14:$Q$18,2,FALSE))</f>
        <v>Liters</v>
      </c>
      <c r="P17" s="29">
        <v>107.7</v>
      </c>
      <c r="Q17" s="17" t="str">
        <f t="shared" si="0"/>
        <v>Kilometers</v>
      </c>
      <c r="R17" s="195" t="s">
        <v>1463</v>
      </c>
    </row>
    <row r="18" spans="2:18" x14ac:dyDescent="0.2">
      <c r="I18" s="194">
        <f t="shared" si="1"/>
        <v>12</v>
      </c>
      <c r="J18" s="57" t="s">
        <v>343</v>
      </c>
      <c r="K18" s="57" t="s">
        <v>63</v>
      </c>
      <c r="L18" s="58" t="s">
        <v>407</v>
      </c>
      <c r="M18" s="18" t="str">
        <f>IF(Fuel_Veh[[#This Row],[Month]]&lt;&gt;"",VLOOKUP(Fuel_Veh[[#This Row],[Month]], dropdown!$S$4:$T$15, 2, FALSE),"")</f>
        <v>Q4</v>
      </c>
      <c r="N18" s="29">
        <v>6.67</v>
      </c>
      <c r="O18" s="17" t="str">
        <f>IF($K18="","",VLOOKUP($K18,dropdown!$P$14:$Q$18,2,FALSE))</f>
        <v>Liters</v>
      </c>
      <c r="P18" s="29">
        <v>20</v>
      </c>
      <c r="Q18" s="17" t="str">
        <f t="shared" si="0"/>
        <v>Kilometers</v>
      </c>
      <c r="R18" s="195" t="s">
        <v>1489</v>
      </c>
    </row>
    <row r="19" spans="2:18" x14ac:dyDescent="0.2">
      <c r="I19" s="194">
        <f t="shared" si="1"/>
        <v>13</v>
      </c>
      <c r="J19" s="57" t="s">
        <v>381</v>
      </c>
      <c r="K19" s="57" t="s">
        <v>63</v>
      </c>
      <c r="L19" s="58" t="s">
        <v>338</v>
      </c>
      <c r="M19" s="18" t="str">
        <f>IF(Fuel_Veh[[#This Row],[Month]]&lt;&gt;"",VLOOKUP(Fuel_Veh[[#This Row],[Month]], dropdown!$S$4:$T$15, 2, FALSE),"")</f>
        <v>Q1</v>
      </c>
      <c r="N19" s="29">
        <v>61.71</v>
      </c>
      <c r="O19" s="17" t="str">
        <f>IF($K19="","",VLOOKUP($K19,dropdown!$P$14:$Q$18,2,FALSE))</f>
        <v>Liters</v>
      </c>
      <c r="P19" s="29">
        <v>441</v>
      </c>
      <c r="Q19" s="17" t="str">
        <f t="shared" si="0"/>
        <v>Kilometers</v>
      </c>
      <c r="R19" s="195" t="s">
        <v>1487</v>
      </c>
    </row>
    <row r="20" spans="2:18" x14ac:dyDescent="0.2">
      <c r="I20" s="194">
        <f t="shared" si="1"/>
        <v>14</v>
      </c>
      <c r="J20" s="57" t="s">
        <v>381</v>
      </c>
      <c r="K20" s="57" t="s">
        <v>63</v>
      </c>
      <c r="L20" s="58" t="s">
        <v>89</v>
      </c>
      <c r="M20" s="18" t="str">
        <f>IF(Fuel_Veh[[#This Row],[Month]]&lt;&gt;"",VLOOKUP(Fuel_Veh[[#This Row],[Month]], dropdown!$S$4:$T$15, 2, FALSE),"")</f>
        <v>Q1</v>
      </c>
      <c r="N20" s="29">
        <v>134.94999999999999</v>
      </c>
      <c r="O20" s="17" t="str">
        <f>IF($K20="","",VLOOKUP($K20,dropdown!$P$14:$Q$18,2,FALSE))</f>
        <v>Liters</v>
      </c>
      <c r="P20" s="29">
        <v>1473</v>
      </c>
      <c r="Q20" s="17" t="str">
        <f t="shared" si="0"/>
        <v>Kilometers</v>
      </c>
      <c r="R20" s="195" t="s">
        <v>1487</v>
      </c>
    </row>
    <row r="21" spans="2:18" x14ac:dyDescent="0.2">
      <c r="I21" s="194">
        <f t="shared" si="1"/>
        <v>15</v>
      </c>
      <c r="J21" s="57" t="s">
        <v>381</v>
      </c>
      <c r="K21" s="57" t="s">
        <v>63</v>
      </c>
      <c r="L21" s="58" t="s">
        <v>362</v>
      </c>
      <c r="M21" s="18" t="str">
        <f>IF(Fuel_Veh[[#This Row],[Month]]&lt;&gt;"",VLOOKUP(Fuel_Veh[[#This Row],[Month]], dropdown!$S$4:$T$15, 2, FALSE),"")</f>
        <v>Q1</v>
      </c>
      <c r="N21" s="29">
        <v>107.27</v>
      </c>
      <c r="O21" s="17" t="str">
        <f>IF($K21="","",VLOOKUP($K21,dropdown!$P$14:$Q$18,2,FALSE))</f>
        <v>Liters</v>
      </c>
      <c r="P21" s="29">
        <v>748</v>
      </c>
      <c r="Q21" s="17" t="str">
        <f t="shared" si="0"/>
        <v>Kilometers</v>
      </c>
      <c r="R21" s="195" t="s">
        <v>1487</v>
      </c>
    </row>
    <row r="22" spans="2:18" x14ac:dyDescent="0.2">
      <c r="I22" s="194">
        <f t="shared" si="1"/>
        <v>16</v>
      </c>
      <c r="J22" s="57" t="s">
        <v>381</v>
      </c>
      <c r="K22" s="57" t="s">
        <v>63</v>
      </c>
      <c r="L22" s="58" t="s">
        <v>371</v>
      </c>
      <c r="M22" s="18" t="str">
        <f>IF(Fuel_Veh[[#This Row],[Month]]&lt;&gt;"",VLOOKUP(Fuel_Veh[[#This Row],[Month]], dropdown!$S$4:$T$15, 2, FALSE),"")</f>
        <v>Q2</v>
      </c>
      <c r="N22" s="29">
        <v>173.2</v>
      </c>
      <c r="O22" s="17" t="str">
        <f>IF($K22="","",VLOOKUP($K22,dropdown!$P$14:$Q$18,2,FALSE))</f>
        <v>Liters</v>
      </c>
      <c r="P22" s="29">
        <v>1531</v>
      </c>
      <c r="Q22" s="17" t="str">
        <f t="shared" si="0"/>
        <v>Kilometers</v>
      </c>
      <c r="R22" s="195" t="s">
        <v>1487</v>
      </c>
    </row>
    <row r="23" spans="2:18" x14ac:dyDescent="0.2">
      <c r="I23" s="194">
        <f t="shared" si="1"/>
        <v>17</v>
      </c>
      <c r="J23" s="57" t="s">
        <v>381</v>
      </c>
      <c r="K23" s="57" t="s">
        <v>63</v>
      </c>
      <c r="L23" s="58" t="s">
        <v>379</v>
      </c>
      <c r="M23" s="18" t="str">
        <f>IF(Fuel_Veh[[#This Row],[Month]]&lt;&gt;"",VLOOKUP(Fuel_Veh[[#This Row],[Month]], dropdown!$S$4:$T$15, 2, FALSE),"")</f>
        <v>Q2</v>
      </c>
      <c r="N23" s="29">
        <v>279.35000000000002</v>
      </c>
      <c r="O23" s="17" t="str">
        <f>IF($K23="","",VLOOKUP($K23,dropdown!$P$14:$Q$18,2,FALSE))</f>
        <v>Liters</v>
      </c>
      <c r="P23" s="29">
        <v>2444</v>
      </c>
      <c r="Q23" s="17" t="str">
        <f t="shared" si="0"/>
        <v>Kilometers</v>
      </c>
      <c r="R23" s="195" t="s">
        <v>1487</v>
      </c>
    </row>
    <row r="24" spans="2:18" x14ac:dyDescent="0.2">
      <c r="I24" s="194">
        <f t="shared" si="1"/>
        <v>18</v>
      </c>
      <c r="J24" s="57" t="s">
        <v>381</v>
      </c>
      <c r="K24" s="57" t="s">
        <v>63</v>
      </c>
      <c r="L24" s="58" t="s">
        <v>386</v>
      </c>
      <c r="M24" s="18" t="str">
        <f>IF(Fuel_Veh[[#This Row],[Month]]&lt;&gt;"",VLOOKUP(Fuel_Veh[[#This Row],[Month]], dropdown!$S$4:$T$15, 2, FALSE),"")</f>
        <v>Q2</v>
      </c>
      <c r="N24" s="29">
        <v>216.91</v>
      </c>
      <c r="O24" s="17" t="str">
        <f>IF($K24="","",VLOOKUP($K24,dropdown!$P$14:$Q$18,2,FALSE))</f>
        <v>Liters</v>
      </c>
      <c r="P24" s="29">
        <v>1674</v>
      </c>
      <c r="Q24" s="17" t="str">
        <f t="shared" si="0"/>
        <v>Kilometers</v>
      </c>
      <c r="R24" s="195" t="s">
        <v>1487</v>
      </c>
    </row>
    <row r="25" spans="2:18" x14ac:dyDescent="0.2">
      <c r="I25" s="194">
        <f t="shared" si="1"/>
        <v>19</v>
      </c>
      <c r="J25" s="57" t="s">
        <v>381</v>
      </c>
      <c r="K25" s="57" t="s">
        <v>63</v>
      </c>
      <c r="L25" s="58" t="s">
        <v>390</v>
      </c>
      <c r="M25" s="18" t="str">
        <f>IF(Fuel_Veh[[#This Row],[Month]]&lt;&gt;"",VLOOKUP(Fuel_Veh[[#This Row],[Month]], dropdown!$S$4:$T$15, 2, FALSE),"")</f>
        <v>Q3</v>
      </c>
      <c r="N25" s="29">
        <v>189.28</v>
      </c>
      <c r="O25" s="17" t="str">
        <f>IF($K25="","",VLOOKUP($K25,dropdown!$P$14:$Q$18,2,FALSE))</f>
        <v>Liters</v>
      </c>
      <c r="P25" s="29">
        <v>1637</v>
      </c>
      <c r="Q25" s="17" t="str">
        <f t="shared" si="0"/>
        <v>Kilometers</v>
      </c>
      <c r="R25" s="195" t="s">
        <v>1487</v>
      </c>
    </row>
    <row r="26" spans="2:18" x14ac:dyDescent="0.2">
      <c r="I26" s="194">
        <f t="shared" si="1"/>
        <v>20</v>
      </c>
      <c r="J26" s="57" t="s">
        <v>381</v>
      </c>
      <c r="K26" s="57" t="s">
        <v>63</v>
      </c>
      <c r="L26" s="58" t="s">
        <v>41</v>
      </c>
      <c r="M26" s="18" t="str">
        <f>IF(Fuel_Veh[[#This Row],[Month]]&lt;&gt;"",VLOOKUP(Fuel_Veh[[#This Row],[Month]], dropdown!$S$4:$T$15, 2, FALSE),"")</f>
        <v>Q3</v>
      </c>
      <c r="N26" s="197">
        <v>104.92</v>
      </c>
      <c r="O26" s="198" t="str">
        <f>IF($K26="","",VLOOKUP($K26,dropdown!$P$14:$Q$18,2,FALSE))</f>
        <v>Liters</v>
      </c>
      <c r="P26" s="197">
        <v>994</v>
      </c>
      <c r="Q26" s="17" t="str">
        <f t="shared" si="0"/>
        <v>Kilometers</v>
      </c>
      <c r="R26" s="195" t="s">
        <v>1487</v>
      </c>
    </row>
    <row r="27" spans="2:18" x14ac:dyDescent="0.2">
      <c r="I27" s="194">
        <f t="shared" si="1"/>
        <v>21</v>
      </c>
      <c r="J27" s="57" t="s">
        <v>381</v>
      </c>
      <c r="K27" s="57" t="s">
        <v>63</v>
      </c>
      <c r="L27" s="58" t="s">
        <v>397</v>
      </c>
      <c r="M27" s="18" t="str">
        <f>IF(Fuel_Veh[[#This Row],[Month]]&lt;&gt;"",VLOOKUP(Fuel_Veh[[#This Row],[Month]], dropdown!$S$4:$T$15, 2, FALSE),"")</f>
        <v>Q3</v>
      </c>
      <c r="N27" s="29">
        <v>247.86</v>
      </c>
      <c r="O27" s="17" t="str">
        <f>IF($K27="","",VLOOKUP($K27,dropdown!$P$14:$Q$18,2,FALSE))</f>
        <v>Liters</v>
      </c>
      <c r="P27" s="29">
        <v>1735</v>
      </c>
      <c r="Q27" s="17" t="str">
        <f t="shared" si="0"/>
        <v>Kilometers</v>
      </c>
      <c r="R27" s="195" t="s">
        <v>1487</v>
      </c>
    </row>
    <row r="28" spans="2:18" x14ac:dyDescent="0.2">
      <c r="I28" s="194">
        <f t="shared" si="1"/>
        <v>22</v>
      </c>
      <c r="J28" s="57" t="s">
        <v>381</v>
      </c>
      <c r="K28" s="57" t="s">
        <v>63</v>
      </c>
      <c r="L28" s="58" t="s">
        <v>400</v>
      </c>
      <c r="M28" s="18" t="str">
        <f>IF(Fuel_Veh[[#This Row],[Month]]&lt;&gt;"",VLOOKUP(Fuel_Veh[[#This Row],[Month]], dropdown!$S$4:$T$15, 2, FALSE),"")</f>
        <v>Q4</v>
      </c>
      <c r="N28" s="29">
        <v>106.94</v>
      </c>
      <c r="O28" s="17" t="str">
        <f>IF($K28="","",VLOOKUP($K28,dropdown!$P$14:$Q$18,2,FALSE))</f>
        <v>Liters</v>
      </c>
      <c r="P28" s="29">
        <v>973</v>
      </c>
      <c r="Q28" s="17" t="str">
        <f t="shared" si="0"/>
        <v>Kilometers</v>
      </c>
      <c r="R28" s="195" t="s">
        <v>1487</v>
      </c>
    </row>
    <row r="29" spans="2:18" x14ac:dyDescent="0.2">
      <c r="I29" s="194">
        <f t="shared" si="1"/>
        <v>23</v>
      </c>
      <c r="J29" s="57" t="s">
        <v>381</v>
      </c>
      <c r="K29" s="57" t="s">
        <v>63</v>
      </c>
      <c r="L29" s="58" t="s">
        <v>404</v>
      </c>
      <c r="M29" s="18" t="str">
        <f>IF(Fuel_Veh[[#This Row],[Month]]&lt;&gt;"",VLOOKUP(Fuel_Veh[[#This Row],[Month]], dropdown!$S$4:$T$15, 2, FALSE),"")</f>
        <v>Q4</v>
      </c>
      <c r="N29" s="29">
        <v>211.81</v>
      </c>
      <c r="O29" s="17" t="str">
        <f>IF($K29="","",VLOOKUP($K29,dropdown!$P$14:$Q$18,2,FALSE))</f>
        <v>Liters</v>
      </c>
      <c r="P29" s="29">
        <v>1999</v>
      </c>
      <c r="Q29" s="17" t="str">
        <f t="shared" si="0"/>
        <v>Kilometers</v>
      </c>
      <c r="R29" s="195" t="s">
        <v>1487</v>
      </c>
    </row>
    <row r="30" spans="2:18" x14ac:dyDescent="0.2">
      <c r="I30" s="194">
        <f t="shared" si="1"/>
        <v>24</v>
      </c>
      <c r="J30" s="57" t="s">
        <v>381</v>
      </c>
      <c r="K30" s="57" t="s">
        <v>63</v>
      </c>
      <c r="L30" s="58" t="s">
        <v>407</v>
      </c>
      <c r="M30" s="18" t="str">
        <f>IF(Fuel_Veh[[#This Row],[Month]]&lt;&gt;"",VLOOKUP(Fuel_Veh[[#This Row],[Month]], dropdown!$S$4:$T$15, 2, FALSE),"")</f>
        <v>Q4</v>
      </c>
      <c r="N30" s="197">
        <v>16.149999999999999</v>
      </c>
      <c r="O30" s="198" t="str">
        <f>IF($K30="","",VLOOKUP($K30,dropdown!$P$14:$Q$18,2,FALSE))</f>
        <v>Liters</v>
      </c>
      <c r="P30" s="197">
        <v>113</v>
      </c>
      <c r="Q30" s="17" t="str">
        <f t="shared" si="0"/>
        <v>Kilometers</v>
      </c>
      <c r="R30" s="195" t="s">
        <v>1487</v>
      </c>
    </row>
    <row r="31" spans="2:18" x14ac:dyDescent="0.2">
      <c r="I31" s="194">
        <f t="shared" si="1"/>
        <v>25</v>
      </c>
      <c r="J31" s="57" t="s">
        <v>374</v>
      </c>
      <c r="K31" s="57" t="s">
        <v>63</v>
      </c>
      <c r="L31" s="58" t="s">
        <v>338</v>
      </c>
      <c r="M31" s="18" t="str">
        <f>IF(Fuel_Veh[[#This Row],[Month]]&lt;&gt;"",VLOOKUP(Fuel_Veh[[#This Row],[Month]], dropdown!$S$4:$T$15, 2, FALSE),"")</f>
        <v>Q1</v>
      </c>
      <c r="N31" s="29">
        <v>140.91</v>
      </c>
      <c r="O31" s="17" t="str">
        <f>IF($K31="","",VLOOKUP($K31,dropdown!$P$14:$Q$18,2,FALSE))</f>
        <v>Liters</v>
      </c>
      <c r="P31" s="29">
        <v>1127</v>
      </c>
      <c r="Q31" s="17" t="str">
        <f t="shared" si="0"/>
        <v>Kilometers</v>
      </c>
      <c r="R31" s="199" t="s">
        <v>1525</v>
      </c>
    </row>
    <row r="32" spans="2:18" x14ac:dyDescent="0.2">
      <c r="I32" s="194">
        <f t="shared" si="1"/>
        <v>26</v>
      </c>
      <c r="J32" s="57" t="s">
        <v>374</v>
      </c>
      <c r="K32" s="57" t="s">
        <v>63</v>
      </c>
      <c r="L32" s="58" t="s">
        <v>89</v>
      </c>
      <c r="M32" s="18" t="str">
        <f>IF(Fuel_Veh[[#This Row],[Month]]&lt;&gt;"",VLOOKUP(Fuel_Veh[[#This Row],[Month]], dropdown!$S$4:$T$15, 2, FALSE),"")</f>
        <v>Q1</v>
      </c>
      <c r="N32" s="29">
        <v>79.37</v>
      </c>
      <c r="O32" s="17" t="str">
        <f>IF($K32="","",VLOOKUP($K32,dropdown!$P$14:$Q$18,2,FALSE))</f>
        <v>Liters</v>
      </c>
      <c r="P32" s="29">
        <v>676</v>
      </c>
      <c r="Q32" s="17" t="str">
        <f t="shared" si="0"/>
        <v>Kilometers</v>
      </c>
      <c r="R32" s="199" t="s">
        <v>1525</v>
      </c>
    </row>
    <row r="33" spans="9:18" x14ac:dyDescent="0.2">
      <c r="I33" s="194">
        <f t="shared" si="1"/>
        <v>27</v>
      </c>
      <c r="J33" s="57" t="s">
        <v>374</v>
      </c>
      <c r="K33" s="57" t="s">
        <v>63</v>
      </c>
      <c r="L33" s="58" t="s">
        <v>362</v>
      </c>
      <c r="M33" s="18" t="str">
        <f>IF(Fuel_Veh[[#This Row],[Month]]&lt;&gt;"",VLOOKUP(Fuel_Veh[[#This Row],[Month]], dropdown!$S$4:$T$15, 2, FALSE),"")</f>
        <v>Q1</v>
      </c>
      <c r="N33" s="29">
        <v>112.76</v>
      </c>
      <c r="O33" s="17" t="str">
        <f>IF($K33="","",VLOOKUP($K33,dropdown!$P$14:$Q$18,2,FALSE))</f>
        <v>Liters</v>
      </c>
      <c r="P33" s="29">
        <v>1019</v>
      </c>
      <c r="Q33" s="17" t="str">
        <f t="shared" si="0"/>
        <v>Kilometers</v>
      </c>
      <c r="R33" s="199" t="s">
        <v>1525</v>
      </c>
    </row>
    <row r="34" spans="9:18" x14ac:dyDescent="0.2">
      <c r="I34" s="194">
        <f t="shared" si="1"/>
        <v>28</v>
      </c>
      <c r="J34" s="57" t="s">
        <v>374</v>
      </c>
      <c r="K34" s="57" t="s">
        <v>63</v>
      </c>
      <c r="L34" s="58" t="s">
        <v>371</v>
      </c>
      <c r="M34" s="18" t="str">
        <f>IF(Fuel_Veh[[#This Row],[Month]]&lt;&gt;"",VLOOKUP(Fuel_Veh[[#This Row],[Month]], dropdown!$S$4:$T$15, 2, FALSE),"")</f>
        <v>Q2</v>
      </c>
      <c r="N34" s="29">
        <v>58.78</v>
      </c>
      <c r="O34" s="17" t="str">
        <f>IF($K34="","",VLOOKUP($K34,dropdown!$P$14:$Q$18,2,FALSE))</f>
        <v>Liters</v>
      </c>
      <c r="P34" s="29">
        <v>470</v>
      </c>
      <c r="Q34" s="17" t="str">
        <f t="shared" si="0"/>
        <v>Kilometers</v>
      </c>
      <c r="R34" s="199" t="s">
        <v>1525</v>
      </c>
    </row>
    <row r="35" spans="9:18" x14ac:dyDescent="0.2">
      <c r="I35" s="194">
        <f t="shared" si="1"/>
        <v>29</v>
      </c>
      <c r="J35" s="57" t="s">
        <v>374</v>
      </c>
      <c r="K35" s="57" t="s">
        <v>63</v>
      </c>
      <c r="L35" s="58" t="s">
        <v>379</v>
      </c>
      <c r="M35" s="18" t="str">
        <f>IF(Fuel_Veh[[#This Row],[Month]]&lt;&gt;"",VLOOKUP(Fuel_Veh[[#This Row],[Month]], dropdown!$S$4:$T$15, 2, FALSE),"")</f>
        <v>Q2</v>
      </c>
      <c r="N35" s="29">
        <v>105.66</v>
      </c>
      <c r="O35" s="17" t="str">
        <f>IF($K35="","",VLOOKUP($K35,dropdown!$P$14:$Q$18,2,FALSE))</f>
        <v>Liters</v>
      </c>
      <c r="P35" s="29">
        <v>846</v>
      </c>
      <c r="Q35" s="17" t="str">
        <f t="shared" si="0"/>
        <v>Kilometers</v>
      </c>
      <c r="R35" s="199" t="s">
        <v>1525</v>
      </c>
    </row>
    <row r="36" spans="9:18" x14ac:dyDescent="0.2">
      <c r="I36" s="194">
        <f t="shared" si="1"/>
        <v>30</v>
      </c>
      <c r="J36" s="57" t="s">
        <v>374</v>
      </c>
      <c r="K36" s="57" t="s">
        <v>63</v>
      </c>
      <c r="L36" s="58" t="s">
        <v>386</v>
      </c>
      <c r="M36" s="18" t="str">
        <f>IF(Fuel_Veh[[#This Row],[Month]]&lt;&gt;"",VLOOKUP(Fuel_Veh[[#This Row],[Month]], dropdown!$S$4:$T$15, 2, FALSE),"")</f>
        <v>Q2</v>
      </c>
      <c r="N36" s="29">
        <v>42.28</v>
      </c>
      <c r="O36" s="17" t="str">
        <f>IF($K36="","",VLOOKUP($K36,dropdown!$P$14:$Q$18,2,FALSE))</f>
        <v>Liters</v>
      </c>
      <c r="P36" s="29">
        <v>386</v>
      </c>
      <c r="Q36" s="17" t="str">
        <f t="shared" si="0"/>
        <v>Kilometers</v>
      </c>
      <c r="R36" s="199" t="s">
        <v>1525</v>
      </c>
    </row>
    <row r="37" spans="9:18" x14ac:dyDescent="0.2">
      <c r="I37" s="194">
        <f t="shared" si="1"/>
        <v>31</v>
      </c>
      <c r="J37" s="57" t="s">
        <v>374</v>
      </c>
      <c r="K37" s="57" t="s">
        <v>63</v>
      </c>
      <c r="L37" s="58" t="s">
        <v>390</v>
      </c>
      <c r="M37" s="18" t="str">
        <f>IF(Fuel_Veh[[#This Row],[Month]]&lt;&gt;"",VLOOKUP(Fuel_Veh[[#This Row],[Month]], dropdown!$S$4:$T$15, 2, FALSE),"")</f>
        <v>Q3</v>
      </c>
      <c r="N37" s="29">
        <v>139.62</v>
      </c>
      <c r="O37" s="17" t="str">
        <f>IF($K37="","",VLOOKUP($K37,dropdown!$P$14:$Q$18,2,FALSE))</f>
        <v>Liters</v>
      </c>
      <c r="P37" s="29">
        <v>1166</v>
      </c>
      <c r="Q37" s="17" t="str">
        <f t="shared" si="0"/>
        <v>Kilometers</v>
      </c>
      <c r="R37" s="199" t="s">
        <v>1525</v>
      </c>
    </row>
    <row r="38" spans="9:18" x14ac:dyDescent="0.2">
      <c r="I38" s="194">
        <f t="shared" si="1"/>
        <v>32</v>
      </c>
      <c r="J38" s="57" t="s">
        <v>374</v>
      </c>
      <c r="K38" s="57" t="s">
        <v>63</v>
      </c>
      <c r="L38" s="58" t="s">
        <v>41</v>
      </c>
      <c r="M38" s="18" t="str">
        <f>IF(Fuel_Veh[[#This Row],[Month]]&lt;&gt;"",VLOOKUP(Fuel_Veh[[#This Row],[Month]], dropdown!$S$4:$T$15, 2, FALSE),"")</f>
        <v>Q3</v>
      </c>
      <c r="N38" s="29">
        <v>181.43</v>
      </c>
      <c r="O38" s="17" t="str">
        <f>IF($K38="","",VLOOKUP($K38,dropdown!$P$14:$Q$18,2,FALSE))</f>
        <v>Liters</v>
      </c>
      <c r="P38" s="29">
        <v>1803</v>
      </c>
      <c r="Q38" s="17" t="str">
        <f t="shared" si="0"/>
        <v>Kilometers</v>
      </c>
      <c r="R38" s="199" t="s">
        <v>1525</v>
      </c>
    </row>
    <row r="39" spans="9:18" x14ac:dyDescent="0.2">
      <c r="I39" s="194">
        <f t="shared" si="1"/>
        <v>33</v>
      </c>
      <c r="J39" s="57" t="s">
        <v>374</v>
      </c>
      <c r="K39" s="57" t="s">
        <v>63</v>
      </c>
      <c r="L39" s="58" t="s">
        <v>397</v>
      </c>
      <c r="M39" s="18" t="str">
        <f>IF(Fuel_Veh[[#This Row],[Month]]&lt;&gt;"",VLOOKUP(Fuel_Veh[[#This Row],[Month]], dropdown!$S$4:$T$15, 2, FALSE),"")</f>
        <v>Q3</v>
      </c>
      <c r="N39" s="29">
        <v>199.96</v>
      </c>
      <c r="O39" s="17" t="str">
        <f>IF($K39="","",VLOOKUP($K39,dropdown!$P$14:$Q$18,2,FALSE))</f>
        <v>Liters</v>
      </c>
      <c r="P39" s="29">
        <v>1890</v>
      </c>
      <c r="Q39" s="17" t="str">
        <f t="shared" si="0"/>
        <v>Kilometers</v>
      </c>
      <c r="R39" s="199" t="s">
        <v>1525</v>
      </c>
    </row>
    <row r="40" spans="9:18" x14ac:dyDescent="0.2">
      <c r="I40" s="194">
        <f t="shared" si="1"/>
        <v>34</v>
      </c>
      <c r="J40" s="57" t="s">
        <v>374</v>
      </c>
      <c r="K40" s="57" t="s">
        <v>63</v>
      </c>
      <c r="L40" s="58" t="s">
        <v>400</v>
      </c>
      <c r="M40" s="18" t="str">
        <f>IF(Fuel_Veh[[#This Row],[Month]]&lt;&gt;"",VLOOKUP(Fuel_Veh[[#This Row],[Month]], dropdown!$S$4:$T$15, 2, FALSE),"")</f>
        <v>Q4</v>
      </c>
      <c r="N40" s="29">
        <v>86.1</v>
      </c>
      <c r="O40" s="17" t="str">
        <f>IF($K40="","",VLOOKUP($K40,dropdown!$P$14:$Q$18,2,FALSE))</f>
        <v>Liters</v>
      </c>
      <c r="P40" s="29">
        <v>749</v>
      </c>
      <c r="Q40" s="17" t="str">
        <f t="shared" si="0"/>
        <v>Kilometers</v>
      </c>
      <c r="R40" s="199" t="s">
        <v>1525</v>
      </c>
    </row>
    <row r="41" spans="9:18" x14ac:dyDescent="0.2">
      <c r="I41" s="194">
        <f t="shared" si="1"/>
        <v>35</v>
      </c>
      <c r="J41" s="57" t="s">
        <v>374</v>
      </c>
      <c r="K41" s="57" t="s">
        <v>63</v>
      </c>
      <c r="L41" s="58" t="s">
        <v>404</v>
      </c>
      <c r="M41" s="18" t="str">
        <f>IF(Fuel_Veh[[#This Row],[Month]]&lt;&gt;"",VLOOKUP(Fuel_Veh[[#This Row],[Month]], dropdown!$S$4:$T$15, 2, FALSE),"")</f>
        <v>Q4</v>
      </c>
      <c r="N41" s="29">
        <v>139.35</v>
      </c>
      <c r="O41" s="17" t="str">
        <f>IF($K41="","",VLOOKUP($K41,dropdown!$P$14:$Q$18,2,FALSE))</f>
        <v>Liters</v>
      </c>
      <c r="P41" s="29">
        <v>1329</v>
      </c>
      <c r="Q41" s="17" t="str">
        <f t="shared" si="0"/>
        <v>Kilometers</v>
      </c>
      <c r="R41" s="199" t="s">
        <v>1525</v>
      </c>
    </row>
    <row r="42" spans="9:18" x14ac:dyDescent="0.2">
      <c r="I42" s="194">
        <f t="shared" si="1"/>
        <v>36</v>
      </c>
      <c r="J42" s="57" t="s">
        <v>374</v>
      </c>
      <c r="K42" s="57" t="s">
        <v>63</v>
      </c>
      <c r="L42" s="58" t="s">
        <v>407</v>
      </c>
      <c r="M42" s="18" t="str">
        <f>IF(Fuel_Veh[[#This Row],[Month]]&lt;&gt;"",VLOOKUP(Fuel_Veh[[#This Row],[Month]], dropdown!$S$4:$T$15, 2, FALSE),"")</f>
        <v>Q4</v>
      </c>
      <c r="N42" s="29">
        <v>82.22</v>
      </c>
      <c r="O42" s="17" t="str">
        <f>IF($K42="","",VLOOKUP($K42,dropdown!$P$14:$Q$18,2,FALSE))</f>
        <v>Liters</v>
      </c>
      <c r="P42" s="29">
        <v>699</v>
      </c>
      <c r="Q42" s="17" t="str">
        <f t="shared" si="0"/>
        <v>Kilometers</v>
      </c>
      <c r="R42" s="199" t="s">
        <v>1525</v>
      </c>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phoneticPr fontId="40" type="noConversion"/>
  <conditionalFormatting sqref="K7:Q106">
    <cfRule type="expression" dxfId="14"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L1" zoomScale="94" zoomScaleNormal="120" workbookViewId="0">
      <selection activeCell="R17" sqref="R1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Butuan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47"/>
      <c r="D7" s="448"/>
      <c r="E7" s="448"/>
      <c r="F7" s="448"/>
      <c r="G7" s="449"/>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1610</v>
      </c>
      <c r="K9" s="391" t="s">
        <v>200</v>
      </c>
      <c r="L9" s="392">
        <v>3</v>
      </c>
      <c r="M9" s="393" t="s">
        <v>380</v>
      </c>
      <c r="N9" s="419" t="s">
        <v>352</v>
      </c>
      <c r="O9" s="397"/>
      <c r="P9" s="398"/>
      <c r="Q9" s="397" t="s">
        <v>379</v>
      </c>
      <c r="R9" s="399">
        <v>33.9</v>
      </c>
      <c r="S9" s="397"/>
      <c r="T9" s="399"/>
      <c r="U9" s="399"/>
      <c r="V9" s="430" t="str">
        <f>IFERROR(VLOOKUP($O9, dropdown!$S$4:$T$15, 2, FALSE),
 IFERROR(VLOOKUP($Q9, dropdown!$S$4:$T$15, 2, FALSE),
 IFERROR(VLOOKUP($S9, dropdown!$S$4:$T$15, 2, FALSE),
 "")))</f>
        <v>Q2</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3</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x</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7" t="s">
        <v>192</v>
      </c>
      <c r="C22" s="459" t="s">
        <v>5</v>
      </c>
      <c r="D22" s="460"/>
      <c r="E22" s="459" t="s">
        <v>193</v>
      </c>
      <c r="F22" s="461"/>
      <c r="G22" s="46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59"/>
      <c r="D23" s="460"/>
      <c r="E23" s="459"/>
      <c r="F23" s="461"/>
      <c r="G23" s="46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6" t="s">
        <v>194</v>
      </c>
      <c r="C24" s="456" t="s">
        <v>195</v>
      </c>
      <c r="D24" s="456"/>
      <c r="E24" s="456" t="s">
        <v>196</v>
      </c>
      <c r="F24" s="456"/>
      <c r="G24" s="456"/>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197</v>
      </c>
      <c r="C26" s="456" t="s">
        <v>198</v>
      </c>
      <c r="D26" s="456"/>
      <c r="E26" s="456" t="s">
        <v>199</v>
      </c>
      <c r="F26" s="456"/>
      <c r="G26" s="456"/>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6" t="s">
        <v>200</v>
      </c>
      <c r="C28" s="456" t="s">
        <v>201</v>
      </c>
      <c r="D28" s="456"/>
      <c r="E28" s="456" t="s">
        <v>202</v>
      </c>
      <c r="F28" s="456"/>
      <c r="G28" s="456"/>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203</v>
      </c>
      <c r="C30" s="456" t="s">
        <v>204</v>
      </c>
      <c r="D30" s="456"/>
      <c r="E30" s="456" t="s">
        <v>205</v>
      </c>
      <c r="F30" s="456"/>
      <c r="G30" s="456"/>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6"/>
      <c r="C31" s="456"/>
      <c r="D31" s="456"/>
      <c r="E31" s="456"/>
      <c r="F31" s="456"/>
      <c r="G31" s="456"/>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13" priority="6">
      <formula>$N9="New installation"</formula>
    </cfRule>
  </conditionalFormatting>
  <conditionalFormatting sqref="P9:P107">
    <cfRule type="expression" dxfId="12" priority="5">
      <formula>$N9="New installation"</formula>
    </cfRule>
  </conditionalFormatting>
  <conditionalFormatting sqref="Q9:Q107">
    <cfRule type="expression" dxfId="11" priority="4">
      <formula>$N9="In operation"</formula>
    </cfRule>
  </conditionalFormatting>
  <conditionalFormatting sqref="R9:R107">
    <cfRule type="expression" dxfId="10" priority="3">
      <formula>$N9="In operation"</formula>
    </cfRule>
  </conditionalFormatting>
  <conditionalFormatting sqref="S9:S107">
    <cfRule type="expression" dxfId="9" priority="2">
      <formula>$N9="Disposed"</formula>
    </cfRule>
  </conditionalFormatting>
  <conditionalFormatting sqref="T9:U107">
    <cfRule type="expression" dxfId="8"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J8" sqref="J8:J19"/>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Butuan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1449</v>
      </c>
      <c r="D6" s="448"/>
      <c r="E6" s="448"/>
      <c r="F6" s="448"/>
      <c r="G6" s="449"/>
    </row>
    <row r="7" spans="2:17" ht="12.75" customHeight="1" x14ac:dyDescent="0.2">
      <c r="B7" s="278" t="s">
        <v>174</v>
      </c>
      <c r="C7" s="450">
        <v>45912</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28140</v>
      </c>
      <c r="M8" s="47">
        <v>293174.64</v>
      </c>
      <c r="N8" s="165" t="s">
        <v>382</v>
      </c>
      <c r="O8" s="195"/>
      <c r="P8" s="48"/>
      <c r="Q8" s="20"/>
    </row>
    <row r="9" spans="2:17" x14ac:dyDescent="0.2">
      <c r="I9" s="194"/>
      <c r="J9" s="58" t="s">
        <v>89</v>
      </c>
      <c r="K9" s="426" t="str">
        <f>IF(Electricity[[#This Row],[Month]]&lt;&gt;"",VLOOKUP(Electricity[[#This Row],[Month]], dropdown!$S$4:$T$15, 2, FALSE),"")</f>
        <v>Q1</v>
      </c>
      <c r="L9" s="29">
        <v>28980</v>
      </c>
      <c r="M9" s="47">
        <v>306863.92</v>
      </c>
      <c r="N9" s="165" t="s">
        <v>382</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29820</v>
      </c>
      <c r="M10" s="47">
        <v>331379.73</v>
      </c>
      <c r="N10" s="165" t="s">
        <v>382</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31500</v>
      </c>
      <c r="M11" s="47">
        <v>329404.84000000003</v>
      </c>
      <c r="N11" s="165" t="s">
        <v>382</v>
      </c>
      <c r="O11" s="195"/>
      <c r="P11" s="48"/>
      <c r="Q11" s="20"/>
    </row>
    <row r="12" spans="2:17" x14ac:dyDescent="0.2">
      <c r="B12" s="17" t="s">
        <v>207</v>
      </c>
      <c r="C12" s="17" t="s">
        <v>208</v>
      </c>
      <c r="D12" s="41">
        <f>SUMIFS(Electricity[Consumption (kWh)],Electricity[Quarter],D$11)</f>
        <v>86940</v>
      </c>
      <c r="E12" s="41">
        <f>SUMIFS(Electricity[Consumption (kWh)],Electricity[Quarter],E$11)</f>
        <v>98910</v>
      </c>
      <c r="F12" s="41">
        <f>SUMIFS(Electricity[Consumption (kWh)],Electricity[Quarter],F$11)</f>
        <v>96670</v>
      </c>
      <c r="G12" s="41">
        <f>SUMIFS(Electricity[Consumption (kWh)],Electricity[Quarter],G$11)</f>
        <v>104510</v>
      </c>
      <c r="I12" s="194"/>
      <c r="J12" s="58" t="s">
        <v>379</v>
      </c>
      <c r="K12" s="426" t="str">
        <f>IF(Electricity[[#This Row],[Month]]&lt;&gt;"",VLOOKUP(Electricity[[#This Row],[Month]], dropdown!$S$4:$T$15, 2, FALSE),"")</f>
        <v>Q2</v>
      </c>
      <c r="L12" s="29">
        <v>42210</v>
      </c>
      <c r="M12" s="47">
        <v>404732.67</v>
      </c>
      <c r="N12" s="165" t="s">
        <v>382</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25200</v>
      </c>
      <c r="M13" s="47">
        <v>237998.86</v>
      </c>
      <c r="N13" s="165" t="s">
        <v>382</v>
      </c>
      <c r="O13" s="195"/>
      <c r="P13" s="48"/>
      <c r="Q13" s="20"/>
    </row>
    <row r="14" spans="2:17" x14ac:dyDescent="0.2">
      <c r="B14" s="119" t="s">
        <v>38</v>
      </c>
      <c r="D14" s="168"/>
      <c r="I14" s="194"/>
      <c r="J14" s="58" t="s">
        <v>390</v>
      </c>
      <c r="K14" s="426" t="str">
        <f>IF(Electricity[[#This Row],[Month]]&lt;&gt;"",VLOOKUP(Electricity[[#This Row],[Month]], dropdown!$S$4:$T$15, 2, FALSE),"")</f>
        <v>Q3</v>
      </c>
      <c r="L14" s="29">
        <v>30590</v>
      </c>
      <c r="M14" s="47">
        <v>208581.14</v>
      </c>
      <c r="N14" s="165" t="s">
        <v>382</v>
      </c>
      <c r="O14" s="195"/>
      <c r="P14" s="48"/>
      <c r="Q14" s="20"/>
    </row>
    <row r="15" spans="2:17" x14ac:dyDescent="0.2">
      <c r="B15" s="120" t="s">
        <v>175</v>
      </c>
      <c r="D15" s="168"/>
      <c r="I15" s="194"/>
      <c r="J15" s="58" t="s">
        <v>41</v>
      </c>
      <c r="K15" s="426" t="str">
        <f>IF(Electricity[[#This Row],[Month]]&lt;&gt;"",VLOOKUP(Electricity[[#This Row],[Month]], dropdown!$S$4:$T$15, 2, FALSE),"")</f>
        <v>Q3</v>
      </c>
      <c r="L15" s="29">
        <v>33320</v>
      </c>
      <c r="M15" s="47">
        <v>297531.5</v>
      </c>
      <c r="N15" s="165" t="s">
        <v>382</v>
      </c>
      <c r="O15" s="195"/>
      <c r="P15" s="48"/>
      <c r="Q15" s="20"/>
    </row>
    <row r="16" spans="2:17" x14ac:dyDescent="0.2">
      <c r="B16" s="121" t="s">
        <v>176</v>
      </c>
      <c r="I16" s="194"/>
      <c r="J16" s="58" t="s">
        <v>397</v>
      </c>
      <c r="K16" s="426" t="str">
        <f>IF(Electricity[[#This Row],[Month]]&lt;&gt;"",VLOOKUP(Electricity[[#This Row],[Month]], dropdown!$S$4:$T$15, 2, FALSE),"")</f>
        <v>Q3</v>
      </c>
      <c r="L16" s="29">
        <v>32760</v>
      </c>
      <c r="M16" s="47">
        <v>282423.8</v>
      </c>
      <c r="N16" s="165" t="s">
        <v>382</v>
      </c>
      <c r="O16" s="195"/>
      <c r="P16" s="48"/>
      <c r="Q16" s="20"/>
    </row>
    <row r="17" spans="2:17" x14ac:dyDescent="0.2">
      <c r="B17" s="122" t="s">
        <v>177</v>
      </c>
      <c r="I17" s="194"/>
      <c r="J17" s="58" t="s">
        <v>400</v>
      </c>
      <c r="K17" s="426" t="str">
        <f>IF(Electricity[[#This Row],[Month]]&lt;&gt;"",VLOOKUP(Electricity[[#This Row],[Month]], dropdown!$S$4:$T$15, 2, FALSE),"")</f>
        <v>Q4</v>
      </c>
      <c r="L17" s="29">
        <v>35070</v>
      </c>
      <c r="M17" s="47">
        <v>297756.83</v>
      </c>
      <c r="N17" s="165" t="s">
        <v>382</v>
      </c>
      <c r="O17" s="195"/>
      <c r="P17" s="48"/>
      <c r="Q17" s="20"/>
    </row>
    <row r="18" spans="2:17" x14ac:dyDescent="0.2">
      <c r="I18" s="194">
        <f t="shared" ref="I18:I49" si="0">IF($L18="","",$I17+1)</f>
        <v>1</v>
      </c>
      <c r="J18" s="58" t="s">
        <v>404</v>
      </c>
      <c r="K18" s="426" t="str">
        <f>IF(Electricity[[#This Row],[Month]]&lt;&gt;"",VLOOKUP(Electricity[[#This Row],[Month]], dropdown!$S$4:$T$15, 2, FALSE),"")</f>
        <v>Q4</v>
      </c>
      <c r="L18" s="29">
        <v>36750</v>
      </c>
      <c r="M18" s="47">
        <v>320962.90000000002</v>
      </c>
      <c r="N18" s="165" t="s">
        <v>382</v>
      </c>
      <c r="O18" s="195"/>
      <c r="P18" s="48"/>
      <c r="Q18" s="20"/>
    </row>
    <row r="19" spans="2:17" x14ac:dyDescent="0.2">
      <c r="I19" s="194">
        <f t="shared" si="0"/>
        <v>2</v>
      </c>
      <c r="J19" s="58" t="s">
        <v>407</v>
      </c>
      <c r="K19" s="426" t="str">
        <f>IF(Electricity[[#This Row],[Month]]&lt;&gt;"",VLOOKUP(Electricity[[#This Row],[Month]], dropdown!$S$4:$T$15, 2, FALSE),"")</f>
        <v>Q4</v>
      </c>
      <c r="L19" s="29">
        <v>32690</v>
      </c>
      <c r="M19" s="47">
        <v>300720.46999999997</v>
      </c>
      <c r="N19" s="165" t="s">
        <v>382</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conditionalFormatting sqref="J8:J19">
    <cfRule type="expression" dxfId="7" priority="1">
      <formula>$J8="BEV"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C6" sqref="C6:G7"/>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Butuan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7" t="s">
        <v>1449</v>
      </c>
      <c r="D6" s="448"/>
      <c r="E6" s="448"/>
      <c r="F6" s="448"/>
      <c r="G6" s="449"/>
      <c r="I6" s="248" t="s">
        <v>173</v>
      </c>
      <c r="J6" s="249" t="s">
        <v>39</v>
      </c>
      <c r="K6" s="249" t="s">
        <v>43</v>
      </c>
      <c r="L6" s="250" t="s">
        <v>115</v>
      </c>
      <c r="M6" s="352" t="s">
        <v>212</v>
      </c>
      <c r="N6" s="253" t="s">
        <v>54</v>
      </c>
      <c r="O6" s="349"/>
    </row>
    <row r="7" spans="2:16" x14ac:dyDescent="0.2">
      <c r="B7" s="278" t="s">
        <v>174</v>
      </c>
      <c r="C7" s="450">
        <v>45912</v>
      </c>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X109"/>
  <sheetViews>
    <sheetView showGridLines="0" zoomScaleNormal="100" workbookViewId="0">
      <selection activeCell="C6" sqref="C6:G7"/>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Butuan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1449</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45912</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45</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76</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66</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187</v>
      </c>
      <c r="E11" s="41">
        <f>SUMIFS(water_in[Volume (m3)],water_in[Quarter],E$10)</f>
        <v>218</v>
      </c>
      <c r="F11" s="41">
        <f>SUMIFS(water_in[Volume (m3)],water_in[Quarter],F$10)</f>
        <v>186</v>
      </c>
      <c r="G11" s="41">
        <f>SUMIFS(water_in[Volume (m3)],water_in[Quarter],G$10)</f>
        <v>200</v>
      </c>
      <c r="I11" s="194">
        <f t="shared" si="0"/>
        <v>4</v>
      </c>
      <c r="J11" s="58" t="s">
        <v>371</v>
      </c>
      <c r="K11" s="426" t="str">
        <f>IF(water_in[[#This Row],[Month]]&lt;&gt;"",VLOOKUP(water_in[[#This Row],[Month]], dropdown!$S$4:$T$15, 2, FALSE),"")</f>
        <v>Q2</v>
      </c>
      <c r="L11" s="58" t="s">
        <v>124</v>
      </c>
      <c r="M11" s="29">
        <v>94</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83</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41</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58</v>
      </c>
      <c r="N14" s="195"/>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62</v>
      </c>
      <c r="N15" s="195"/>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66</v>
      </c>
      <c r="N16" s="195"/>
      <c r="O16" s="44" t="str">
        <f>IF(J16="","",VLOOKUP($J16,dropdown!$S$3:$T$15,2,FALSE))</f>
        <v>Q3</v>
      </c>
      <c r="P16" s="194" t="str">
        <f t="shared" si="1"/>
        <v/>
      </c>
      <c r="Q16" s="58"/>
      <c r="R16" s="18" t="str">
        <f>IF(water_out[[#This Row],[Month]]&lt;&gt;"",VLOOKUP(water_out[[#This Row],[Month]], dropdown!$S$4:$T$15, 2, FALSE),"")</f>
        <v/>
      </c>
      <c r="S16" s="60"/>
      <c r="T16" s="29"/>
      <c r="U16" s="195"/>
      <c r="W16" s="20"/>
    </row>
    <row r="17" spans="2:24" ht="14" x14ac:dyDescent="0.2">
      <c r="B17" s="122" t="s">
        <v>177</v>
      </c>
      <c r="I17" s="194">
        <f t="shared" si="0"/>
        <v>10</v>
      </c>
      <c r="J17" s="58" t="s">
        <v>400</v>
      </c>
      <c r="K17" s="426" t="str">
        <f>IF(water_in[[#This Row],[Month]]&lt;&gt;"",VLOOKUP(water_in[[#This Row],[Month]], dropdown!$S$4:$T$15, 2, FALSE),"")</f>
        <v>Q4</v>
      </c>
      <c r="L17" s="58" t="s">
        <v>124</v>
      </c>
      <c r="M17" s="29">
        <v>63</v>
      </c>
      <c r="N17" s="195"/>
      <c r="O17" s="44" t="str">
        <f>IF(J17="","",VLOOKUP($J17,dropdown!$S$3:$T$15,2,FALSE))</f>
        <v>Q4</v>
      </c>
      <c r="P17" s="194" t="str">
        <f t="shared" si="1"/>
        <v/>
      </c>
      <c r="Q17" s="58"/>
      <c r="R17" s="18" t="str">
        <f>IF(water_out[[#This Row],[Month]]&lt;&gt;"",VLOOKUP(water_out[[#This Row],[Month]], dropdown!$S$4:$T$15, 2, FALSE),"")</f>
        <v/>
      </c>
      <c r="S17" s="60"/>
      <c r="T17" s="29"/>
      <c r="U17" s="195"/>
      <c r="V17" s="44" t="s">
        <v>43</v>
      </c>
      <c r="W17" s="20"/>
    </row>
    <row r="18" spans="2:24" ht="14" x14ac:dyDescent="0.2">
      <c r="I18" s="194">
        <f t="shared" si="0"/>
        <v>11</v>
      </c>
      <c r="J18" s="58" t="s">
        <v>404</v>
      </c>
      <c r="K18" s="426" t="str">
        <f>IF(water_in[[#This Row],[Month]]&lt;&gt;"",VLOOKUP(water_in[[#This Row],[Month]], dropdown!$S$4:$T$15, 2, FALSE),"")</f>
        <v>Q4</v>
      </c>
      <c r="L18" s="58" t="s">
        <v>124</v>
      </c>
      <c r="M18" s="29">
        <v>88</v>
      </c>
      <c r="N18" s="195"/>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4" ht="14" x14ac:dyDescent="0.2">
      <c r="I19" s="194">
        <f t="shared" si="0"/>
        <v>12</v>
      </c>
      <c r="J19" s="58" t="s">
        <v>407</v>
      </c>
      <c r="K19" s="426" t="str">
        <f>IF(water_in[[#This Row],[Month]]&lt;&gt;"",VLOOKUP(water_in[[#This Row],[Month]], dropdown!$S$4:$T$15, 2, FALSE),"")</f>
        <v>Q4</v>
      </c>
      <c r="L19" s="58" t="s">
        <v>124</v>
      </c>
      <c r="M19" s="29">
        <v>49</v>
      </c>
      <c r="N19" s="195"/>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4"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4"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4"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4"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4"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4"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c r="X25" s="20" t="s">
        <v>1558</v>
      </c>
    </row>
    <row r="26" spans="2:24"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4"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4"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4"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4"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4"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4"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conditionalFormatting sqref="J8:J19">
    <cfRule type="expression" dxfId="6" priority="1">
      <formula>$J8="BEV"</formula>
    </cfRule>
  </conditionalFormatting>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Butuan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J10" sqref="J10"/>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Butuan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c r="D6" s="448"/>
      <c r="E6" s="448"/>
      <c r="F6" s="448"/>
      <c r="G6" s="449"/>
      <c r="I6" s="409" t="s">
        <v>282</v>
      </c>
      <c r="J6" s="407"/>
      <c r="K6" s="407"/>
      <c r="L6" s="407"/>
      <c r="M6" s="408"/>
      <c r="N6" s="407"/>
      <c r="O6" s="407"/>
      <c r="Q6" s="44"/>
    </row>
    <row r="7" spans="2:17" ht="25.5" customHeight="1" x14ac:dyDescent="0.2">
      <c r="B7" s="278" t="s">
        <v>174</v>
      </c>
      <c r="C7" s="450"/>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450</v>
      </c>
      <c r="N8" s="57"/>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450</v>
      </c>
      <c r="N9" s="57"/>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139</v>
      </c>
      <c r="M10" s="29">
        <v>450</v>
      </c>
      <c r="N10" s="57"/>
      <c r="O10" s="195"/>
      <c r="Q10" s="44"/>
    </row>
    <row r="11" spans="2:17" x14ac:dyDescent="0.2">
      <c r="B11" s="17" t="str">
        <f>dropdown!$B4</f>
        <v>Compostable</v>
      </c>
      <c r="C11" s="17" t="s">
        <v>283</v>
      </c>
      <c r="D11" s="41">
        <f>SUMIFS(Waste[Weight (kg)],Waste[Quarter],D$10,Waste[Waste Composition],$B$11)</f>
        <v>1350</v>
      </c>
      <c r="E11" s="41">
        <f>SUMIFS(Waste[Weight (kg)],Waste[Quarter],E$10,Waste[Waste Composition],$B11)</f>
        <v>1350</v>
      </c>
      <c r="F11" s="41">
        <f>SUMIFS(Waste[Weight (kg)],Waste[Quarter],F$10,Waste[Waste Composition],$B11)</f>
        <v>1350</v>
      </c>
      <c r="G11" s="41">
        <f>SUMIFS(Waste[Weight (kg)],Waste[Quarter],G$10,Waste[Waste Composition],$B11)</f>
        <v>1350</v>
      </c>
      <c r="I11" s="194">
        <f t="shared" si="0"/>
        <v>4</v>
      </c>
      <c r="J11" s="58" t="s">
        <v>371</v>
      </c>
      <c r="K11" s="194" t="str">
        <f>IF(Waste[[#This Row],[Month]]&lt;&gt;"",VLOOKUP(Waste[[#This Row],[Month]], dropdown!$S$4:$T$15, 2, FALSE),"")</f>
        <v>Q2</v>
      </c>
      <c r="L11" s="57" t="s">
        <v>139</v>
      </c>
      <c r="M11" s="29">
        <v>450</v>
      </c>
      <c r="N11" s="57"/>
      <c r="O11" s="195"/>
      <c r="Q11" s="44"/>
    </row>
    <row r="12" spans="2:17" x14ac:dyDescent="0.2">
      <c r="B12" s="17" t="str">
        <f>dropdown!$B5</f>
        <v>Recyclable</v>
      </c>
      <c r="C12" s="17" t="s">
        <v>283</v>
      </c>
      <c r="D12" s="41">
        <f>SUMIFS(Waste[Weight (kg)],Waste[Quarter],D$10,Waste[Waste Composition],$B12)</f>
        <v>450</v>
      </c>
      <c r="E12" s="41">
        <f>SUMIFS(Waste[Weight (kg)],Waste[Quarter],E$10,Waste[Waste Composition],$B12)</f>
        <v>450</v>
      </c>
      <c r="F12" s="41">
        <f>SUMIFS(Waste[Weight (kg)],Waste[Quarter],F$10,Waste[Waste Composition],$B12)</f>
        <v>450</v>
      </c>
      <c r="G12" s="41">
        <f>SUMIFS(Waste[Weight (kg)],Waste[Quarter],G$10,Waste[Waste Composition],$B12)</f>
        <v>450</v>
      </c>
      <c r="I12" s="194">
        <f t="shared" si="0"/>
        <v>5</v>
      </c>
      <c r="J12" s="58" t="s">
        <v>379</v>
      </c>
      <c r="K12" s="194" t="str">
        <f>IF(Waste[[#This Row],[Month]]&lt;&gt;"",VLOOKUP(Waste[[#This Row],[Month]], dropdown!$S$4:$T$15, 2, FALSE),"")</f>
        <v>Q2</v>
      </c>
      <c r="L12" s="57" t="s">
        <v>139</v>
      </c>
      <c r="M12" s="29">
        <v>450</v>
      </c>
      <c r="N12" s="57"/>
      <c r="O12" s="195"/>
      <c r="Q12" s="44"/>
    </row>
    <row r="13" spans="2:17" ht="15" x14ac:dyDescent="0.2">
      <c r="B13" s="17" t="str">
        <f>dropdown!$B6</f>
        <v>Infectious</v>
      </c>
      <c r="C13" s="17" t="s">
        <v>283</v>
      </c>
      <c r="D13" s="41">
        <f>SUMIFS(Waste[Weight (kg)],Waste[Quarter],D$10,Waste[Waste Composition],$B13)</f>
        <v>45</v>
      </c>
      <c r="E13" s="41">
        <f>SUMIFS(Waste[Weight (kg)],Waste[Quarter],E$10,Waste[Waste Composition],$B13)</f>
        <v>45</v>
      </c>
      <c r="F13" s="41">
        <f>SUMIFS(Waste[Weight (kg)],Waste[Quarter],F$10,Waste[Waste Composition],$B13)</f>
        <v>45</v>
      </c>
      <c r="G13" s="41">
        <f>SUMIFS(Waste[Weight (kg)],Waste[Quarter],G$10,Waste[Waste Composition],$B13)</f>
        <v>45</v>
      </c>
      <c r="H13" s="173"/>
      <c r="I13" s="194">
        <f t="shared" si="0"/>
        <v>6</v>
      </c>
      <c r="J13" s="58" t="s">
        <v>386</v>
      </c>
      <c r="K13" s="194" t="str">
        <f>IF(Waste[[#This Row],[Month]]&lt;&gt;"",VLOOKUP(Waste[[#This Row],[Month]], dropdown!$S$4:$T$15, 2, FALSE),"")</f>
        <v>Q2</v>
      </c>
      <c r="L13" s="57" t="s">
        <v>139</v>
      </c>
      <c r="M13" s="29">
        <v>450</v>
      </c>
      <c r="N13" s="57"/>
      <c r="O13" s="195"/>
    </row>
    <row r="14" spans="2:17" ht="14" customHeight="1" x14ac:dyDescent="0.2">
      <c r="B14" s="17" t="str">
        <f>dropdown!$B7</f>
        <v>Security</v>
      </c>
      <c r="C14" s="17" t="s">
        <v>283</v>
      </c>
      <c r="D14" s="41">
        <f>SUMIFS(Waste[Weight (kg)],Waste[Quarter],D$10,Waste[Waste Composition],$B14)</f>
        <v>16560</v>
      </c>
      <c r="E14" s="41">
        <f>SUMIFS(Waste[Weight (kg)],Waste[Quarter],E$10,Waste[Waste Composition],$B14)</f>
        <v>7380</v>
      </c>
      <c r="F14" s="41">
        <f>SUMIFS(Waste[Weight (kg)],Waste[Quarter],F$10,Waste[Waste Composition],$B14)</f>
        <v>21300</v>
      </c>
      <c r="G14" s="41">
        <f>SUMIFS(Waste[Weight (kg)],Waste[Quarter],G$10,Waste[Waste Composition],$B14)</f>
        <v>9000</v>
      </c>
      <c r="I14" s="194">
        <f t="shared" si="0"/>
        <v>7</v>
      </c>
      <c r="J14" s="58" t="s">
        <v>390</v>
      </c>
      <c r="K14" s="194" t="str">
        <f>IF(Waste[[#This Row],[Month]]&lt;&gt;"",VLOOKUP(Waste[[#This Row],[Month]], dropdown!$S$4:$T$15, 2, FALSE),"")</f>
        <v>Q3</v>
      </c>
      <c r="L14" s="57" t="s">
        <v>139</v>
      </c>
      <c r="M14" s="29">
        <v>450</v>
      </c>
      <c r="N14" s="57"/>
      <c r="O14" s="195"/>
      <c r="Q14" s="44"/>
    </row>
    <row r="15" spans="2:17" ht="15" customHeight="1" x14ac:dyDescent="0.2">
      <c r="B15" s="17" t="str">
        <f>dropdown!$B8</f>
        <v>Hazardous</v>
      </c>
      <c r="C15" s="17" t="s">
        <v>283</v>
      </c>
      <c r="D15" s="41">
        <f>SUMIFS(Waste[Weight (kg)],Waste[Quarter],D$10,Waste[Waste Composition],$B15)</f>
        <v>1077</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41</v>
      </c>
      <c r="K15" s="194" t="str">
        <f>IF(Waste[[#This Row],[Month]]&lt;&gt;"",VLOOKUP(Waste[[#This Row],[Month]], dropdown!$S$4:$T$15, 2, FALSE),"")</f>
        <v>Q3</v>
      </c>
      <c r="L15" s="57" t="s">
        <v>139</v>
      </c>
      <c r="M15" s="29">
        <v>450</v>
      </c>
      <c r="N15" s="57"/>
      <c r="O15" s="195"/>
    </row>
    <row r="16" spans="2:17" x14ac:dyDescent="0.2">
      <c r="B16" s="17" t="str">
        <f>dropdown!$B9</f>
        <v>Residual/Landfill</v>
      </c>
      <c r="C16" s="17" t="s">
        <v>283</v>
      </c>
      <c r="D16" s="41">
        <f>SUMIFS(Waste[Weight (kg)],Waste[Quarter],D$10,Waste[Waste Composition],$B16)</f>
        <v>1350</v>
      </c>
      <c r="E16" s="41">
        <f>SUMIFS(Waste[Weight (kg)],Waste[Quarter],E$10,Waste[Waste Composition],$B16)</f>
        <v>1350</v>
      </c>
      <c r="F16" s="41">
        <f>SUMIFS(Waste[Weight (kg)],Waste[Quarter],F$10,Waste[Waste Composition],$B16)</f>
        <v>1350</v>
      </c>
      <c r="G16" s="41">
        <f>SUMIFS(Waste[Weight (kg)],Waste[Quarter],G$10,Waste[Waste Composition],$B16)</f>
        <v>1350</v>
      </c>
      <c r="I16" s="194">
        <f t="shared" si="0"/>
        <v>9</v>
      </c>
      <c r="J16" s="58" t="s">
        <v>397</v>
      </c>
      <c r="K16" s="194" t="str">
        <f>IF(Waste[[#This Row],[Month]]&lt;&gt;"",VLOOKUP(Waste[[#This Row],[Month]], dropdown!$S$4:$T$15, 2, FALSE),"")</f>
        <v>Q3</v>
      </c>
      <c r="L16" s="57" t="s">
        <v>139</v>
      </c>
      <c r="M16" s="29">
        <v>450</v>
      </c>
      <c r="N16" s="57"/>
      <c r="O16" s="195"/>
    </row>
    <row r="17" spans="2:15" x14ac:dyDescent="0.2">
      <c r="I17" s="194">
        <f t="shared" si="0"/>
        <v>10</v>
      </c>
      <c r="J17" s="58" t="s">
        <v>400</v>
      </c>
      <c r="K17" s="194" t="str">
        <f>IF(Waste[[#This Row],[Month]]&lt;&gt;"",VLOOKUP(Waste[[#This Row],[Month]], dropdown!$S$4:$T$15, 2, FALSE),"")</f>
        <v>Q4</v>
      </c>
      <c r="L17" s="57" t="s">
        <v>139</v>
      </c>
      <c r="M17" s="29">
        <v>450</v>
      </c>
      <c r="N17" s="57"/>
      <c r="O17" s="195"/>
    </row>
    <row r="18" spans="2:15" x14ac:dyDescent="0.2">
      <c r="B18" s="267" t="s">
        <v>38</v>
      </c>
      <c r="I18" s="194">
        <f t="shared" si="0"/>
        <v>11</v>
      </c>
      <c r="J18" s="58" t="s">
        <v>404</v>
      </c>
      <c r="K18" s="194" t="str">
        <f>IF(Waste[[#This Row],[Month]]&lt;&gt;"",VLOOKUP(Waste[[#This Row],[Month]], dropdown!$S$4:$T$15, 2, FALSE),"")</f>
        <v>Q4</v>
      </c>
      <c r="L18" s="57" t="s">
        <v>139</v>
      </c>
      <c r="M18" s="29">
        <v>450</v>
      </c>
      <c r="N18" s="57"/>
      <c r="O18" s="195"/>
    </row>
    <row r="19" spans="2:15" x14ac:dyDescent="0.2">
      <c r="B19" s="268" t="s">
        <v>175</v>
      </c>
      <c r="I19" s="194">
        <f t="shared" ref="I19" si="1">IF($J19="","",$I18+1)</f>
        <v>12</v>
      </c>
      <c r="J19" s="58" t="s">
        <v>407</v>
      </c>
      <c r="K19" s="194" t="str">
        <f>IF(Waste[[#This Row],[Month]]&lt;&gt;"",VLOOKUP(Waste[[#This Row],[Month]], dropdown!$S$4:$T$15, 2, FALSE),"")</f>
        <v>Q4</v>
      </c>
      <c r="L19" s="57" t="s">
        <v>139</v>
      </c>
      <c r="M19" s="29">
        <v>450</v>
      </c>
      <c r="N19" s="57"/>
      <c r="O19" s="195"/>
    </row>
    <row r="20" spans="2:15" x14ac:dyDescent="0.2">
      <c r="B20" s="266" t="s">
        <v>176</v>
      </c>
      <c r="I20" s="194">
        <f t="shared" si="0"/>
        <v>13</v>
      </c>
      <c r="J20" s="58" t="s">
        <v>338</v>
      </c>
      <c r="K20" s="194" t="str">
        <f>IF(Waste[[#This Row],[Month]]&lt;&gt;"",VLOOKUP(Waste[[#This Row],[Month]], dropdown!$S$4:$T$15, 2, FALSE),"")</f>
        <v>Q1</v>
      </c>
      <c r="L20" s="57" t="s">
        <v>318</v>
      </c>
      <c r="M20" s="29">
        <v>150</v>
      </c>
      <c r="N20" s="57"/>
      <c r="O20" s="195"/>
    </row>
    <row r="21" spans="2:15" x14ac:dyDescent="0.2">
      <c r="B21" s="17" t="s">
        <v>177</v>
      </c>
      <c r="I21" s="194">
        <f t="shared" si="0"/>
        <v>14</v>
      </c>
      <c r="J21" s="58" t="s">
        <v>89</v>
      </c>
      <c r="K21" s="194" t="str">
        <f>IF(Waste[[#This Row],[Month]]&lt;&gt;"",VLOOKUP(Waste[[#This Row],[Month]], dropdown!$S$4:$T$15, 2, FALSE),"")</f>
        <v>Q1</v>
      </c>
      <c r="L21" s="57" t="s">
        <v>318</v>
      </c>
      <c r="M21" s="29">
        <v>150</v>
      </c>
      <c r="N21" s="57"/>
      <c r="O21" s="195"/>
    </row>
    <row r="22" spans="2:15" x14ac:dyDescent="0.2">
      <c r="I22" s="194">
        <f t="shared" si="0"/>
        <v>15</v>
      </c>
      <c r="J22" s="58" t="s">
        <v>362</v>
      </c>
      <c r="K22" s="194" t="str">
        <f>IF(Waste[[#This Row],[Month]]&lt;&gt;"",VLOOKUP(Waste[[#This Row],[Month]], dropdown!$S$4:$T$15, 2, FALSE),"")</f>
        <v>Q1</v>
      </c>
      <c r="L22" s="57" t="s">
        <v>318</v>
      </c>
      <c r="M22" s="29">
        <v>150</v>
      </c>
      <c r="N22" s="57"/>
      <c r="O22" s="195"/>
    </row>
    <row r="23" spans="2:15" x14ac:dyDescent="0.2">
      <c r="I23" s="194">
        <f t="shared" si="0"/>
        <v>16</v>
      </c>
      <c r="J23" s="58" t="s">
        <v>371</v>
      </c>
      <c r="K23" s="194" t="str">
        <f>IF(Waste[[#This Row],[Month]]&lt;&gt;"",VLOOKUP(Waste[[#This Row],[Month]], dropdown!$S$4:$T$15, 2, FALSE),"")</f>
        <v>Q2</v>
      </c>
      <c r="L23" s="57" t="s">
        <v>318</v>
      </c>
      <c r="M23" s="29">
        <v>150</v>
      </c>
      <c r="N23" s="57"/>
      <c r="O23" s="195"/>
    </row>
    <row r="24" spans="2:15" x14ac:dyDescent="0.2">
      <c r="I24" s="194">
        <f t="shared" si="0"/>
        <v>17</v>
      </c>
      <c r="J24" s="58" t="s">
        <v>379</v>
      </c>
      <c r="K24" s="194" t="str">
        <f>IF(Waste[[#This Row],[Month]]&lt;&gt;"",VLOOKUP(Waste[[#This Row],[Month]], dropdown!$S$4:$T$15, 2, FALSE),"")</f>
        <v>Q2</v>
      </c>
      <c r="L24" s="57" t="s">
        <v>318</v>
      </c>
      <c r="M24" s="29">
        <v>150</v>
      </c>
      <c r="N24" s="57"/>
      <c r="O24" s="195"/>
    </row>
    <row r="25" spans="2:15" x14ac:dyDescent="0.2">
      <c r="I25" s="194">
        <f t="shared" si="0"/>
        <v>18</v>
      </c>
      <c r="J25" s="58" t="s">
        <v>386</v>
      </c>
      <c r="K25" s="194" t="str">
        <f>IF(Waste[[#This Row],[Month]]&lt;&gt;"",VLOOKUP(Waste[[#This Row],[Month]], dropdown!$S$4:$T$15, 2, FALSE),"")</f>
        <v>Q2</v>
      </c>
      <c r="L25" s="57" t="s">
        <v>318</v>
      </c>
      <c r="M25" s="29">
        <v>150</v>
      </c>
      <c r="N25" s="57"/>
      <c r="O25" s="195"/>
    </row>
    <row r="26" spans="2:15" x14ac:dyDescent="0.2">
      <c r="I26" s="194">
        <f t="shared" si="0"/>
        <v>19</v>
      </c>
      <c r="J26" s="58" t="s">
        <v>390</v>
      </c>
      <c r="K26" s="194" t="str">
        <f>IF(Waste[[#This Row],[Month]]&lt;&gt;"",VLOOKUP(Waste[[#This Row],[Month]], dropdown!$S$4:$T$15, 2, FALSE),"")</f>
        <v>Q3</v>
      </c>
      <c r="L26" s="57" t="s">
        <v>318</v>
      </c>
      <c r="M26" s="29">
        <v>150</v>
      </c>
      <c r="N26" s="57"/>
      <c r="O26" s="195"/>
    </row>
    <row r="27" spans="2:15" x14ac:dyDescent="0.2">
      <c r="I27" s="194">
        <f t="shared" si="0"/>
        <v>20</v>
      </c>
      <c r="J27" s="58" t="s">
        <v>41</v>
      </c>
      <c r="K27" s="194" t="str">
        <f>IF(Waste[[#This Row],[Month]]&lt;&gt;"",VLOOKUP(Waste[[#This Row],[Month]], dropdown!$S$4:$T$15, 2, FALSE),"")</f>
        <v>Q3</v>
      </c>
      <c r="L27" s="57" t="s">
        <v>318</v>
      </c>
      <c r="M27" s="29">
        <v>150</v>
      </c>
      <c r="N27" s="57"/>
      <c r="O27" s="195"/>
    </row>
    <row r="28" spans="2:15" x14ac:dyDescent="0.2">
      <c r="I28" s="194">
        <f t="shared" si="0"/>
        <v>21</v>
      </c>
      <c r="J28" s="58" t="s">
        <v>397</v>
      </c>
      <c r="K28" s="194" t="str">
        <f>IF(Waste[[#This Row],[Month]]&lt;&gt;"",VLOOKUP(Waste[[#This Row],[Month]], dropdown!$S$4:$T$15, 2, FALSE),"")</f>
        <v>Q3</v>
      </c>
      <c r="L28" s="57" t="s">
        <v>318</v>
      </c>
      <c r="M28" s="29">
        <v>150</v>
      </c>
      <c r="N28" s="57"/>
      <c r="O28" s="195"/>
    </row>
    <row r="29" spans="2:15" x14ac:dyDescent="0.2">
      <c r="I29" s="194">
        <f t="shared" si="0"/>
        <v>22</v>
      </c>
      <c r="J29" s="58" t="s">
        <v>400</v>
      </c>
      <c r="K29" s="194" t="str">
        <f>IF(Waste[[#This Row],[Month]]&lt;&gt;"",VLOOKUP(Waste[[#This Row],[Month]], dropdown!$S$4:$T$15, 2, FALSE),"")</f>
        <v>Q4</v>
      </c>
      <c r="L29" s="57" t="s">
        <v>318</v>
      </c>
      <c r="M29" s="29">
        <v>150</v>
      </c>
      <c r="N29" s="57"/>
      <c r="O29" s="195"/>
    </row>
    <row r="30" spans="2:15" x14ac:dyDescent="0.2">
      <c r="I30" s="194">
        <f t="shared" si="0"/>
        <v>23</v>
      </c>
      <c r="J30" s="58" t="s">
        <v>404</v>
      </c>
      <c r="K30" s="194" t="str">
        <f>IF(Waste[[#This Row],[Month]]&lt;&gt;"",VLOOKUP(Waste[[#This Row],[Month]], dropdown!$S$4:$T$15, 2, FALSE),"")</f>
        <v>Q4</v>
      </c>
      <c r="L30" s="57" t="s">
        <v>318</v>
      </c>
      <c r="M30" s="29">
        <v>150</v>
      </c>
      <c r="N30" s="57"/>
      <c r="O30" s="195"/>
    </row>
    <row r="31" spans="2:15" x14ac:dyDescent="0.2">
      <c r="I31" s="194">
        <f t="shared" si="0"/>
        <v>24</v>
      </c>
      <c r="J31" s="58" t="s">
        <v>407</v>
      </c>
      <c r="K31" s="194" t="str">
        <f>IF(Waste[[#This Row],[Month]]&lt;&gt;"",VLOOKUP(Waste[[#This Row],[Month]], dropdown!$S$4:$T$15, 2, FALSE),"")</f>
        <v>Q4</v>
      </c>
      <c r="L31" s="57" t="s">
        <v>318</v>
      </c>
      <c r="M31" s="29">
        <v>150</v>
      </c>
      <c r="N31" s="57"/>
      <c r="O31" s="195"/>
    </row>
    <row r="32" spans="2:15" x14ac:dyDescent="0.2">
      <c r="I32" s="194">
        <f t="shared" si="0"/>
        <v>25</v>
      </c>
      <c r="J32" s="58" t="s">
        <v>338</v>
      </c>
      <c r="K32" s="194" t="str">
        <f>IF(Waste[[#This Row],[Month]]&lt;&gt;"",VLOOKUP(Waste[[#This Row],[Month]], dropdown!$S$4:$T$15, 2, FALSE),"")</f>
        <v>Q1</v>
      </c>
      <c r="L32" s="57" t="s">
        <v>356</v>
      </c>
      <c r="M32" s="29">
        <v>15</v>
      </c>
      <c r="N32" s="57"/>
      <c r="O32" s="195"/>
    </row>
    <row r="33" spans="9:15" x14ac:dyDescent="0.2">
      <c r="I33" s="194">
        <f t="shared" si="0"/>
        <v>26</v>
      </c>
      <c r="J33" s="58" t="s">
        <v>89</v>
      </c>
      <c r="K33" s="194" t="str">
        <f>IF(Waste[[#This Row],[Month]]&lt;&gt;"",VLOOKUP(Waste[[#This Row],[Month]], dropdown!$S$4:$T$15, 2, FALSE),"")</f>
        <v>Q1</v>
      </c>
      <c r="L33" s="57" t="s">
        <v>356</v>
      </c>
      <c r="M33" s="29">
        <v>15</v>
      </c>
      <c r="N33" s="57"/>
      <c r="O33" s="195"/>
    </row>
    <row r="34" spans="9:15" x14ac:dyDescent="0.2">
      <c r="I34" s="194">
        <f t="shared" si="0"/>
        <v>27</v>
      </c>
      <c r="J34" s="58" t="s">
        <v>362</v>
      </c>
      <c r="K34" s="194" t="str">
        <f>IF(Waste[[#This Row],[Month]]&lt;&gt;"",VLOOKUP(Waste[[#This Row],[Month]], dropdown!$S$4:$T$15, 2, FALSE),"")</f>
        <v>Q1</v>
      </c>
      <c r="L34" s="57" t="s">
        <v>356</v>
      </c>
      <c r="M34" s="29">
        <v>15</v>
      </c>
      <c r="N34" s="57"/>
      <c r="O34" s="195"/>
    </row>
    <row r="35" spans="9:15" x14ac:dyDescent="0.2">
      <c r="I35" s="194">
        <f t="shared" si="0"/>
        <v>28</v>
      </c>
      <c r="J35" s="58" t="s">
        <v>371</v>
      </c>
      <c r="K35" s="194" t="str">
        <f>IF(Waste[[#This Row],[Month]]&lt;&gt;"",VLOOKUP(Waste[[#This Row],[Month]], dropdown!$S$4:$T$15, 2, FALSE),"")</f>
        <v>Q2</v>
      </c>
      <c r="L35" s="57" t="s">
        <v>356</v>
      </c>
      <c r="M35" s="29">
        <v>15</v>
      </c>
      <c r="N35" s="57"/>
      <c r="O35" s="195"/>
    </row>
    <row r="36" spans="9:15" x14ac:dyDescent="0.2">
      <c r="I36" s="194">
        <f t="shared" si="0"/>
        <v>29</v>
      </c>
      <c r="J36" s="58" t="s">
        <v>379</v>
      </c>
      <c r="K36" s="194" t="str">
        <f>IF(Waste[[#This Row],[Month]]&lt;&gt;"",VLOOKUP(Waste[[#This Row],[Month]], dropdown!$S$4:$T$15, 2, FALSE),"")</f>
        <v>Q2</v>
      </c>
      <c r="L36" s="57" t="s">
        <v>356</v>
      </c>
      <c r="M36" s="29">
        <v>15</v>
      </c>
      <c r="N36" s="57"/>
      <c r="O36" s="195"/>
    </row>
    <row r="37" spans="9:15" x14ac:dyDescent="0.2">
      <c r="I37" s="194">
        <f t="shared" si="0"/>
        <v>30</v>
      </c>
      <c r="J37" s="58" t="s">
        <v>386</v>
      </c>
      <c r="K37" s="194" t="str">
        <f>IF(Waste[[#This Row],[Month]]&lt;&gt;"",VLOOKUP(Waste[[#This Row],[Month]], dropdown!$S$4:$T$15, 2, FALSE),"")</f>
        <v>Q2</v>
      </c>
      <c r="L37" s="57" t="s">
        <v>356</v>
      </c>
      <c r="M37" s="29">
        <v>15</v>
      </c>
      <c r="N37" s="57"/>
      <c r="O37" s="195"/>
    </row>
    <row r="38" spans="9:15" x14ac:dyDescent="0.2">
      <c r="I38" s="194">
        <f t="shared" si="0"/>
        <v>31</v>
      </c>
      <c r="J38" s="58" t="s">
        <v>390</v>
      </c>
      <c r="K38" s="194" t="str">
        <f>IF(Waste[[#This Row],[Month]]&lt;&gt;"",VLOOKUP(Waste[[#This Row],[Month]], dropdown!$S$4:$T$15, 2, FALSE),"")</f>
        <v>Q3</v>
      </c>
      <c r="L38" s="57" t="s">
        <v>356</v>
      </c>
      <c r="M38" s="29">
        <v>15</v>
      </c>
      <c r="N38" s="57"/>
      <c r="O38" s="195"/>
    </row>
    <row r="39" spans="9:15" x14ac:dyDescent="0.2">
      <c r="I39" s="194">
        <f t="shared" si="0"/>
        <v>32</v>
      </c>
      <c r="J39" s="58" t="s">
        <v>41</v>
      </c>
      <c r="K39" s="194" t="str">
        <f>IF(Waste[[#This Row],[Month]]&lt;&gt;"",VLOOKUP(Waste[[#This Row],[Month]], dropdown!$S$4:$T$15, 2, FALSE),"")</f>
        <v>Q3</v>
      </c>
      <c r="L39" s="57" t="s">
        <v>356</v>
      </c>
      <c r="M39" s="29">
        <v>15</v>
      </c>
      <c r="N39" s="57"/>
      <c r="O39" s="195"/>
    </row>
    <row r="40" spans="9:15" x14ac:dyDescent="0.2">
      <c r="I40" s="194">
        <f t="shared" si="0"/>
        <v>33</v>
      </c>
      <c r="J40" s="58" t="s">
        <v>397</v>
      </c>
      <c r="K40" s="194" t="str">
        <f>IF(Waste[[#This Row],[Month]]&lt;&gt;"",VLOOKUP(Waste[[#This Row],[Month]], dropdown!$S$4:$T$15, 2, FALSE),"")</f>
        <v>Q3</v>
      </c>
      <c r="L40" s="57" t="s">
        <v>356</v>
      </c>
      <c r="M40" s="29">
        <v>15</v>
      </c>
      <c r="N40" s="57"/>
      <c r="O40" s="195"/>
    </row>
    <row r="41" spans="9:15" x14ac:dyDescent="0.2">
      <c r="I41" s="194">
        <f t="shared" si="0"/>
        <v>34</v>
      </c>
      <c r="J41" s="58" t="s">
        <v>400</v>
      </c>
      <c r="K41" s="194" t="str">
        <f>IF(Waste[[#This Row],[Month]]&lt;&gt;"",VLOOKUP(Waste[[#This Row],[Month]], dropdown!$S$4:$T$15, 2, FALSE),"")</f>
        <v>Q4</v>
      </c>
      <c r="L41" s="57" t="s">
        <v>356</v>
      </c>
      <c r="M41" s="29">
        <v>15</v>
      </c>
      <c r="N41" s="57"/>
      <c r="O41" s="195"/>
    </row>
    <row r="42" spans="9:15" x14ac:dyDescent="0.2">
      <c r="I42" s="194">
        <f t="shared" si="0"/>
        <v>35</v>
      </c>
      <c r="J42" s="58" t="s">
        <v>404</v>
      </c>
      <c r="K42" s="194" t="str">
        <f>IF(Waste[[#This Row],[Month]]&lt;&gt;"",VLOOKUP(Waste[[#This Row],[Month]], dropdown!$S$4:$T$15, 2, FALSE),"")</f>
        <v>Q4</v>
      </c>
      <c r="L42" s="57" t="s">
        <v>356</v>
      </c>
      <c r="M42" s="29">
        <v>15</v>
      </c>
      <c r="N42" s="57"/>
      <c r="O42" s="195"/>
    </row>
    <row r="43" spans="9:15" x14ac:dyDescent="0.2">
      <c r="I43" s="194">
        <f t="shared" si="0"/>
        <v>36</v>
      </c>
      <c r="J43" s="58" t="s">
        <v>407</v>
      </c>
      <c r="K43" s="194" t="str">
        <f>IF(Waste[[#This Row],[Month]]&lt;&gt;"",VLOOKUP(Waste[[#This Row],[Month]], dropdown!$S$4:$T$15, 2, FALSE),"")</f>
        <v>Q4</v>
      </c>
      <c r="L43" s="57" t="s">
        <v>356</v>
      </c>
      <c r="M43" s="29">
        <v>15</v>
      </c>
      <c r="N43" s="57"/>
      <c r="O43" s="195"/>
    </row>
    <row r="44" spans="9:15" x14ac:dyDescent="0.2">
      <c r="I44" s="194">
        <f t="shared" si="0"/>
        <v>37</v>
      </c>
      <c r="J44" s="58" t="s">
        <v>338</v>
      </c>
      <c r="K44" s="194" t="str">
        <f>IF(Waste[[#This Row],[Month]]&lt;&gt;"",VLOOKUP(Waste[[#This Row],[Month]], dropdown!$S$4:$T$15, 2, FALSE),"")</f>
        <v>Q1</v>
      </c>
      <c r="L44" s="57" t="s">
        <v>367</v>
      </c>
      <c r="M44" s="29">
        <v>0</v>
      </c>
      <c r="N44" s="57"/>
      <c r="O44" s="195"/>
    </row>
    <row r="45" spans="9:15" x14ac:dyDescent="0.2">
      <c r="I45" s="194">
        <f t="shared" si="0"/>
        <v>38</v>
      </c>
      <c r="J45" s="58" t="s">
        <v>89</v>
      </c>
      <c r="K45" s="194" t="str">
        <f>IF(Waste[[#This Row],[Month]]&lt;&gt;"",VLOOKUP(Waste[[#This Row],[Month]], dropdown!$S$4:$T$15, 2, FALSE),"")</f>
        <v>Q1</v>
      </c>
      <c r="L45" s="57" t="s">
        <v>367</v>
      </c>
      <c r="M45" s="29">
        <v>16560</v>
      </c>
      <c r="N45" s="57"/>
      <c r="O45" s="195"/>
    </row>
    <row r="46" spans="9:15" x14ac:dyDescent="0.2">
      <c r="I46" s="194">
        <f t="shared" si="0"/>
        <v>39</v>
      </c>
      <c r="J46" s="58" t="s">
        <v>362</v>
      </c>
      <c r="K46" s="194" t="str">
        <f>IF(Waste[[#This Row],[Month]]&lt;&gt;"",VLOOKUP(Waste[[#This Row],[Month]], dropdown!$S$4:$T$15, 2, FALSE),"")</f>
        <v>Q1</v>
      </c>
      <c r="L46" s="57" t="s">
        <v>367</v>
      </c>
      <c r="M46" s="29">
        <v>0</v>
      </c>
      <c r="N46" s="57"/>
      <c r="O46" s="195"/>
    </row>
    <row r="47" spans="9:15" x14ac:dyDescent="0.2">
      <c r="I47" s="194">
        <f t="shared" si="0"/>
        <v>40</v>
      </c>
      <c r="J47" s="58" t="s">
        <v>371</v>
      </c>
      <c r="K47" s="194" t="str">
        <f>IF(Waste[[#This Row],[Month]]&lt;&gt;"",VLOOKUP(Waste[[#This Row],[Month]], dropdown!$S$4:$T$15, 2, FALSE),"")</f>
        <v>Q2</v>
      </c>
      <c r="L47" s="57" t="s">
        <v>367</v>
      </c>
      <c r="M47" s="29">
        <v>7380</v>
      </c>
      <c r="N47" s="57"/>
      <c r="O47" s="195"/>
    </row>
    <row r="48" spans="9:15" x14ac:dyDescent="0.2">
      <c r="I48" s="194">
        <f t="shared" si="0"/>
        <v>41</v>
      </c>
      <c r="J48" s="58" t="s">
        <v>379</v>
      </c>
      <c r="K48" s="194" t="str">
        <f>IF(Waste[[#This Row],[Month]]&lt;&gt;"",VLOOKUP(Waste[[#This Row],[Month]], dropdown!$S$4:$T$15, 2, FALSE),"")</f>
        <v>Q2</v>
      </c>
      <c r="L48" s="57" t="s">
        <v>367</v>
      </c>
      <c r="M48" s="29">
        <v>0</v>
      </c>
      <c r="N48" s="57"/>
      <c r="O48" s="195"/>
    </row>
    <row r="49" spans="9:15" x14ac:dyDescent="0.2">
      <c r="I49" s="194">
        <f t="shared" si="0"/>
        <v>42</v>
      </c>
      <c r="J49" s="58" t="s">
        <v>386</v>
      </c>
      <c r="K49" s="194" t="str">
        <f>IF(Waste[[#This Row],[Month]]&lt;&gt;"",VLOOKUP(Waste[[#This Row],[Month]], dropdown!$S$4:$T$15, 2, FALSE),"")</f>
        <v>Q2</v>
      </c>
      <c r="L49" s="57" t="s">
        <v>367</v>
      </c>
      <c r="M49" s="29">
        <v>0</v>
      </c>
      <c r="N49" s="57"/>
      <c r="O49" s="195"/>
    </row>
    <row r="50" spans="9:15" x14ac:dyDescent="0.2">
      <c r="I50" s="194">
        <f t="shared" si="0"/>
        <v>43</v>
      </c>
      <c r="J50" s="58" t="s">
        <v>390</v>
      </c>
      <c r="K50" s="194" t="str">
        <f>IF(Waste[[#This Row],[Month]]&lt;&gt;"",VLOOKUP(Waste[[#This Row],[Month]], dropdown!$S$4:$T$15, 2, FALSE),"")</f>
        <v>Q3</v>
      </c>
      <c r="L50" s="57" t="s">
        <v>367</v>
      </c>
      <c r="M50" s="29">
        <v>11540</v>
      </c>
      <c r="N50" s="57"/>
      <c r="O50" s="195"/>
    </row>
    <row r="51" spans="9:15" x14ac:dyDescent="0.2">
      <c r="I51" s="194">
        <f t="shared" si="0"/>
        <v>44</v>
      </c>
      <c r="J51" s="58" t="s">
        <v>41</v>
      </c>
      <c r="K51" s="194" t="str">
        <f>IF(Waste[[#This Row],[Month]]&lt;&gt;"",VLOOKUP(Waste[[#This Row],[Month]], dropdown!$S$4:$T$15, 2, FALSE),"")</f>
        <v>Q3</v>
      </c>
      <c r="L51" s="57" t="s">
        <v>367</v>
      </c>
      <c r="M51" s="29">
        <v>5000</v>
      </c>
      <c r="N51" s="57"/>
      <c r="O51" s="195"/>
    </row>
    <row r="52" spans="9:15" x14ac:dyDescent="0.2">
      <c r="I52" s="194">
        <f t="shared" si="0"/>
        <v>45</v>
      </c>
      <c r="J52" s="58" t="s">
        <v>397</v>
      </c>
      <c r="K52" s="194" t="str">
        <f>IF(Waste[[#This Row],[Month]]&lt;&gt;"",VLOOKUP(Waste[[#This Row],[Month]], dropdown!$S$4:$T$15, 2, FALSE),"")</f>
        <v>Q3</v>
      </c>
      <c r="L52" s="57" t="s">
        <v>367</v>
      </c>
      <c r="M52" s="29">
        <v>4760</v>
      </c>
      <c r="N52" s="57"/>
      <c r="O52" s="195"/>
    </row>
    <row r="53" spans="9:15" x14ac:dyDescent="0.2">
      <c r="I53" s="194">
        <f t="shared" si="0"/>
        <v>46</v>
      </c>
      <c r="J53" s="58" t="s">
        <v>400</v>
      </c>
      <c r="K53" s="194" t="str">
        <f>IF(Waste[[#This Row],[Month]]&lt;&gt;"",VLOOKUP(Waste[[#This Row],[Month]], dropdown!$S$4:$T$15, 2, FALSE),"")</f>
        <v>Q4</v>
      </c>
      <c r="L53" s="57" t="s">
        <v>367</v>
      </c>
      <c r="M53" s="29">
        <v>0</v>
      </c>
      <c r="N53" s="57"/>
      <c r="O53" s="195"/>
    </row>
    <row r="54" spans="9:15" x14ac:dyDescent="0.2">
      <c r="I54" s="194">
        <f t="shared" si="0"/>
        <v>47</v>
      </c>
      <c r="J54" s="58" t="s">
        <v>404</v>
      </c>
      <c r="K54" s="194" t="str">
        <f>IF(Waste[[#This Row],[Month]]&lt;&gt;"",VLOOKUP(Waste[[#This Row],[Month]], dropdown!$S$4:$T$15, 2, FALSE),"")</f>
        <v>Q4</v>
      </c>
      <c r="L54" s="57" t="s">
        <v>367</v>
      </c>
      <c r="M54" s="29">
        <v>0</v>
      </c>
      <c r="N54" s="57"/>
      <c r="O54" s="195"/>
    </row>
    <row r="55" spans="9:15" x14ac:dyDescent="0.2">
      <c r="I55" s="194">
        <f t="shared" si="0"/>
        <v>48</v>
      </c>
      <c r="J55" s="58" t="s">
        <v>407</v>
      </c>
      <c r="K55" s="194" t="str">
        <f>IF(Waste[[#This Row],[Month]]&lt;&gt;"",VLOOKUP(Waste[[#This Row],[Month]], dropdown!$S$4:$T$15, 2, FALSE),"")</f>
        <v>Q4</v>
      </c>
      <c r="L55" s="57" t="s">
        <v>367</v>
      </c>
      <c r="M55" s="29">
        <v>9000</v>
      </c>
      <c r="N55" s="57"/>
      <c r="O55" s="195"/>
    </row>
    <row r="56" spans="9:15" x14ac:dyDescent="0.2">
      <c r="I56" s="194">
        <f t="shared" si="0"/>
        <v>49</v>
      </c>
      <c r="J56" s="58" t="s">
        <v>338</v>
      </c>
      <c r="K56" s="194" t="str">
        <f>IF(Waste[[#This Row],[Month]]&lt;&gt;"",VLOOKUP(Waste[[#This Row],[Month]], dropdown!$S$4:$T$15, 2, FALSE),"")</f>
        <v>Q1</v>
      </c>
      <c r="L56" s="57" t="s">
        <v>317</v>
      </c>
      <c r="M56" s="29">
        <v>1077</v>
      </c>
      <c r="N56" s="57" t="s">
        <v>364</v>
      </c>
      <c r="O56" s="195" t="s">
        <v>1609</v>
      </c>
    </row>
    <row r="57" spans="9:15" x14ac:dyDescent="0.2">
      <c r="I57" s="194">
        <f t="shared" si="0"/>
        <v>50</v>
      </c>
      <c r="J57" s="58" t="s">
        <v>338</v>
      </c>
      <c r="K57" s="194" t="str">
        <f>IF(Waste[[#This Row],[Month]]&lt;&gt;"",VLOOKUP(Waste[[#This Row],[Month]], dropdown!$S$4:$T$15, 2, FALSE),"")</f>
        <v>Q1</v>
      </c>
      <c r="L57" s="57" t="s">
        <v>383</v>
      </c>
      <c r="M57" s="29">
        <v>450</v>
      </c>
      <c r="N57" s="57"/>
      <c r="O57" s="195"/>
    </row>
    <row r="58" spans="9:15" x14ac:dyDescent="0.2">
      <c r="I58" s="194">
        <f t="shared" si="0"/>
        <v>51</v>
      </c>
      <c r="J58" s="58" t="s">
        <v>89</v>
      </c>
      <c r="K58" s="194" t="str">
        <f>IF(Waste[[#This Row],[Month]]&lt;&gt;"",VLOOKUP(Waste[[#This Row],[Month]], dropdown!$S$4:$T$15, 2, FALSE),"")</f>
        <v>Q1</v>
      </c>
      <c r="L58" s="57" t="s">
        <v>383</v>
      </c>
      <c r="M58" s="29">
        <v>450</v>
      </c>
      <c r="N58" s="57"/>
      <c r="O58" s="195"/>
    </row>
    <row r="59" spans="9:15" x14ac:dyDescent="0.2">
      <c r="I59" s="194">
        <f t="shared" si="0"/>
        <v>52</v>
      </c>
      <c r="J59" s="58" t="s">
        <v>362</v>
      </c>
      <c r="K59" s="194" t="str">
        <f>IF(Waste[[#This Row],[Month]]&lt;&gt;"",VLOOKUP(Waste[[#This Row],[Month]], dropdown!$S$4:$T$15, 2, FALSE),"")</f>
        <v>Q1</v>
      </c>
      <c r="L59" s="57" t="s">
        <v>383</v>
      </c>
      <c r="M59" s="29">
        <v>450</v>
      </c>
      <c r="N59" s="57"/>
      <c r="O59" s="195"/>
    </row>
    <row r="60" spans="9:15" x14ac:dyDescent="0.2">
      <c r="I60" s="194">
        <f t="shared" si="0"/>
        <v>53</v>
      </c>
      <c r="J60" s="58" t="s">
        <v>371</v>
      </c>
      <c r="K60" s="194" t="str">
        <f>IF(Waste[[#This Row],[Month]]&lt;&gt;"",VLOOKUP(Waste[[#This Row],[Month]], dropdown!$S$4:$T$15, 2, FALSE),"")</f>
        <v>Q2</v>
      </c>
      <c r="L60" s="57" t="s">
        <v>383</v>
      </c>
      <c r="M60" s="29">
        <v>450</v>
      </c>
      <c r="N60" s="57"/>
      <c r="O60" s="195"/>
    </row>
    <row r="61" spans="9:15" x14ac:dyDescent="0.2">
      <c r="I61" s="194">
        <f t="shared" si="0"/>
        <v>54</v>
      </c>
      <c r="J61" s="58" t="s">
        <v>379</v>
      </c>
      <c r="K61" s="194" t="str">
        <f>IF(Waste[[#This Row],[Month]]&lt;&gt;"",VLOOKUP(Waste[[#This Row],[Month]], dropdown!$S$4:$T$15, 2, FALSE),"")</f>
        <v>Q2</v>
      </c>
      <c r="L61" s="57" t="s">
        <v>383</v>
      </c>
      <c r="M61" s="29">
        <v>450</v>
      </c>
      <c r="N61" s="57"/>
      <c r="O61" s="195"/>
    </row>
    <row r="62" spans="9:15" x14ac:dyDescent="0.2">
      <c r="I62" s="194">
        <f t="shared" si="0"/>
        <v>55</v>
      </c>
      <c r="J62" s="58" t="s">
        <v>386</v>
      </c>
      <c r="K62" s="194" t="str">
        <f>IF(Waste[[#This Row],[Month]]&lt;&gt;"",VLOOKUP(Waste[[#This Row],[Month]], dropdown!$S$4:$T$15, 2, FALSE),"")</f>
        <v>Q2</v>
      </c>
      <c r="L62" s="57" t="s">
        <v>383</v>
      </c>
      <c r="M62" s="29">
        <v>450</v>
      </c>
      <c r="N62" s="57"/>
      <c r="O62" s="195"/>
    </row>
    <row r="63" spans="9:15" x14ac:dyDescent="0.2">
      <c r="I63" s="194">
        <f t="shared" si="0"/>
        <v>56</v>
      </c>
      <c r="J63" s="58" t="s">
        <v>390</v>
      </c>
      <c r="K63" s="194" t="str">
        <f>IF(Waste[[#This Row],[Month]]&lt;&gt;"",VLOOKUP(Waste[[#This Row],[Month]], dropdown!$S$4:$T$15, 2, FALSE),"")</f>
        <v>Q3</v>
      </c>
      <c r="L63" s="57" t="s">
        <v>383</v>
      </c>
      <c r="M63" s="29">
        <v>450</v>
      </c>
      <c r="N63" s="57"/>
      <c r="O63" s="195"/>
    </row>
    <row r="64" spans="9:15" x14ac:dyDescent="0.2">
      <c r="I64" s="194">
        <f t="shared" si="0"/>
        <v>57</v>
      </c>
      <c r="J64" s="58" t="s">
        <v>41</v>
      </c>
      <c r="K64" s="194" t="str">
        <f>IF(Waste[[#This Row],[Month]]&lt;&gt;"",VLOOKUP(Waste[[#This Row],[Month]], dropdown!$S$4:$T$15, 2, FALSE),"")</f>
        <v>Q3</v>
      </c>
      <c r="L64" s="57" t="s">
        <v>383</v>
      </c>
      <c r="M64" s="29">
        <v>450</v>
      </c>
      <c r="N64" s="57"/>
      <c r="O64" s="195"/>
    </row>
    <row r="65" spans="9:15" x14ac:dyDescent="0.2">
      <c r="I65" s="194">
        <f t="shared" si="0"/>
        <v>58</v>
      </c>
      <c r="J65" s="58" t="s">
        <v>397</v>
      </c>
      <c r="K65" s="194" t="str">
        <f>IF(Waste[[#This Row],[Month]]&lt;&gt;"",VLOOKUP(Waste[[#This Row],[Month]], dropdown!$S$4:$T$15, 2, FALSE),"")</f>
        <v>Q3</v>
      </c>
      <c r="L65" s="57" t="s">
        <v>383</v>
      </c>
      <c r="M65" s="29">
        <v>450</v>
      </c>
      <c r="N65" s="57"/>
      <c r="O65" s="195"/>
    </row>
    <row r="66" spans="9:15" x14ac:dyDescent="0.2">
      <c r="I66" s="194">
        <f t="shared" si="0"/>
        <v>59</v>
      </c>
      <c r="J66" s="58" t="s">
        <v>400</v>
      </c>
      <c r="K66" s="194" t="str">
        <f>IF(Waste[[#This Row],[Month]]&lt;&gt;"",VLOOKUP(Waste[[#This Row],[Month]], dropdown!$S$4:$T$15, 2, FALSE),"")</f>
        <v>Q4</v>
      </c>
      <c r="L66" s="57" t="s">
        <v>383</v>
      </c>
      <c r="M66" s="29">
        <v>450</v>
      </c>
      <c r="N66" s="57"/>
      <c r="O66" s="195"/>
    </row>
    <row r="67" spans="9:15" x14ac:dyDescent="0.2">
      <c r="I67" s="194">
        <f t="shared" si="0"/>
        <v>60</v>
      </c>
      <c r="J67" s="58" t="s">
        <v>404</v>
      </c>
      <c r="K67" s="194" t="str">
        <f>IF(Waste[[#This Row],[Month]]&lt;&gt;"",VLOOKUP(Waste[[#This Row],[Month]], dropdown!$S$4:$T$15, 2, FALSE),"")</f>
        <v>Q4</v>
      </c>
      <c r="L67" s="57" t="s">
        <v>383</v>
      </c>
      <c r="M67" s="29">
        <v>450</v>
      </c>
      <c r="N67" s="57"/>
      <c r="O67" s="195"/>
    </row>
    <row r="68" spans="9:15" x14ac:dyDescent="0.2">
      <c r="I68" s="194">
        <f t="shared" si="0"/>
        <v>61</v>
      </c>
      <c r="J68" s="58" t="s">
        <v>407</v>
      </c>
      <c r="K68" s="194" t="str">
        <f>IF(Waste[[#This Row],[Month]]&lt;&gt;"",VLOOKUP(Waste[[#This Row],[Month]], dropdown!$S$4:$T$15, 2, FALSE),"")</f>
        <v>Q4</v>
      </c>
      <c r="L68" s="57" t="s">
        <v>383</v>
      </c>
      <c r="M68" s="29">
        <v>450</v>
      </c>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conditionalFormatting sqref="J8:J19">
    <cfRule type="expression" dxfId="5" priority="6">
      <formula>$J8="BEV"</formula>
    </cfRule>
  </conditionalFormatting>
  <conditionalFormatting sqref="J20:J31">
    <cfRule type="expression" dxfId="4" priority="5">
      <formula>$J20="BEV"</formula>
    </cfRule>
  </conditionalFormatting>
  <conditionalFormatting sqref="J32:J43">
    <cfRule type="expression" dxfId="3" priority="4">
      <formula>$J32="BEV"</formula>
    </cfRule>
  </conditionalFormatting>
  <conditionalFormatting sqref="J44:J55">
    <cfRule type="expression" dxfId="2" priority="3">
      <formula>$J44="BEV"</formula>
    </cfRule>
  </conditionalFormatting>
  <conditionalFormatting sqref="J56:J67">
    <cfRule type="expression" dxfId="1" priority="2">
      <formula>$J56="BEV"</formula>
    </cfRule>
  </conditionalFormatting>
  <conditionalFormatting sqref="J57:J79">
    <cfRule type="expression" dxfId="0" priority="1">
      <formula>$J57="BEV"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Butuan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2024</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954</v>
      </c>
      <c r="G13" s="73" t="str">
        <f>'1. Data Info and Summary'!$D18</f>
        <v>Liters</v>
      </c>
      <c r="I13" s="76">
        <f>VLOOKUP($E13,Emission_Factors!$A$1:$G$20,5,FALSE)</f>
        <v>2.68</v>
      </c>
      <c r="J13" s="141">
        <f>F13*I13</f>
        <v>2556.7200000000003</v>
      </c>
      <c r="L13" s="73" t="s">
        <v>155</v>
      </c>
      <c r="M13" s="78">
        <f>SUM('2.3a Electricity'!$D$12:$G$12)</f>
        <v>387030</v>
      </c>
      <c r="N13" s="73" t="str">
        <f>'2.3a Electricity'!$C$12</f>
        <v>Kilowatt-hour</v>
      </c>
      <c r="P13" s="76">
        <f>VLOOKUP($L13,Emission_Factors!$A$1:$G$20,5,FALSE)</f>
        <v>0.56000000000000005</v>
      </c>
      <c r="Q13" s="141">
        <f>M13*P13</f>
        <v>216736.80000000002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2556.7200000000003</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3464</v>
      </c>
      <c r="G22" s="73" t="str">
        <f>'1. Data Info and Summary'!$D26</f>
        <v>Liters</v>
      </c>
      <c r="I22" s="76">
        <f>VLOOKUP($E22,Emission_Factors!$A$1:$G$20,5,FALSE)</f>
        <v>2.68</v>
      </c>
      <c r="J22" s="141">
        <f>F22*I22</f>
        <v>9283.52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9283.52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5" width="6.6640625" bestFit="1" customWidth="1"/>
    <col min="6"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62.39</v>
      </c>
      <c r="D33" s="337">
        <v>58.94</v>
      </c>
      <c r="E33" s="337">
        <v>82.77</v>
      </c>
      <c r="F33" s="337">
        <v>41.11</v>
      </c>
      <c r="G33" s="337">
        <v>245.20999999999998</v>
      </c>
      <c r="I33" s="20"/>
      <c r="J33" s="20"/>
      <c r="K33" s="21"/>
      <c r="L33" s="21"/>
      <c r="M33" s="22"/>
      <c r="N33" s="22"/>
      <c r="O33" s="11"/>
      <c r="P33" s="22"/>
      <c r="Q33" s="20"/>
      <c r="R33" s="20"/>
      <c r="S33" s="44"/>
    </row>
    <row r="34" spans="1:19" outlineLevel="1" x14ac:dyDescent="0.2">
      <c r="A34" s="203" t="s">
        <v>63</v>
      </c>
      <c r="B34" s="337"/>
      <c r="C34" s="337">
        <v>62.39</v>
      </c>
      <c r="D34" s="337">
        <v>58.94</v>
      </c>
      <c r="E34" s="337">
        <v>82.77</v>
      </c>
      <c r="F34" s="337">
        <v>41.11</v>
      </c>
      <c r="G34" s="337">
        <v>245.20999999999998</v>
      </c>
      <c r="I34" s="20"/>
      <c r="J34" s="20"/>
      <c r="K34" s="21"/>
      <c r="L34" s="21"/>
      <c r="M34" s="22"/>
      <c r="N34" s="22"/>
      <c r="O34" s="11"/>
      <c r="P34" s="22"/>
      <c r="Q34" s="20"/>
      <c r="R34" s="20"/>
      <c r="S34" s="44"/>
    </row>
    <row r="35" spans="1:19" outlineLevel="1" x14ac:dyDescent="0.2">
      <c r="A35" s="19" t="s">
        <v>381</v>
      </c>
      <c r="B35" s="337"/>
      <c r="C35" s="337">
        <v>303.93</v>
      </c>
      <c r="D35" s="337">
        <v>334.9</v>
      </c>
      <c r="E35" s="337">
        <v>669.46</v>
      </c>
      <c r="F35" s="337">
        <v>542.05999999999995</v>
      </c>
      <c r="G35" s="337">
        <v>1850.35</v>
      </c>
      <c r="I35" s="20"/>
      <c r="J35" s="20"/>
      <c r="K35" s="21"/>
      <c r="L35" s="21"/>
      <c r="M35" s="22"/>
      <c r="N35" s="22"/>
      <c r="O35" s="11"/>
      <c r="P35" s="22"/>
      <c r="Q35" s="20"/>
      <c r="R35" s="20"/>
      <c r="S35" s="44"/>
    </row>
    <row r="36" spans="1:19" outlineLevel="1" x14ac:dyDescent="0.2">
      <c r="A36" s="203" t="s">
        <v>63</v>
      </c>
      <c r="B36" s="337"/>
      <c r="C36" s="337">
        <v>303.93</v>
      </c>
      <c r="D36" s="337">
        <v>334.9</v>
      </c>
      <c r="E36" s="337">
        <v>669.46</v>
      </c>
      <c r="F36" s="337">
        <v>542.05999999999995</v>
      </c>
      <c r="G36" s="337">
        <v>1850.35</v>
      </c>
      <c r="H36" s="12"/>
      <c r="I36" s="20"/>
      <c r="J36" s="20"/>
      <c r="K36" s="21"/>
      <c r="L36" s="21"/>
      <c r="M36" s="22"/>
      <c r="N36" s="22"/>
      <c r="O36" s="11"/>
      <c r="P36" s="22"/>
      <c r="Q36" s="20"/>
      <c r="R36" s="20"/>
      <c r="S36" s="44"/>
    </row>
    <row r="37" spans="1:19" outlineLevel="1" x14ac:dyDescent="0.2">
      <c r="A37" s="19" t="s">
        <v>374</v>
      </c>
      <c r="B37" s="337"/>
      <c r="C37" s="337">
        <v>333.04</v>
      </c>
      <c r="D37" s="337">
        <v>307.66999999999996</v>
      </c>
      <c r="E37" s="337">
        <v>206.72</v>
      </c>
      <c r="F37" s="337">
        <v>521.01</v>
      </c>
      <c r="G37" s="337">
        <v>1368.44</v>
      </c>
      <c r="H37" s="12"/>
      <c r="I37" s="20"/>
      <c r="J37" s="20"/>
      <c r="K37" s="21"/>
      <c r="L37" s="21"/>
      <c r="M37" s="22"/>
      <c r="N37" s="22"/>
      <c r="O37" s="11"/>
      <c r="P37" s="22"/>
      <c r="Q37" s="20"/>
      <c r="R37" s="20"/>
      <c r="S37" s="44"/>
    </row>
    <row r="38" spans="1:19" outlineLevel="1" x14ac:dyDescent="0.2">
      <c r="A38" s="203" t="s">
        <v>63</v>
      </c>
      <c r="B38" s="337"/>
      <c r="C38" s="337">
        <v>333.04</v>
      </c>
      <c r="D38" s="337">
        <v>307.66999999999996</v>
      </c>
      <c r="E38" s="337">
        <v>206.72</v>
      </c>
      <c r="F38" s="337">
        <v>521.01</v>
      </c>
      <c r="G38" s="337">
        <v>1368.44</v>
      </c>
      <c r="H38" s="12"/>
      <c r="I38" s="20"/>
      <c r="J38" s="20"/>
      <c r="K38" s="21"/>
      <c r="L38" s="21"/>
      <c r="M38" s="22"/>
      <c r="N38" s="22"/>
      <c r="O38" s="11"/>
      <c r="P38" s="22"/>
      <c r="Q38" s="20"/>
      <c r="R38" s="20"/>
      <c r="S38" s="44"/>
    </row>
    <row r="39" spans="1:19" outlineLevel="1" x14ac:dyDescent="0.2">
      <c r="A39" s="19" t="s">
        <v>297</v>
      </c>
      <c r="B39" s="337"/>
      <c r="C39" s="337">
        <v>699.36</v>
      </c>
      <c r="D39" s="337">
        <v>701.51</v>
      </c>
      <c r="E39" s="337">
        <v>958.95</v>
      </c>
      <c r="F39" s="337">
        <v>1104.1799999999998</v>
      </c>
      <c r="G39" s="337">
        <v>3464</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85"/>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45911.565324074072</v>
      </c>
      <c r="B927" t="s">
        <v>1431</v>
      </c>
      <c r="C927" t="s">
        <v>2</v>
      </c>
      <c r="D927" t="s">
        <v>1432</v>
      </c>
    </row>
    <row r="928" spans="1:5" x14ac:dyDescent="0.2">
      <c r="A928" s="269">
        <v>45911.565324074072</v>
      </c>
      <c r="B928" t="s">
        <v>1431</v>
      </c>
      <c r="C928" t="s">
        <v>2</v>
      </c>
      <c r="D928" t="s">
        <v>1432</v>
      </c>
    </row>
    <row r="929" spans="1:5" x14ac:dyDescent="0.2">
      <c r="A929" s="269">
        <v>45911.565370370372</v>
      </c>
      <c r="B929" t="s">
        <v>1431</v>
      </c>
      <c r="C929" t="s">
        <v>2</v>
      </c>
      <c r="D929" t="s">
        <v>1432</v>
      </c>
      <c r="E929" t="s">
        <v>359</v>
      </c>
    </row>
    <row r="930" spans="1:5" x14ac:dyDescent="0.2">
      <c r="A930" s="269">
        <v>45911.565405092595</v>
      </c>
      <c r="B930" t="s">
        <v>1431</v>
      </c>
      <c r="C930" t="s">
        <v>2</v>
      </c>
      <c r="D930" t="s">
        <v>1433</v>
      </c>
      <c r="E930">
        <v>2024</v>
      </c>
    </row>
    <row r="931" spans="1:5" x14ac:dyDescent="0.2">
      <c r="A931" s="269">
        <v>45911.566180555557</v>
      </c>
      <c r="B931" t="s">
        <v>1431</v>
      </c>
      <c r="C931" t="s">
        <v>27</v>
      </c>
      <c r="D931" t="s">
        <v>946</v>
      </c>
      <c r="E931" t="s">
        <v>298</v>
      </c>
    </row>
    <row r="932" spans="1:5" x14ac:dyDescent="0.2">
      <c r="A932" s="269">
        <v>45911.566238425927</v>
      </c>
      <c r="B932" t="s">
        <v>1431</v>
      </c>
      <c r="C932" t="s">
        <v>27</v>
      </c>
      <c r="D932" t="s">
        <v>950</v>
      </c>
      <c r="E932" t="s">
        <v>338</v>
      </c>
    </row>
    <row r="933" spans="1:5" x14ac:dyDescent="0.2">
      <c r="A933" s="269">
        <v>45911.56627314815</v>
      </c>
      <c r="B933" t="s">
        <v>1431</v>
      </c>
      <c r="C933" t="s">
        <v>27</v>
      </c>
      <c r="D933" t="s">
        <v>1434</v>
      </c>
      <c r="E933" t="s">
        <v>89</v>
      </c>
    </row>
    <row r="934" spans="1:5" x14ac:dyDescent="0.2">
      <c r="A934" s="269">
        <v>45911.566319444442</v>
      </c>
      <c r="B934" t="s">
        <v>1431</v>
      </c>
      <c r="C934" t="s">
        <v>27</v>
      </c>
      <c r="D934" t="s">
        <v>1010</v>
      </c>
      <c r="E934" t="s">
        <v>362</v>
      </c>
    </row>
    <row r="935" spans="1:5" x14ac:dyDescent="0.2">
      <c r="A935" s="269">
        <v>45911.566354166665</v>
      </c>
      <c r="B935" t="s">
        <v>1431</v>
      </c>
      <c r="C935" t="s">
        <v>27</v>
      </c>
      <c r="D935" t="s">
        <v>1435</v>
      </c>
      <c r="E935" t="s">
        <v>37</v>
      </c>
    </row>
    <row r="936" spans="1:5" x14ac:dyDescent="0.2">
      <c r="A936" s="269">
        <v>45911.566412037035</v>
      </c>
      <c r="B936" t="s">
        <v>1431</v>
      </c>
      <c r="C936" t="s">
        <v>27</v>
      </c>
      <c r="D936" t="s">
        <v>946</v>
      </c>
      <c r="E936" t="s">
        <v>37</v>
      </c>
    </row>
    <row r="937" spans="1:5" x14ac:dyDescent="0.2">
      <c r="A937" s="269">
        <v>45911.566435185188</v>
      </c>
      <c r="B937" t="s">
        <v>1431</v>
      </c>
      <c r="C937" t="s">
        <v>27</v>
      </c>
      <c r="D937" t="s">
        <v>1191</v>
      </c>
      <c r="E937" t="s">
        <v>37</v>
      </c>
    </row>
    <row r="938" spans="1:5" x14ac:dyDescent="0.2">
      <c r="A938" s="269">
        <v>45911.566446759258</v>
      </c>
      <c r="B938" t="s">
        <v>1431</v>
      </c>
      <c r="C938" t="s">
        <v>27</v>
      </c>
      <c r="D938" t="s">
        <v>1191</v>
      </c>
      <c r="E938" t="s">
        <v>37</v>
      </c>
    </row>
    <row r="939" spans="1:5" x14ac:dyDescent="0.2">
      <c r="A939" s="269">
        <v>45911.566481481481</v>
      </c>
      <c r="B939" t="s">
        <v>1431</v>
      </c>
      <c r="C939" t="s">
        <v>27</v>
      </c>
      <c r="D939" t="s">
        <v>795</v>
      </c>
      <c r="E939" t="s">
        <v>37</v>
      </c>
    </row>
    <row r="940" spans="1:5" x14ac:dyDescent="0.2">
      <c r="A940" s="269">
        <v>45911.566504629627</v>
      </c>
      <c r="B940" t="s">
        <v>1431</v>
      </c>
      <c r="C940" t="s">
        <v>27</v>
      </c>
      <c r="D940" t="s">
        <v>1013</v>
      </c>
      <c r="E940" t="s">
        <v>37</v>
      </c>
    </row>
    <row r="941" spans="1:5" x14ac:dyDescent="0.2">
      <c r="A941" s="269">
        <v>45911.567766203705</v>
      </c>
      <c r="B941" t="s">
        <v>1431</v>
      </c>
      <c r="C941" t="s">
        <v>27</v>
      </c>
      <c r="D941" t="s">
        <v>777</v>
      </c>
      <c r="E941">
        <v>84</v>
      </c>
    </row>
    <row r="942" spans="1:5" x14ac:dyDescent="0.2">
      <c r="A942" s="269">
        <v>45911.567789351851</v>
      </c>
      <c r="B942" t="s">
        <v>1431</v>
      </c>
      <c r="C942" t="s">
        <v>27</v>
      </c>
      <c r="D942" t="s">
        <v>1436</v>
      </c>
      <c r="E942">
        <v>84</v>
      </c>
    </row>
    <row r="943" spans="1:5" x14ac:dyDescent="0.2">
      <c r="A943" s="269">
        <v>45911.567789351851</v>
      </c>
      <c r="B943" t="s">
        <v>1431</v>
      </c>
      <c r="C943" t="s">
        <v>27</v>
      </c>
      <c r="D943" t="s">
        <v>973</v>
      </c>
      <c r="E943">
        <v>85</v>
      </c>
    </row>
    <row r="944" spans="1:5" x14ac:dyDescent="0.2">
      <c r="A944" s="269">
        <v>45911.56790509259</v>
      </c>
      <c r="B944" t="s">
        <v>1431</v>
      </c>
      <c r="C944" t="s">
        <v>27</v>
      </c>
      <c r="D944" t="s">
        <v>995</v>
      </c>
      <c r="E944" t="s">
        <v>371</v>
      </c>
    </row>
    <row r="945" spans="1:5" x14ac:dyDescent="0.2">
      <c r="A945" s="269">
        <v>45911.567962962959</v>
      </c>
      <c r="B945" t="s">
        <v>1431</v>
      </c>
      <c r="C945" t="s">
        <v>27</v>
      </c>
      <c r="D945" t="s">
        <v>1014</v>
      </c>
      <c r="E945" t="s">
        <v>379</v>
      </c>
    </row>
    <row r="946" spans="1:5" x14ac:dyDescent="0.2">
      <c r="A946" s="269">
        <v>45911.567974537036</v>
      </c>
      <c r="B946" t="s">
        <v>1431</v>
      </c>
      <c r="C946" t="s">
        <v>27</v>
      </c>
      <c r="D946" t="s">
        <v>1014</v>
      </c>
      <c r="E946" t="s">
        <v>379</v>
      </c>
    </row>
    <row r="947" spans="1:5" x14ac:dyDescent="0.2">
      <c r="A947" s="269">
        <v>45911.567997685182</v>
      </c>
      <c r="B947" t="s">
        <v>1431</v>
      </c>
      <c r="C947" t="s">
        <v>27</v>
      </c>
      <c r="D947" t="s">
        <v>1017</v>
      </c>
      <c r="E947" t="s">
        <v>390</v>
      </c>
    </row>
    <row r="948" spans="1:5" x14ac:dyDescent="0.2">
      <c r="A948" s="269">
        <v>45911.568043981482</v>
      </c>
      <c r="B948" t="s">
        <v>1431</v>
      </c>
      <c r="C948" t="s">
        <v>27</v>
      </c>
      <c r="D948" t="s">
        <v>1017</v>
      </c>
      <c r="E948" t="s">
        <v>386</v>
      </c>
    </row>
    <row r="949" spans="1:5" x14ac:dyDescent="0.2">
      <c r="A949" s="269">
        <v>45911.568078703705</v>
      </c>
      <c r="B949" t="s">
        <v>1431</v>
      </c>
      <c r="C949" t="s">
        <v>27</v>
      </c>
      <c r="D949" t="s">
        <v>1437</v>
      </c>
      <c r="E949" t="s">
        <v>390</v>
      </c>
    </row>
    <row r="950" spans="1:5" x14ac:dyDescent="0.2">
      <c r="A950" s="269">
        <v>45911.568113425928</v>
      </c>
      <c r="B950" t="s">
        <v>1431</v>
      </c>
      <c r="C950" t="s">
        <v>27</v>
      </c>
      <c r="D950" t="s">
        <v>1438</v>
      </c>
      <c r="E950" t="s">
        <v>41</v>
      </c>
    </row>
    <row r="951" spans="1:5" x14ac:dyDescent="0.2">
      <c r="A951" s="269">
        <v>45911.568124999998</v>
      </c>
      <c r="B951" t="s">
        <v>1431</v>
      </c>
      <c r="C951" t="s">
        <v>27</v>
      </c>
      <c r="D951" t="s">
        <v>1438</v>
      </c>
      <c r="E951" t="s">
        <v>379</v>
      </c>
    </row>
    <row r="952" spans="1:5" x14ac:dyDescent="0.2">
      <c r="A952" s="269">
        <v>45911.568159722221</v>
      </c>
      <c r="B952" t="s">
        <v>1431</v>
      </c>
      <c r="C952" t="s">
        <v>27</v>
      </c>
      <c r="D952" t="s">
        <v>1438</v>
      </c>
      <c r="E952" t="s">
        <v>41</v>
      </c>
    </row>
    <row r="953" spans="1:5" x14ac:dyDescent="0.2">
      <c r="A953" s="269">
        <v>45911.56821759259</v>
      </c>
      <c r="B953" t="s">
        <v>1431</v>
      </c>
      <c r="C953" t="s">
        <v>27</v>
      </c>
      <c r="D953" t="s">
        <v>1439</v>
      </c>
      <c r="E953" t="s">
        <v>397</v>
      </c>
    </row>
    <row r="954" spans="1:5" x14ac:dyDescent="0.2">
      <c r="A954" s="269">
        <v>45911.568252314813</v>
      </c>
      <c r="B954" t="s">
        <v>1431</v>
      </c>
      <c r="C954" t="s">
        <v>27</v>
      </c>
      <c r="D954" t="s">
        <v>1440</v>
      </c>
      <c r="E954" t="s">
        <v>400</v>
      </c>
    </row>
    <row r="955" spans="1:5" x14ac:dyDescent="0.2">
      <c r="A955" s="269">
        <v>45911.56826388889</v>
      </c>
      <c r="B955" t="s">
        <v>1431</v>
      </c>
      <c r="C955" t="s">
        <v>27</v>
      </c>
      <c r="D955" t="s">
        <v>1440</v>
      </c>
      <c r="E955" t="s">
        <v>379</v>
      </c>
    </row>
    <row r="956" spans="1:5" x14ac:dyDescent="0.2">
      <c r="A956" s="269">
        <v>45911.56826388889</v>
      </c>
      <c r="B956" t="s">
        <v>1431</v>
      </c>
      <c r="C956" t="s">
        <v>27</v>
      </c>
      <c r="D956" t="s">
        <v>1440</v>
      </c>
      <c r="E956" t="s">
        <v>379</v>
      </c>
    </row>
    <row r="957" spans="1:5" x14ac:dyDescent="0.2">
      <c r="A957" s="269">
        <v>45911.568298611113</v>
      </c>
      <c r="B957" t="s">
        <v>1431</v>
      </c>
      <c r="C957" t="s">
        <v>27</v>
      </c>
      <c r="D957" t="s">
        <v>1440</v>
      </c>
      <c r="E957" t="s">
        <v>400</v>
      </c>
    </row>
    <row r="958" spans="1:5" x14ac:dyDescent="0.2">
      <c r="A958" s="269">
        <v>45911.568344907406</v>
      </c>
      <c r="B958" t="s">
        <v>1431</v>
      </c>
      <c r="C958" t="s">
        <v>27</v>
      </c>
      <c r="D958" t="s">
        <v>1441</v>
      </c>
      <c r="E958" t="s">
        <v>404</v>
      </c>
    </row>
    <row r="959" spans="1:5" x14ac:dyDescent="0.2">
      <c r="A959" s="269">
        <v>45911.568391203706</v>
      </c>
      <c r="B959" t="s">
        <v>1431</v>
      </c>
      <c r="C959" t="s">
        <v>27</v>
      </c>
      <c r="D959" t="s">
        <v>1442</v>
      </c>
      <c r="E959" t="s">
        <v>407</v>
      </c>
    </row>
    <row r="960" spans="1:5" x14ac:dyDescent="0.2">
      <c r="A960" s="269">
        <v>45911.568449074075</v>
      </c>
      <c r="B960" t="s">
        <v>1431</v>
      </c>
      <c r="C960" t="s">
        <v>27</v>
      </c>
      <c r="D960" t="s">
        <v>747</v>
      </c>
      <c r="E960" t="s">
        <v>37</v>
      </c>
    </row>
    <row r="961" spans="1:5" x14ac:dyDescent="0.2">
      <c r="A961" s="269">
        <v>45911.568460648145</v>
      </c>
      <c r="B961" t="s">
        <v>1431</v>
      </c>
      <c r="C961" t="s">
        <v>27</v>
      </c>
      <c r="D961" t="s">
        <v>1443</v>
      </c>
      <c r="E961" t="s">
        <v>37</v>
      </c>
    </row>
    <row r="962" spans="1:5" x14ac:dyDescent="0.2">
      <c r="A962" s="269">
        <v>45911.568553240744</v>
      </c>
      <c r="B962" t="s">
        <v>1431</v>
      </c>
      <c r="C962" t="s">
        <v>27</v>
      </c>
      <c r="D962" t="s">
        <v>1444</v>
      </c>
      <c r="E962" t="s">
        <v>37</v>
      </c>
    </row>
    <row r="963" spans="1:5" x14ac:dyDescent="0.2">
      <c r="A963" s="269">
        <v>45911.568576388891</v>
      </c>
      <c r="B963" t="s">
        <v>1431</v>
      </c>
      <c r="C963" t="s">
        <v>27</v>
      </c>
      <c r="D963" t="s">
        <v>1445</v>
      </c>
      <c r="E963" t="s">
        <v>37</v>
      </c>
    </row>
    <row r="964" spans="1:5" x14ac:dyDescent="0.2">
      <c r="A964" s="269">
        <v>45911.568599537037</v>
      </c>
      <c r="B964" t="s">
        <v>1431</v>
      </c>
      <c r="C964" t="s">
        <v>27</v>
      </c>
      <c r="D964" t="s">
        <v>672</v>
      </c>
      <c r="E964" t="s">
        <v>37</v>
      </c>
    </row>
    <row r="965" spans="1:5" x14ac:dyDescent="0.2">
      <c r="A965" s="269">
        <v>45911.568622685183</v>
      </c>
      <c r="B965" t="s">
        <v>1431</v>
      </c>
      <c r="C965" t="s">
        <v>27</v>
      </c>
      <c r="D965" t="s">
        <v>674</v>
      </c>
      <c r="E965" t="s">
        <v>37</v>
      </c>
    </row>
    <row r="966" spans="1:5" x14ac:dyDescent="0.2">
      <c r="A966" s="269">
        <v>45911.568645833337</v>
      </c>
      <c r="B966" t="s">
        <v>1431</v>
      </c>
      <c r="C966" t="s">
        <v>27</v>
      </c>
      <c r="D966" t="s">
        <v>675</v>
      </c>
      <c r="E966" t="s">
        <v>37</v>
      </c>
    </row>
    <row r="967" spans="1:5" x14ac:dyDescent="0.2">
      <c r="A967" s="269">
        <v>45911.569120370368</v>
      </c>
      <c r="B967" t="s">
        <v>1431</v>
      </c>
      <c r="C967" t="s">
        <v>27</v>
      </c>
      <c r="D967" t="s">
        <v>976</v>
      </c>
      <c r="E967">
        <v>64</v>
      </c>
    </row>
    <row r="968" spans="1:5" x14ac:dyDescent="0.2">
      <c r="A968" s="269">
        <v>45911.569131944445</v>
      </c>
      <c r="B968" t="s">
        <v>1431</v>
      </c>
      <c r="C968" t="s">
        <v>27</v>
      </c>
      <c r="D968" t="s">
        <v>977</v>
      </c>
      <c r="E968">
        <v>64</v>
      </c>
    </row>
    <row r="969" spans="1:5" x14ac:dyDescent="0.2">
      <c r="A969" s="269">
        <v>45911.569201388891</v>
      </c>
      <c r="B969" t="s">
        <v>1431</v>
      </c>
      <c r="C969" t="s">
        <v>27</v>
      </c>
      <c r="D969" t="s">
        <v>923</v>
      </c>
      <c r="E969">
        <v>65</v>
      </c>
    </row>
    <row r="970" spans="1:5" x14ac:dyDescent="0.2">
      <c r="A970" s="269">
        <v>45911.569756944446</v>
      </c>
      <c r="B970" t="s">
        <v>1431</v>
      </c>
      <c r="C970" t="s">
        <v>27</v>
      </c>
      <c r="D970" t="s">
        <v>918</v>
      </c>
      <c r="E970">
        <v>116</v>
      </c>
    </row>
    <row r="971" spans="1:5" x14ac:dyDescent="0.2">
      <c r="A971" s="269">
        <v>45911.569768518515</v>
      </c>
      <c r="B971" t="s">
        <v>1431</v>
      </c>
      <c r="C971" t="s">
        <v>27</v>
      </c>
      <c r="D971" t="s">
        <v>924</v>
      </c>
      <c r="E971">
        <v>116</v>
      </c>
    </row>
    <row r="972" spans="1:5" x14ac:dyDescent="0.2">
      <c r="A972" s="269">
        <v>45911.569780092592</v>
      </c>
      <c r="B972" t="s">
        <v>1431</v>
      </c>
      <c r="C972" t="s">
        <v>27</v>
      </c>
      <c r="D972" t="s">
        <v>1446</v>
      </c>
      <c r="E972">
        <v>118</v>
      </c>
    </row>
    <row r="973" spans="1:5" x14ac:dyDescent="0.2">
      <c r="A973" s="269">
        <v>45911.570555555554</v>
      </c>
      <c r="B973" t="s">
        <v>1431</v>
      </c>
      <c r="C973" t="s">
        <v>27</v>
      </c>
      <c r="D973" t="s">
        <v>981</v>
      </c>
      <c r="E973">
        <v>52</v>
      </c>
    </row>
    <row r="974" spans="1:5" x14ac:dyDescent="0.2">
      <c r="A974" s="269">
        <v>45911.5705787037</v>
      </c>
      <c r="B974" t="s">
        <v>1431</v>
      </c>
      <c r="C974" t="s">
        <v>27</v>
      </c>
      <c r="D974" t="s">
        <v>1447</v>
      </c>
      <c r="E974">
        <v>53</v>
      </c>
    </row>
    <row r="975" spans="1:5" x14ac:dyDescent="0.2">
      <c r="A975" s="269">
        <v>45911.570590277777</v>
      </c>
      <c r="B975" t="s">
        <v>1431</v>
      </c>
      <c r="C975" t="s">
        <v>27</v>
      </c>
      <c r="D975" t="s">
        <v>1448</v>
      </c>
      <c r="E975">
        <v>54</v>
      </c>
    </row>
    <row r="976" spans="1:5" x14ac:dyDescent="0.2">
      <c r="A976" s="269">
        <v>45911.570763888885</v>
      </c>
      <c r="B976" t="s">
        <v>1431</v>
      </c>
      <c r="C976" t="s">
        <v>27</v>
      </c>
      <c r="D976" t="s">
        <v>981</v>
      </c>
      <c r="E976">
        <v>53</v>
      </c>
    </row>
    <row r="977" spans="1:5" x14ac:dyDescent="0.2">
      <c r="A977" s="269">
        <v>45911.570821759262</v>
      </c>
      <c r="B977" t="s">
        <v>1431</v>
      </c>
      <c r="C977" t="s">
        <v>27</v>
      </c>
      <c r="D977" t="s">
        <v>1448</v>
      </c>
      <c r="E977">
        <v>53</v>
      </c>
    </row>
    <row r="978" spans="1:5" x14ac:dyDescent="0.2">
      <c r="A978" s="269">
        <v>45911.570868055554</v>
      </c>
      <c r="B978" t="s">
        <v>1431</v>
      </c>
      <c r="C978" t="s">
        <v>27</v>
      </c>
      <c r="D978" t="s">
        <v>981</v>
      </c>
      <c r="E978">
        <v>52</v>
      </c>
    </row>
    <row r="979" spans="1:5" x14ac:dyDescent="0.2">
      <c r="A979" s="269">
        <v>45911.572094907409</v>
      </c>
      <c r="B979" t="s">
        <v>1431</v>
      </c>
      <c r="C979" t="s">
        <v>27</v>
      </c>
      <c r="D979" t="s">
        <v>1450</v>
      </c>
      <c r="E979" t="s">
        <v>1449</v>
      </c>
    </row>
    <row r="980" spans="1:5" x14ac:dyDescent="0.2">
      <c r="A980" s="269">
        <v>45911.572175925925</v>
      </c>
      <c r="B980" t="s">
        <v>1431</v>
      </c>
      <c r="C980" t="s">
        <v>27</v>
      </c>
      <c r="D980" t="s">
        <v>1451</v>
      </c>
      <c r="E980" s="442">
        <v>45912</v>
      </c>
    </row>
    <row r="981" spans="1:5" x14ac:dyDescent="0.2">
      <c r="A981" s="269">
        <v>45911.572326388887</v>
      </c>
      <c r="B981" t="s">
        <v>1431</v>
      </c>
      <c r="C981" t="s">
        <v>58</v>
      </c>
      <c r="D981" t="s">
        <v>1450</v>
      </c>
      <c r="E981" t="s">
        <v>1449</v>
      </c>
    </row>
    <row r="982" spans="1:5" x14ac:dyDescent="0.2">
      <c r="A982" s="269">
        <v>45911.572430555556</v>
      </c>
      <c r="B982" t="s">
        <v>1431</v>
      </c>
      <c r="C982" t="s">
        <v>58</v>
      </c>
      <c r="D982" t="s">
        <v>1451</v>
      </c>
      <c r="E982" s="442">
        <v>45912</v>
      </c>
    </row>
    <row r="983" spans="1:5" x14ac:dyDescent="0.2">
      <c r="A983" s="269">
        <v>45911.581400462965</v>
      </c>
      <c r="B983" t="s">
        <v>1431</v>
      </c>
      <c r="C983" t="s">
        <v>58</v>
      </c>
      <c r="D983" t="s">
        <v>946</v>
      </c>
      <c r="E983" t="s">
        <v>343</v>
      </c>
    </row>
    <row r="984" spans="1:5" x14ac:dyDescent="0.2">
      <c r="A984" s="269">
        <v>45911.581423611111</v>
      </c>
      <c r="B984" t="s">
        <v>1431</v>
      </c>
      <c r="C984" t="s">
        <v>58</v>
      </c>
      <c r="D984" t="s">
        <v>1435</v>
      </c>
      <c r="E984" t="s">
        <v>343</v>
      </c>
    </row>
    <row r="985" spans="1:5" x14ac:dyDescent="0.2">
      <c r="A985" s="269">
        <v>45911.581944444442</v>
      </c>
      <c r="B985" t="s">
        <v>1431</v>
      </c>
      <c r="C985" t="s">
        <v>58</v>
      </c>
      <c r="D985" t="s">
        <v>1191</v>
      </c>
      <c r="E985" t="s">
        <v>381</v>
      </c>
    </row>
    <row r="986" spans="1:5" x14ac:dyDescent="0.2">
      <c r="A986" s="269">
        <v>45911.581979166665</v>
      </c>
      <c r="B986" t="s">
        <v>1431</v>
      </c>
      <c r="C986" t="s">
        <v>58</v>
      </c>
      <c r="D986" t="s">
        <v>795</v>
      </c>
      <c r="E986" t="s">
        <v>381</v>
      </c>
    </row>
    <row r="987" spans="1:5" x14ac:dyDescent="0.2">
      <c r="A987" s="269">
        <v>45911.582037037035</v>
      </c>
      <c r="B987" t="s">
        <v>1431</v>
      </c>
      <c r="C987" t="s">
        <v>58</v>
      </c>
      <c r="D987" t="s">
        <v>1013</v>
      </c>
      <c r="E987" t="s">
        <v>374</v>
      </c>
    </row>
    <row r="988" spans="1:5" x14ac:dyDescent="0.2">
      <c r="A988" s="269">
        <v>45911.582152777781</v>
      </c>
      <c r="B988" t="s">
        <v>1431</v>
      </c>
      <c r="C988" t="s">
        <v>58</v>
      </c>
      <c r="D988" t="s">
        <v>950</v>
      </c>
      <c r="E988" t="s">
        <v>63</v>
      </c>
    </row>
    <row r="989" spans="1:5" x14ac:dyDescent="0.2">
      <c r="A989" s="269">
        <v>45911.582175925927</v>
      </c>
      <c r="B989" t="s">
        <v>1431</v>
      </c>
      <c r="C989" t="s">
        <v>58</v>
      </c>
      <c r="D989" t="s">
        <v>1434</v>
      </c>
      <c r="E989" t="s">
        <v>411</v>
      </c>
    </row>
    <row r="990" spans="1:5" x14ac:dyDescent="0.2">
      <c r="A990" s="269">
        <v>45911.582187499997</v>
      </c>
      <c r="B990" t="s">
        <v>1431</v>
      </c>
      <c r="C990" t="s">
        <v>58</v>
      </c>
      <c r="D990" t="s">
        <v>1434</v>
      </c>
      <c r="E990" t="s">
        <v>63</v>
      </c>
    </row>
    <row r="991" spans="1:5" x14ac:dyDescent="0.2">
      <c r="A991" s="269">
        <v>45911.582199074073</v>
      </c>
      <c r="B991" t="s">
        <v>1431</v>
      </c>
      <c r="C991" t="s">
        <v>58</v>
      </c>
      <c r="D991" t="s">
        <v>1434</v>
      </c>
      <c r="E991" t="s">
        <v>63</v>
      </c>
    </row>
    <row r="992" spans="1:5" x14ac:dyDescent="0.2">
      <c r="A992" s="269">
        <v>45911.58221064815</v>
      </c>
      <c r="B992" t="s">
        <v>1431</v>
      </c>
      <c r="C992" t="s">
        <v>58</v>
      </c>
      <c r="D992" t="s">
        <v>1434</v>
      </c>
      <c r="E992" t="s">
        <v>63</v>
      </c>
    </row>
    <row r="993" spans="1:5" x14ac:dyDescent="0.2">
      <c r="A993" s="269">
        <v>45911.582233796296</v>
      </c>
      <c r="B993" t="s">
        <v>1431</v>
      </c>
      <c r="C993" t="s">
        <v>58</v>
      </c>
      <c r="D993" t="s">
        <v>1010</v>
      </c>
      <c r="E993" t="s">
        <v>63</v>
      </c>
    </row>
    <row r="994" spans="1:5" x14ac:dyDescent="0.2">
      <c r="A994" s="269">
        <v>45911.582256944443</v>
      </c>
      <c r="B994" t="s">
        <v>1431</v>
      </c>
      <c r="C994" t="s">
        <v>58</v>
      </c>
      <c r="D994" t="s">
        <v>995</v>
      </c>
      <c r="E994" t="s">
        <v>63</v>
      </c>
    </row>
    <row r="995" spans="1:5" x14ac:dyDescent="0.2">
      <c r="A995" s="269">
        <v>45911.582291666666</v>
      </c>
      <c r="B995" t="s">
        <v>1431</v>
      </c>
      <c r="C995" t="s">
        <v>58</v>
      </c>
      <c r="D995" t="s">
        <v>1014</v>
      </c>
      <c r="E995" t="s">
        <v>63</v>
      </c>
    </row>
    <row r="996" spans="1:5" x14ac:dyDescent="0.2">
      <c r="A996" s="269">
        <v>45911.583194444444</v>
      </c>
      <c r="B996" t="s">
        <v>1431</v>
      </c>
      <c r="C996" t="s">
        <v>58</v>
      </c>
      <c r="D996" t="s">
        <v>1443</v>
      </c>
      <c r="E996" t="s">
        <v>343</v>
      </c>
    </row>
    <row r="997" spans="1:5" x14ac:dyDescent="0.2">
      <c r="A997" s="269">
        <v>45911.583229166667</v>
      </c>
      <c r="B997" t="s">
        <v>1431</v>
      </c>
      <c r="C997" t="s">
        <v>58</v>
      </c>
      <c r="D997" t="s">
        <v>1444</v>
      </c>
      <c r="E997" t="s">
        <v>354</v>
      </c>
    </row>
    <row r="998" spans="1:5" x14ac:dyDescent="0.2">
      <c r="A998" s="269">
        <v>45911.583298611113</v>
      </c>
      <c r="B998" t="s">
        <v>1431</v>
      </c>
      <c r="C998" t="s">
        <v>58</v>
      </c>
      <c r="D998" t="s">
        <v>1444</v>
      </c>
      <c r="E998" t="s">
        <v>343</v>
      </c>
    </row>
    <row r="999" spans="1:5" x14ac:dyDescent="0.2">
      <c r="A999" s="269">
        <v>45911.583333333336</v>
      </c>
      <c r="B999" t="s">
        <v>1431</v>
      </c>
      <c r="C999" t="s">
        <v>58</v>
      </c>
      <c r="D999" t="s">
        <v>1445</v>
      </c>
      <c r="E999" t="s">
        <v>381</v>
      </c>
    </row>
    <row r="1000" spans="1:5" x14ac:dyDescent="0.2">
      <c r="A1000" s="269">
        <v>45911.583368055559</v>
      </c>
      <c r="B1000" t="s">
        <v>1431</v>
      </c>
      <c r="C1000" t="s">
        <v>58</v>
      </c>
      <c r="D1000" t="s">
        <v>672</v>
      </c>
      <c r="E1000" t="s">
        <v>387</v>
      </c>
    </row>
    <row r="1001" spans="1:5" x14ac:dyDescent="0.2">
      <c r="A1001" s="269">
        <v>45911.583391203705</v>
      </c>
      <c r="B1001" t="s">
        <v>1431</v>
      </c>
      <c r="C1001" t="s">
        <v>58</v>
      </c>
      <c r="D1001" t="s">
        <v>672</v>
      </c>
      <c r="E1001" t="s">
        <v>381</v>
      </c>
    </row>
    <row r="1002" spans="1:5" x14ac:dyDescent="0.2">
      <c r="A1002" s="269">
        <v>45911.583425925928</v>
      </c>
      <c r="B1002" t="s">
        <v>1431</v>
      </c>
      <c r="C1002" t="s">
        <v>58</v>
      </c>
      <c r="D1002" t="s">
        <v>674</v>
      </c>
      <c r="E1002" t="s">
        <v>374</v>
      </c>
    </row>
    <row r="1003" spans="1:5" x14ac:dyDescent="0.2">
      <c r="A1003" s="269">
        <v>45911.58353009259</v>
      </c>
      <c r="B1003" t="s">
        <v>1431</v>
      </c>
      <c r="C1003" t="s">
        <v>58</v>
      </c>
      <c r="D1003" t="s">
        <v>1437</v>
      </c>
      <c r="E1003" t="s">
        <v>63</v>
      </c>
    </row>
    <row r="1004" spans="1:5" x14ac:dyDescent="0.2">
      <c r="A1004" s="269">
        <v>45911.583553240744</v>
      </c>
      <c r="B1004" t="s">
        <v>1431</v>
      </c>
      <c r="C1004" t="s">
        <v>58</v>
      </c>
      <c r="D1004" t="s">
        <v>1438</v>
      </c>
      <c r="E1004" t="s">
        <v>63</v>
      </c>
    </row>
    <row r="1005" spans="1:5" x14ac:dyDescent="0.2">
      <c r="A1005" s="269">
        <v>45911.58357638889</v>
      </c>
      <c r="B1005" t="s">
        <v>1431</v>
      </c>
      <c r="C1005" t="s">
        <v>58</v>
      </c>
      <c r="D1005" t="s">
        <v>1439</v>
      </c>
      <c r="E1005" t="s">
        <v>63</v>
      </c>
    </row>
    <row r="1006" spans="1:5" x14ac:dyDescent="0.2">
      <c r="A1006" s="269">
        <v>45911.583611111113</v>
      </c>
      <c r="B1006" t="s">
        <v>1431</v>
      </c>
      <c r="C1006" t="s">
        <v>58</v>
      </c>
      <c r="D1006" t="s">
        <v>1440</v>
      </c>
      <c r="E1006" t="s">
        <v>63</v>
      </c>
    </row>
    <row r="1007" spans="1:5" x14ac:dyDescent="0.2">
      <c r="A1007" s="269">
        <v>45911.583622685182</v>
      </c>
      <c r="B1007" t="s">
        <v>1431</v>
      </c>
      <c r="C1007" t="s">
        <v>58</v>
      </c>
      <c r="D1007" t="s">
        <v>1441</v>
      </c>
      <c r="E1007" t="s">
        <v>63</v>
      </c>
    </row>
    <row r="1008" spans="1:5" x14ac:dyDescent="0.2">
      <c r="A1008" s="269">
        <v>45911.583680555559</v>
      </c>
      <c r="B1008" t="s">
        <v>1431</v>
      </c>
      <c r="C1008" t="s">
        <v>58</v>
      </c>
      <c r="D1008" t="s">
        <v>951</v>
      </c>
      <c r="E1008" t="s">
        <v>338</v>
      </c>
    </row>
    <row r="1009" spans="1:5" x14ac:dyDescent="0.2">
      <c r="A1009" s="269">
        <v>45911.583703703705</v>
      </c>
      <c r="B1009" t="s">
        <v>1431</v>
      </c>
      <c r="C1009" t="s">
        <v>58</v>
      </c>
      <c r="D1009" t="s">
        <v>983</v>
      </c>
      <c r="E1009" t="s">
        <v>338</v>
      </c>
    </row>
    <row r="1010" spans="1:5" x14ac:dyDescent="0.2">
      <c r="A1010" s="269">
        <v>45911.583726851852</v>
      </c>
      <c r="B1010" t="s">
        <v>1431</v>
      </c>
      <c r="C1010" t="s">
        <v>58</v>
      </c>
      <c r="D1010" t="s">
        <v>1066</v>
      </c>
      <c r="E1010" t="s">
        <v>338</v>
      </c>
    </row>
    <row r="1011" spans="1:5" x14ac:dyDescent="0.2">
      <c r="A1011" s="269">
        <v>45911.583749999998</v>
      </c>
      <c r="B1011" t="s">
        <v>1431</v>
      </c>
      <c r="C1011" t="s">
        <v>58</v>
      </c>
      <c r="D1011" t="s">
        <v>994</v>
      </c>
      <c r="E1011" t="s">
        <v>338</v>
      </c>
    </row>
    <row r="1012" spans="1:5" x14ac:dyDescent="0.2">
      <c r="A1012" s="269">
        <v>45911.583773148152</v>
      </c>
      <c r="B1012" t="s">
        <v>1431</v>
      </c>
      <c r="C1012" t="s">
        <v>58</v>
      </c>
      <c r="D1012" t="s">
        <v>1015</v>
      </c>
      <c r="E1012" t="s">
        <v>338</v>
      </c>
    </row>
    <row r="1013" spans="1:5" x14ac:dyDescent="0.2">
      <c r="A1013" s="269">
        <v>45911.583796296298</v>
      </c>
      <c r="B1013" t="s">
        <v>1431</v>
      </c>
      <c r="C1013" t="s">
        <v>58</v>
      </c>
      <c r="D1013" t="s">
        <v>1068</v>
      </c>
      <c r="E1013" t="s">
        <v>89</v>
      </c>
    </row>
    <row r="1014" spans="1:5" x14ac:dyDescent="0.2">
      <c r="A1014" s="269">
        <v>45911.583796296298</v>
      </c>
      <c r="B1014" t="s">
        <v>1431</v>
      </c>
      <c r="C1014" t="s">
        <v>58</v>
      </c>
      <c r="D1014" t="s">
        <v>1068</v>
      </c>
      <c r="E1014" t="s">
        <v>89</v>
      </c>
    </row>
    <row r="1015" spans="1:5" x14ac:dyDescent="0.2">
      <c r="A1015" s="269">
        <v>45911.583819444444</v>
      </c>
      <c r="B1015" t="s">
        <v>1431</v>
      </c>
      <c r="C1015" t="s">
        <v>58</v>
      </c>
      <c r="D1015" t="s">
        <v>1069</v>
      </c>
      <c r="E1015" t="s">
        <v>89</v>
      </c>
    </row>
    <row r="1016" spans="1:5" x14ac:dyDescent="0.2">
      <c r="A1016" s="269">
        <v>45911.58384259259</v>
      </c>
      <c r="B1016" t="s">
        <v>1431</v>
      </c>
      <c r="C1016" t="s">
        <v>58</v>
      </c>
      <c r="D1016" t="s">
        <v>1452</v>
      </c>
      <c r="E1016" t="s">
        <v>89</v>
      </c>
    </row>
    <row r="1017" spans="1:5" x14ac:dyDescent="0.2">
      <c r="A1017" s="269">
        <v>45911.583854166667</v>
      </c>
      <c r="B1017" t="s">
        <v>1431</v>
      </c>
      <c r="C1017" t="s">
        <v>58</v>
      </c>
      <c r="D1017" t="s">
        <v>1453</v>
      </c>
      <c r="E1017" t="s">
        <v>89</v>
      </c>
    </row>
    <row r="1018" spans="1:5" x14ac:dyDescent="0.2">
      <c r="A1018" s="269">
        <v>45911.583877314813</v>
      </c>
      <c r="B1018" t="s">
        <v>1431</v>
      </c>
      <c r="C1018" t="s">
        <v>58</v>
      </c>
      <c r="D1018" t="s">
        <v>1454</v>
      </c>
      <c r="E1018" t="s">
        <v>89</v>
      </c>
    </row>
    <row r="1019" spans="1:5" x14ac:dyDescent="0.2">
      <c r="A1019" s="269">
        <v>45911.586053240739</v>
      </c>
      <c r="B1019" t="s">
        <v>1431</v>
      </c>
      <c r="C1019" t="s">
        <v>58</v>
      </c>
      <c r="D1019" t="s">
        <v>958</v>
      </c>
      <c r="E1019">
        <v>654564</v>
      </c>
    </row>
    <row r="1020" spans="1:5" x14ac:dyDescent="0.2">
      <c r="A1020" s="269">
        <v>45911.587233796294</v>
      </c>
      <c r="B1020" t="s">
        <v>1431</v>
      </c>
      <c r="C1020" t="s">
        <v>58</v>
      </c>
      <c r="D1020" t="s">
        <v>960</v>
      </c>
      <c r="E1020" t="s">
        <v>1455</v>
      </c>
    </row>
    <row r="1021" spans="1:5" x14ac:dyDescent="0.2">
      <c r="A1021" s="269">
        <v>45911.587280092594</v>
      </c>
      <c r="B1021" t="s">
        <v>1431</v>
      </c>
      <c r="C1021" t="s">
        <v>58</v>
      </c>
      <c r="D1021" t="s">
        <v>958</v>
      </c>
    </row>
    <row r="1022" spans="1:5" x14ac:dyDescent="0.2">
      <c r="A1022" s="269">
        <v>45911.59002314815</v>
      </c>
      <c r="B1022" t="s">
        <v>1431</v>
      </c>
      <c r="C1022" t="s">
        <v>58</v>
      </c>
      <c r="D1022" t="s">
        <v>946</v>
      </c>
      <c r="E1022" t="s">
        <v>343</v>
      </c>
    </row>
    <row r="1023" spans="1:5" x14ac:dyDescent="0.2">
      <c r="A1023" s="269">
        <v>45911.590069444443</v>
      </c>
      <c r="B1023" t="s">
        <v>1431</v>
      </c>
      <c r="C1023" t="s">
        <v>58</v>
      </c>
      <c r="D1023" t="s">
        <v>1435</v>
      </c>
      <c r="E1023" t="s">
        <v>343</v>
      </c>
    </row>
    <row r="1024" spans="1:5" x14ac:dyDescent="0.2">
      <c r="A1024" s="269">
        <v>45911.590092592596</v>
      </c>
      <c r="B1024" t="s">
        <v>1431</v>
      </c>
      <c r="C1024" t="s">
        <v>58</v>
      </c>
      <c r="D1024" t="s">
        <v>1191</v>
      </c>
      <c r="E1024" t="s">
        <v>343</v>
      </c>
    </row>
    <row r="1025" spans="1:5" x14ac:dyDescent="0.2">
      <c r="A1025" s="269">
        <v>45911.590115740742</v>
      </c>
      <c r="B1025" t="s">
        <v>1431</v>
      </c>
      <c r="C1025" t="s">
        <v>58</v>
      </c>
      <c r="D1025" t="s">
        <v>795</v>
      </c>
      <c r="E1025" t="s">
        <v>343</v>
      </c>
    </row>
    <row r="1026" spans="1:5" x14ac:dyDescent="0.2">
      <c r="A1026" s="269">
        <v>45911.590127314812</v>
      </c>
      <c r="B1026" t="s">
        <v>1431</v>
      </c>
      <c r="C1026" t="s">
        <v>58</v>
      </c>
      <c r="D1026" t="s">
        <v>1013</v>
      </c>
      <c r="E1026" t="s">
        <v>343</v>
      </c>
    </row>
    <row r="1027" spans="1:5" x14ac:dyDescent="0.2">
      <c r="A1027" s="269">
        <v>45911.590162037035</v>
      </c>
      <c r="B1027" t="s">
        <v>1431</v>
      </c>
      <c r="C1027" t="s">
        <v>58</v>
      </c>
      <c r="D1027" t="s">
        <v>747</v>
      </c>
      <c r="E1027" t="s">
        <v>343</v>
      </c>
    </row>
    <row r="1028" spans="1:5" x14ac:dyDescent="0.2">
      <c r="A1028" s="269">
        <v>45911.590231481481</v>
      </c>
      <c r="B1028" t="s">
        <v>1431</v>
      </c>
      <c r="C1028" t="s">
        <v>58</v>
      </c>
      <c r="D1028" t="s">
        <v>1445</v>
      </c>
      <c r="E1028" t="s">
        <v>343</v>
      </c>
    </row>
    <row r="1029" spans="1:5" x14ac:dyDescent="0.2">
      <c r="A1029" s="269">
        <v>45911.590243055558</v>
      </c>
      <c r="B1029" t="s">
        <v>1431</v>
      </c>
      <c r="C1029" t="s">
        <v>58</v>
      </c>
      <c r="D1029" t="s">
        <v>672</v>
      </c>
      <c r="E1029" t="s">
        <v>343</v>
      </c>
    </row>
    <row r="1030" spans="1:5" x14ac:dyDescent="0.2">
      <c r="A1030" s="269">
        <v>45911.590277777781</v>
      </c>
      <c r="B1030" t="s">
        <v>1431</v>
      </c>
      <c r="C1030" t="s">
        <v>58</v>
      </c>
      <c r="D1030" t="s">
        <v>1017</v>
      </c>
      <c r="E1030" t="s">
        <v>411</v>
      </c>
    </row>
    <row r="1031" spans="1:5" x14ac:dyDescent="0.2">
      <c r="A1031" s="269">
        <v>45911.590300925927</v>
      </c>
      <c r="B1031" t="s">
        <v>1431</v>
      </c>
      <c r="C1031" t="s">
        <v>58</v>
      </c>
      <c r="D1031" t="s">
        <v>1017</v>
      </c>
      <c r="E1031" t="s">
        <v>63</v>
      </c>
    </row>
    <row r="1032" spans="1:5" x14ac:dyDescent="0.2">
      <c r="A1032" s="269">
        <v>45911.59033564815</v>
      </c>
      <c r="B1032" t="s">
        <v>1431</v>
      </c>
      <c r="C1032" t="s">
        <v>58</v>
      </c>
      <c r="D1032" t="s">
        <v>983</v>
      </c>
      <c r="E1032" t="s">
        <v>362</v>
      </c>
    </row>
    <row r="1033" spans="1:5" x14ac:dyDescent="0.2">
      <c r="A1033" s="269">
        <v>45911.590381944443</v>
      </c>
      <c r="B1033" t="s">
        <v>1431</v>
      </c>
      <c r="C1033" t="s">
        <v>58</v>
      </c>
      <c r="D1033" t="s">
        <v>983</v>
      </c>
      <c r="E1033" t="s">
        <v>89</v>
      </c>
    </row>
    <row r="1034" spans="1:5" x14ac:dyDescent="0.2">
      <c r="A1034" s="269">
        <v>45911.590405092589</v>
      </c>
      <c r="B1034" t="s">
        <v>1431</v>
      </c>
      <c r="C1034" t="s">
        <v>58</v>
      </c>
      <c r="D1034" t="s">
        <v>1066</v>
      </c>
      <c r="E1034" t="s">
        <v>362</v>
      </c>
    </row>
    <row r="1035" spans="1:5" x14ac:dyDescent="0.2">
      <c r="A1035" s="269">
        <v>45911.590428240743</v>
      </c>
      <c r="B1035" t="s">
        <v>1431</v>
      </c>
      <c r="C1035" t="s">
        <v>58</v>
      </c>
      <c r="D1035" t="s">
        <v>994</v>
      </c>
      <c r="E1035" t="s">
        <v>371</v>
      </c>
    </row>
    <row r="1036" spans="1:5" x14ac:dyDescent="0.2">
      <c r="A1036" s="269">
        <v>45911.590462962966</v>
      </c>
      <c r="B1036" t="s">
        <v>1431</v>
      </c>
      <c r="C1036" t="s">
        <v>58</v>
      </c>
      <c r="D1036" t="s">
        <v>1015</v>
      </c>
      <c r="E1036" t="s">
        <v>379</v>
      </c>
    </row>
    <row r="1037" spans="1:5" x14ac:dyDescent="0.2">
      <c r="A1037" s="269">
        <v>45911.590486111112</v>
      </c>
      <c r="B1037" t="s">
        <v>1431</v>
      </c>
      <c r="C1037" t="s">
        <v>58</v>
      </c>
      <c r="D1037" t="s">
        <v>1018</v>
      </c>
      <c r="E1037" t="s">
        <v>386</v>
      </c>
    </row>
    <row r="1038" spans="1:5" x14ac:dyDescent="0.2">
      <c r="A1038" s="269">
        <v>45911.590532407405</v>
      </c>
      <c r="B1038" t="s">
        <v>1431</v>
      </c>
      <c r="C1038" t="s">
        <v>58</v>
      </c>
      <c r="D1038" t="s">
        <v>1068</v>
      </c>
      <c r="E1038" t="s">
        <v>390</v>
      </c>
    </row>
    <row r="1039" spans="1:5" x14ac:dyDescent="0.2">
      <c r="A1039" s="269">
        <v>45911.590555555558</v>
      </c>
      <c r="B1039" t="s">
        <v>1431</v>
      </c>
      <c r="C1039" t="s">
        <v>58</v>
      </c>
      <c r="D1039" t="s">
        <v>1069</v>
      </c>
      <c r="E1039" t="s">
        <v>41</v>
      </c>
    </row>
    <row r="1040" spans="1:5" x14ac:dyDescent="0.2">
      <c r="A1040" s="269">
        <v>45911.590590277781</v>
      </c>
      <c r="B1040" t="s">
        <v>1431</v>
      </c>
      <c r="C1040" t="s">
        <v>58</v>
      </c>
      <c r="D1040" t="s">
        <v>1452</v>
      </c>
      <c r="E1040" t="s">
        <v>397</v>
      </c>
    </row>
    <row r="1041" spans="1:5" x14ac:dyDescent="0.2">
      <c r="A1041" s="269">
        <v>45911.590624999997</v>
      </c>
      <c r="B1041" t="s">
        <v>1431</v>
      </c>
      <c r="C1041" t="s">
        <v>58</v>
      </c>
      <c r="D1041" t="s">
        <v>1453</v>
      </c>
      <c r="E1041" t="s">
        <v>400</v>
      </c>
    </row>
    <row r="1042" spans="1:5" x14ac:dyDescent="0.2">
      <c r="A1042" s="269">
        <v>45911.590682870374</v>
      </c>
      <c r="B1042" t="s">
        <v>1431</v>
      </c>
      <c r="C1042" t="s">
        <v>58</v>
      </c>
      <c r="D1042" t="s">
        <v>1454</v>
      </c>
      <c r="E1042" t="s">
        <v>404</v>
      </c>
    </row>
    <row r="1043" spans="1:5" x14ac:dyDescent="0.2">
      <c r="A1043" s="269">
        <v>45911.590717592589</v>
      </c>
      <c r="B1043" t="s">
        <v>1431</v>
      </c>
      <c r="C1043" t="s">
        <v>58</v>
      </c>
      <c r="D1043" t="s">
        <v>1456</v>
      </c>
      <c r="E1043" t="s">
        <v>407</v>
      </c>
    </row>
    <row r="1044" spans="1:5" x14ac:dyDescent="0.2">
      <c r="A1044" s="269">
        <v>45911.590787037036</v>
      </c>
      <c r="B1044" t="s">
        <v>1431</v>
      </c>
      <c r="C1044" t="s">
        <v>58</v>
      </c>
      <c r="D1044" t="s">
        <v>1442</v>
      </c>
      <c r="E1044" t="s">
        <v>63</v>
      </c>
    </row>
    <row r="1045" spans="1:5" x14ac:dyDescent="0.2">
      <c r="A1045" s="269">
        <v>45911.590856481482</v>
      </c>
      <c r="B1045" t="s">
        <v>1431</v>
      </c>
      <c r="C1045" t="s">
        <v>58</v>
      </c>
      <c r="D1045" t="s">
        <v>674</v>
      </c>
      <c r="E1045" t="s">
        <v>343</v>
      </c>
    </row>
    <row r="1046" spans="1:5" x14ac:dyDescent="0.2">
      <c r="A1046" s="269">
        <v>45911.590879629628</v>
      </c>
      <c r="B1046" t="s">
        <v>1431</v>
      </c>
      <c r="C1046" t="s">
        <v>58</v>
      </c>
      <c r="D1046" t="s">
        <v>675</v>
      </c>
      <c r="E1046" t="s">
        <v>343</v>
      </c>
    </row>
    <row r="1047" spans="1:5" x14ac:dyDescent="0.2">
      <c r="A1047" s="269">
        <v>45911.601655092592</v>
      </c>
      <c r="B1047" t="s">
        <v>1431</v>
      </c>
      <c r="C1047" t="s">
        <v>58</v>
      </c>
      <c r="D1047" t="s">
        <v>1457</v>
      </c>
      <c r="E1047">
        <v>12</v>
      </c>
    </row>
    <row r="1048" spans="1:5" x14ac:dyDescent="0.2">
      <c r="A1048" s="269">
        <v>45911.601666666669</v>
      </c>
      <c r="B1048" t="s">
        <v>1431</v>
      </c>
      <c r="C1048" t="s">
        <v>58</v>
      </c>
      <c r="D1048" t="s">
        <v>937</v>
      </c>
      <c r="E1048">
        <v>22</v>
      </c>
    </row>
    <row r="1049" spans="1:5" x14ac:dyDescent="0.2">
      <c r="A1049" s="269">
        <v>45911.601712962962</v>
      </c>
      <c r="B1049" t="s">
        <v>1431</v>
      </c>
      <c r="C1049" t="s">
        <v>58</v>
      </c>
      <c r="D1049" t="s">
        <v>1457</v>
      </c>
      <c r="E1049">
        <v>12</v>
      </c>
    </row>
    <row r="1050" spans="1:5" x14ac:dyDescent="0.2">
      <c r="A1050" s="269">
        <v>45911.601770833331</v>
      </c>
      <c r="B1050" t="s">
        <v>1431</v>
      </c>
      <c r="C1050" t="s">
        <v>58</v>
      </c>
      <c r="D1050" t="s">
        <v>1457</v>
      </c>
      <c r="E1050">
        <v>12.22</v>
      </c>
    </row>
    <row r="1051" spans="1:5" x14ac:dyDescent="0.2">
      <c r="A1051" s="269">
        <v>45911.601805555554</v>
      </c>
      <c r="B1051" t="s">
        <v>1431</v>
      </c>
      <c r="C1051" t="s">
        <v>58</v>
      </c>
      <c r="D1051" t="s">
        <v>937</v>
      </c>
      <c r="E1051">
        <v>38.96</v>
      </c>
    </row>
    <row r="1052" spans="1:5" x14ac:dyDescent="0.2">
      <c r="A1052" s="269">
        <v>45911.6018287037</v>
      </c>
      <c r="B1052" t="s">
        <v>1431</v>
      </c>
      <c r="C1052" t="s">
        <v>58</v>
      </c>
      <c r="D1052" t="s">
        <v>926</v>
      </c>
      <c r="E1052">
        <v>11.21</v>
      </c>
    </row>
    <row r="1053" spans="1:5" x14ac:dyDescent="0.2">
      <c r="A1053" s="269">
        <v>45911.601863425924</v>
      </c>
      <c r="B1053" t="s">
        <v>1431</v>
      </c>
      <c r="C1053" t="s">
        <v>58</v>
      </c>
      <c r="D1053" t="s">
        <v>874</v>
      </c>
      <c r="E1053">
        <v>17.48</v>
      </c>
    </row>
    <row r="1054" spans="1:5" x14ac:dyDescent="0.2">
      <c r="A1054" s="269">
        <v>45911.601886574077</v>
      </c>
      <c r="B1054" t="s">
        <v>1431</v>
      </c>
      <c r="C1054" t="s">
        <v>58</v>
      </c>
      <c r="D1054" t="s">
        <v>1458</v>
      </c>
      <c r="E1054">
        <v>165.81</v>
      </c>
    </row>
    <row r="1055" spans="1:5" x14ac:dyDescent="0.2">
      <c r="A1055" s="269">
        <v>45911.60193287037</v>
      </c>
      <c r="B1055" t="s">
        <v>1431</v>
      </c>
      <c r="C1055" t="s">
        <v>58</v>
      </c>
      <c r="D1055" t="s">
        <v>1458</v>
      </c>
      <c r="E1055">
        <v>16.809999999999999</v>
      </c>
    </row>
    <row r="1056" spans="1:5" x14ac:dyDescent="0.2">
      <c r="A1056" s="269">
        <v>45911.601967592593</v>
      </c>
      <c r="B1056" t="s">
        <v>1431</v>
      </c>
      <c r="C1056" t="s">
        <v>58</v>
      </c>
      <c r="D1056" t="s">
        <v>1459</v>
      </c>
      <c r="E1056">
        <v>48.48</v>
      </c>
    </row>
    <row r="1057" spans="1:5" x14ac:dyDescent="0.2">
      <c r="A1057" s="269">
        <v>45911.602071759262</v>
      </c>
      <c r="B1057" t="s">
        <v>1431</v>
      </c>
      <c r="C1057" t="s">
        <v>58</v>
      </c>
      <c r="D1057" t="s">
        <v>958</v>
      </c>
      <c r="E1057">
        <v>48.8</v>
      </c>
    </row>
    <row r="1058" spans="1:5" x14ac:dyDescent="0.2">
      <c r="A1058" s="269">
        <v>45911.602106481485</v>
      </c>
      <c r="B1058" t="s">
        <v>1431</v>
      </c>
      <c r="C1058" t="s">
        <v>58</v>
      </c>
      <c r="D1058" t="s">
        <v>1460</v>
      </c>
      <c r="E1058">
        <v>155.80000000000001</v>
      </c>
    </row>
    <row r="1059" spans="1:5" x14ac:dyDescent="0.2">
      <c r="A1059" s="269">
        <v>45911.602141203701</v>
      </c>
      <c r="B1059" t="s">
        <v>1431</v>
      </c>
      <c r="C1059" t="s">
        <v>58</v>
      </c>
      <c r="D1059" t="s">
        <v>975</v>
      </c>
      <c r="E1059">
        <v>44.8</v>
      </c>
    </row>
    <row r="1060" spans="1:5" x14ac:dyDescent="0.2">
      <c r="A1060" s="269">
        <v>45911.602175925924</v>
      </c>
      <c r="B1060" t="s">
        <v>1431</v>
      </c>
      <c r="C1060" t="s">
        <v>58</v>
      </c>
      <c r="D1060" t="s">
        <v>974</v>
      </c>
      <c r="E1060">
        <v>52.4</v>
      </c>
    </row>
    <row r="1061" spans="1:5" x14ac:dyDescent="0.2">
      <c r="A1061" s="269">
        <v>45911.602199074077</v>
      </c>
      <c r="B1061" t="s">
        <v>1431</v>
      </c>
      <c r="C1061" t="s">
        <v>58</v>
      </c>
      <c r="D1061" t="s">
        <v>1461</v>
      </c>
      <c r="E1061">
        <v>50.4</v>
      </c>
    </row>
    <row r="1062" spans="1:5" x14ac:dyDescent="0.2">
      <c r="A1062" s="269">
        <v>45911.602268518516</v>
      </c>
      <c r="B1062" t="s">
        <v>1431</v>
      </c>
      <c r="C1062" t="s">
        <v>58</v>
      </c>
      <c r="D1062" t="s">
        <v>1462</v>
      </c>
      <c r="E1062">
        <v>146.4</v>
      </c>
    </row>
    <row r="1063" spans="1:5" x14ac:dyDescent="0.2">
      <c r="A1063" s="269">
        <v>45911.602349537039</v>
      </c>
      <c r="B1063" t="s">
        <v>1431</v>
      </c>
      <c r="C1063" t="s">
        <v>58</v>
      </c>
      <c r="D1063" t="s">
        <v>960</v>
      </c>
      <c r="E1063" t="s">
        <v>1463</v>
      </c>
    </row>
    <row r="1064" spans="1:5" x14ac:dyDescent="0.2">
      <c r="A1064" s="269">
        <v>45911.602384259262</v>
      </c>
      <c r="B1064" t="s">
        <v>1431</v>
      </c>
      <c r="C1064" t="s">
        <v>58</v>
      </c>
      <c r="D1064" t="s">
        <v>1465</v>
      </c>
      <c r="E1064" t="s">
        <v>1464</v>
      </c>
    </row>
    <row r="1065" spans="1:5" x14ac:dyDescent="0.2">
      <c r="A1065" s="269">
        <v>45911.602453703701</v>
      </c>
      <c r="B1065" t="s">
        <v>1431</v>
      </c>
      <c r="C1065" t="s">
        <v>58</v>
      </c>
      <c r="D1065" t="s">
        <v>1465</v>
      </c>
      <c r="E1065" t="s">
        <v>1463</v>
      </c>
    </row>
    <row r="1066" spans="1:5" x14ac:dyDescent="0.2">
      <c r="A1066" s="269">
        <v>45911.6172337963</v>
      </c>
      <c r="B1066" t="s">
        <v>1431</v>
      </c>
      <c r="C1066" t="s">
        <v>58</v>
      </c>
      <c r="D1066" t="s">
        <v>1466</v>
      </c>
      <c r="E1066">
        <v>7.47</v>
      </c>
    </row>
    <row r="1067" spans="1:5" x14ac:dyDescent="0.2">
      <c r="A1067" s="269">
        <v>45911.617256944446</v>
      </c>
      <c r="B1067" t="s">
        <v>1431</v>
      </c>
      <c r="C1067" t="s">
        <v>58</v>
      </c>
      <c r="D1067" t="s">
        <v>925</v>
      </c>
      <c r="E1067">
        <v>29.4</v>
      </c>
    </row>
    <row r="1068" spans="1:5" x14ac:dyDescent="0.2">
      <c r="A1068" s="269">
        <v>45911.617337962962</v>
      </c>
      <c r="B1068" t="s">
        <v>1431</v>
      </c>
      <c r="C1068" t="s">
        <v>58</v>
      </c>
      <c r="D1068" t="s">
        <v>1467</v>
      </c>
      <c r="E1068">
        <v>16.899999999999999</v>
      </c>
    </row>
    <row r="1069" spans="1:5" x14ac:dyDescent="0.2">
      <c r="A1069" s="269">
        <v>45911.617361111108</v>
      </c>
      <c r="B1069" t="s">
        <v>1431</v>
      </c>
      <c r="C1069" t="s">
        <v>58</v>
      </c>
      <c r="D1069" t="s">
        <v>1468</v>
      </c>
      <c r="E1069">
        <v>84</v>
      </c>
    </row>
    <row r="1070" spans="1:5" x14ac:dyDescent="0.2">
      <c r="A1070" s="269">
        <v>45911.617384259262</v>
      </c>
      <c r="B1070" t="s">
        <v>1431</v>
      </c>
      <c r="C1070" t="s">
        <v>58</v>
      </c>
      <c r="D1070" t="s">
        <v>668</v>
      </c>
      <c r="E1070">
        <v>49.1</v>
      </c>
    </row>
    <row r="1071" spans="1:5" x14ac:dyDescent="0.2">
      <c r="A1071" s="269">
        <v>45911.6174537037</v>
      </c>
      <c r="B1071" t="s">
        <v>1431</v>
      </c>
      <c r="C1071" t="s">
        <v>58</v>
      </c>
      <c r="D1071" t="s">
        <v>1469</v>
      </c>
      <c r="E1071">
        <v>107.7</v>
      </c>
    </row>
    <row r="1072" spans="1:5" x14ac:dyDescent="0.2">
      <c r="A1072" s="269">
        <v>45911.6174537037</v>
      </c>
      <c r="B1072" t="s">
        <v>1431</v>
      </c>
      <c r="C1072" t="s">
        <v>58</v>
      </c>
      <c r="D1072" t="s">
        <v>1470</v>
      </c>
      <c r="E1072">
        <v>20</v>
      </c>
    </row>
    <row r="1073" spans="1:5" x14ac:dyDescent="0.2">
      <c r="A1073" s="269">
        <v>45911.617523148147</v>
      </c>
      <c r="B1073" t="s">
        <v>1431</v>
      </c>
      <c r="C1073" t="s">
        <v>58</v>
      </c>
      <c r="D1073" t="s">
        <v>1471</v>
      </c>
      <c r="E1073">
        <v>5.64</v>
      </c>
    </row>
    <row r="1074" spans="1:5" x14ac:dyDescent="0.2">
      <c r="A1074" s="269">
        <v>45911.617546296293</v>
      </c>
      <c r="B1074" t="s">
        <v>1431</v>
      </c>
      <c r="C1074" t="s">
        <v>58</v>
      </c>
      <c r="D1074" t="s">
        <v>1472</v>
      </c>
      <c r="E1074">
        <v>28</v>
      </c>
    </row>
    <row r="1075" spans="1:5" x14ac:dyDescent="0.2">
      <c r="A1075" s="269">
        <v>45911.617569444446</v>
      </c>
      <c r="B1075" t="s">
        <v>1431</v>
      </c>
      <c r="C1075" t="s">
        <v>58</v>
      </c>
      <c r="D1075" t="s">
        <v>1473</v>
      </c>
      <c r="E1075">
        <v>16.37</v>
      </c>
    </row>
    <row r="1076" spans="1:5" x14ac:dyDescent="0.2">
      <c r="A1076" s="269">
        <v>45911.617592592593</v>
      </c>
      <c r="B1076" t="s">
        <v>1431</v>
      </c>
      <c r="C1076" t="s">
        <v>58</v>
      </c>
      <c r="D1076" t="s">
        <v>1474</v>
      </c>
      <c r="E1076">
        <v>35.9</v>
      </c>
    </row>
    <row r="1077" spans="1:5" x14ac:dyDescent="0.2">
      <c r="A1077" s="269">
        <v>45911.617615740739</v>
      </c>
      <c r="B1077" t="s">
        <v>1431</v>
      </c>
      <c r="C1077" t="s">
        <v>58</v>
      </c>
      <c r="D1077" t="s">
        <v>1475</v>
      </c>
      <c r="E1077">
        <v>6.67</v>
      </c>
    </row>
    <row r="1078" spans="1:5" x14ac:dyDescent="0.2">
      <c r="A1078" s="269">
        <v>45911.617719907408</v>
      </c>
      <c r="B1078" t="s">
        <v>1431</v>
      </c>
      <c r="C1078" t="s">
        <v>58</v>
      </c>
      <c r="D1078" t="s">
        <v>1476</v>
      </c>
      <c r="E1078" t="s">
        <v>1463</v>
      </c>
    </row>
    <row r="1079" spans="1:5" x14ac:dyDescent="0.2">
      <c r="A1079" s="269">
        <v>45911.617766203701</v>
      </c>
      <c r="B1079" t="s">
        <v>1431</v>
      </c>
      <c r="C1079" t="s">
        <v>58</v>
      </c>
      <c r="D1079" t="s">
        <v>1477</v>
      </c>
      <c r="E1079" t="s">
        <v>1463</v>
      </c>
    </row>
    <row r="1080" spans="1:5" x14ac:dyDescent="0.2">
      <c r="A1080" s="269">
        <v>45911.617905092593</v>
      </c>
      <c r="B1080" t="s">
        <v>1431</v>
      </c>
      <c r="C1080" t="s">
        <v>58</v>
      </c>
      <c r="D1080" t="s">
        <v>1478</v>
      </c>
      <c r="E1080" t="s">
        <v>1455</v>
      </c>
    </row>
    <row r="1081" spans="1:5" x14ac:dyDescent="0.2">
      <c r="A1081" s="269">
        <v>45911.617974537039</v>
      </c>
      <c r="B1081" t="s">
        <v>1431</v>
      </c>
      <c r="C1081" t="s">
        <v>58</v>
      </c>
      <c r="D1081" t="s">
        <v>1479</v>
      </c>
      <c r="E1081" t="s">
        <v>1455</v>
      </c>
    </row>
    <row r="1082" spans="1:5" x14ac:dyDescent="0.2">
      <c r="A1082" s="269">
        <v>45911.618043981478</v>
      </c>
      <c r="B1082" t="s">
        <v>1431</v>
      </c>
      <c r="C1082" t="s">
        <v>58</v>
      </c>
      <c r="D1082" t="s">
        <v>1480</v>
      </c>
      <c r="E1082" t="s">
        <v>1455</v>
      </c>
    </row>
    <row r="1083" spans="1:5" x14ac:dyDescent="0.2">
      <c r="A1083" s="269">
        <v>45911.618194444447</v>
      </c>
      <c r="B1083" t="s">
        <v>1431</v>
      </c>
      <c r="C1083" t="s">
        <v>58</v>
      </c>
      <c r="D1083" t="s">
        <v>1482</v>
      </c>
      <c r="E1083" t="s">
        <v>1481</v>
      </c>
    </row>
    <row r="1084" spans="1:5" x14ac:dyDescent="0.2">
      <c r="A1084" s="269">
        <v>45911.62226851852</v>
      </c>
      <c r="B1084" t="s">
        <v>1431</v>
      </c>
      <c r="C1084" t="s">
        <v>58</v>
      </c>
      <c r="D1084" t="s">
        <v>676</v>
      </c>
      <c r="E1084" t="s">
        <v>381</v>
      </c>
    </row>
    <row r="1085" spans="1:5" x14ac:dyDescent="0.2">
      <c r="A1085" s="269">
        <v>45911.622314814813</v>
      </c>
      <c r="B1085" t="s">
        <v>1431</v>
      </c>
      <c r="C1085" t="s">
        <v>58</v>
      </c>
      <c r="D1085" t="s">
        <v>1483</v>
      </c>
      <c r="E1085" t="s">
        <v>381</v>
      </c>
    </row>
    <row r="1086" spans="1:5" x14ac:dyDescent="0.2">
      <c r="A1086" s="269">
        <v>45911.622337962966</v>
      </c>
      <c r="B1086" t="s">
        <v>1431</v>
      </c>
      <c r="C1086" t="s">
        <v>58</v>
      </c>
      <c r="D1086" t="s">
        <v>1484</v>
      </c>
      <c r="E1086" t="s">
        <v>381</v>
      </c>
    </row>
    <row r="1087" spans="1:5" x14ac:dyDescent="0.2">
      <c r="A1087" s="269">
        <v>45911.622395833336</v>
      </c>
      <c r="B1087" t="s">
        <v>1431</v>
      </c>
      <c r="C1087" t="s">
        <v>58</v>
      </c>
      <c r="D1087" t="s">
        <v>1485</v>
      </c>
      <c r="E1087" t="s">
        <v>63</v>
      </c>
    </row>
    <row r="1088" spans="1:5" x14ac:dyDescent="0.2">
      <c r="A1088" s="269">
        <v>45911.622453703705</v>
      </c>
      <c r="B1088" t="s">
        <v>1431</v>
      </c>
      <c r="C1088" t="s">
        <v>58</v>
      </c>
      <c r="D1088" t="s">
        <v>1486</v>
      </c>
      <c r="E1088" t="s">
        <v>338</v>
      </c>
    </row>
    <row r="1089" spans="1:5" x14ac:dyDescent="0.2">
      <c r="A1089" s="269">
        <v>45911.62568287037</v>
      </c>
      <c r="B1089" t="s">
        <v>1431</v>
      </c>
      <c r="C1089" t="s">
        <v>58</v>
      </c>
      <c r="D1089" t="s">
        <v>1488</v>
      </c>
      <c r="E1089" t="s">
        <v>1487</v>
      </c>
    </row>
    <row r="1090" spans="1:5" x14ac:dyDescent="0.2">
      <c r="A1090" s="269">
        <v>45911.625740740739</v>
      </c>
      <c r="B1090" t="s">
        <v>1431</v>
      </c>
      <c r="C1090" t="s">
        <v>58</v>
      </c>
      <c r="D1090" t="s">
        <v>1482</v>
      </c>
      <c r="E1090" t="s">
        <v>1489</v>
      </c>
    </row>
    <row r="1091" spans="1:5" x14ac:dyDescent="0.2">
      <c r="A1091" s="269">
        <v>45911.625798611109</v>
      </c>
      <c r="B1091" t="s">
        <v>1431</v>
      </c>
      <c r="C1091" t="s">
        <v>58</v>
      </c>
      <c r="D1091" t="s">
        <v>1490</v>
      </c>
      <c r="E1091" t="s">
        <v>1487</v>
      </c>
    </row>
    <row r="1092" spans="1:5" x14ac:dyDescent="0.2">
      <c r="A1092" s="269">
        <v>45911.625833333332</v>
      </c>
      <c r="B1092" t="s">
        <v>1431</v>
      </c>
      <c r="C1092" t="s">
        <v>58</v>
      </c>
      <c r="D1092" t="s">
        <v>1491</v>
      </c>
    </row>
    <row r="1093" spans="1:5" x14ac:dyDescent="0.2">
      <c r="A1093" s="269">
        <v>45911.62604166667</v>
      </c>
      <c r="B1093" t="s">
        <v>1431</v>
      </c>
      <c r="C1093" t="s">
        <v>58</v>
      </c>
      <c r="D1093" t="s">
        <v>1492</v>
      </c>
      <c r="E1093">
        <v>189.28</v>
      </c>
    </row>
    <row r="1094" spans="1:5" x14ac:dyDescent="0.2">
      <c r="A1094" s="269">
        <v>45911.626076388886</v>
      </c>
      <c r="B1094" t="s">
        <v>1431</v>
      </c>
      <c r="C1094" t="s">
        <v>58</v>
      </c>
      <c r="D1094" t="s">
        <v>1493</v>
      </c>
      <c r="E1094">
        <v>104.92</v>
      </c>
    </row>
    <row r="1095" spans="1:5" x14ac:dyDescent="0.2">
      <c r="A1095" s="269">
        <v>45911.626099537039</v>
      </c>
      <c r="B1095" t="s">
        <v>1431</v>
      </c>
      <c r="C1095" t="s">
        <v>58</v>
      </c>
      <c r="D1095" t="s">
        <v>1494</v>
      </c>
      <c r="E1095">
        <v>247.86</v>
      </c>
    </row>
    <row r="1096" spans="1:5" x14ac:dyDescent="0.2">
      <c r="A1096" s="269">
        <v>45911.626145833332</v>
      </c>
      <c r="B1096" t="s">
        <v>1431</v>
      </c>
      <c r="C1096" t="s">
        <v>58</v>
      </c>
      <c r="D1096" t="s">
        <v>1495</v>
      </c>
      <c r="E1096">
        <v>106.94</v>
      </c>
    </row>
    <row r="1097" spans="1:5" x14ac:dyDescent="0.2">
      <c r="A1097" s="269">
        <v>45911.626180555555</v>
      </c>
      <c r="B1097" t="s">
        <v>1431</v>
      </c>
      <c r="C1097" t="s">
        <v>58</v>
      </c>
      <c r="D1097" t="s">
        <v>1496</v>
      </c>
      <c r="E1097">
        <v>211.81</v>
      </c>
    </row>
    <row r="1098" spans="1:5" x14ac:dyDescent="0.2">
      <c r="A1098" s="269">
        <v>45911.626203703701</v>
      </c>
      <c r="B1098" t="s">
        <v>1431</v>
      </c>
      <c r="C1098" t="s">
        <v>58</v>
      </c>
      <c r="D1098" t="s">
        <v>1497</v>
      </c>
      <c r="E1098">
        <v>16.149999999999999</v>
      </c>
    </row>
    <row r="1099" spans="1:5" x14ac:dyDescent="0.2">
      <c r="A1099" s="269">
        <v>45911.626261574071</v>
      </c>
      <c r="B1099" t="s">
        <v>1431</v>
      </c>
      <c r="C1099" t="s">
        <v>58</v>
      </c>
      <c r="D1099" t="s">
        <v>1498</v>
      </c>
      <c r="E1099">
        <v>1637</v>
      </c>
    </row>
    <row r="1100" spans="1:5" x14ac:dyDescent="0.2">
      <c r="A1100" s="269">
        <v>45911.626284722224</v>
      </c>
      <c r="B1100" t="s">
        <v>1431</v>
      </c>
      <c r="C1100" t="s">
        <v>58</v>
      </c>
      <c r="D1100" t="s">
        <v>1499</v>
      </c>
      <c r="E1100">
        <v>994</v>
      </c>
    </row>
    <row r="1101" spans="1:5" x14ac:dyDescent="0.2">
      <c r="A1101" s="269">
        <v>45911.626307870371</v>
      </c>
      <c r="B1101" t="s">
        <v>1431</v>
      </c>
      <c r="C1101" t="s">
        <v>58</v>
      </c>
      <c r="D1101" t="s">
        <v>1500</v>
      </c>
      <c r="E1101">
        <v>1735</v>
      </c>
    </row>
    <row r="1102" spans="1:5" x14ac:dyDescent="0.2">
      <c r="A1102" s="269">
        <v>45911.626342592594</v>
      </c>
      <c r="B1102" t="s">
        <v>1431</v>
      </c>
      <c r="C1102" t="s">
        <v>58</v>
      </c>
      <c r="D1102" t="s">
        <v>1501</v>
      </c>
      <c r="E1102">
        <v>973</v>
      </c>
    </row>
    <row r="1103" spans="1:5" x14ac:dyDescent="0.2">
      <c r="A1103" s="269">
        <v>45911.62636574074</v>
      </c>
      <c r="B1103" t="s">
        <v>1431</v>
      </c>
      <c r="C1103" t="s">
        <v>58</v>
      </c>
      <c r="D1103" t="s">
        <v>1502</v>
      </c>
      <c r="E1103">
        <v>1999</v>
      </c>
    </row>
    <row r="1104" spans="1:5" x14ac:dyDescent="0.2">
      <c r="A1104" s="269">
        <v>45911.626388888886</v>
      </c>
      <c r="B1104" t="s">
        <v>1431</v>
      </c>
      <c r="C1104" t="s">
        <v>58</v>
      </c>
      <c r="D1104" t="s">
        <v>1503</v>
      </c>
      <c r="E1104">
        <v>113</v>
      </c>
    </row>
    <row r="1105" spans="1:5" x14ac:dyDescent="0.2">
      <c r="A1105" s="269">
        <v>45911.629259259258</v>
      </c>
      <c r="B1105" t="s">
        <v>1431</v>
      </c>
      <c r="C1105" t="s">
        <v>58</v>
      </c>
      <c r="D1105" t="s">
        <v>1504</v>
      </c>
      <c r="E1105">
        <v>61.71</v>
      </c>
    </row>
    <row r="1106" spans="1:5" x14ac:dyDescent="0.2">
      <c r="A1106" s="269">
        <v>45911.629282407404</v>
      </c>
      <c r="B1106" t="s">
        <v>1431</v>
      </c>
      <c r="C1106" t="s">
        <v>58</v>
      </c>
      <c r="D1106" t="s">
        <v>1505</v>
      </c>
      <c r="E1106">
        <v>134.94999999999999</v>
      </c>
    </row>
    <row r="1107" spans="1:5" x14ac:dyDescent="0.2">
      <c r="A1107" s="269">
        <v>45911.629317129627</v>
      </c>
      <c r="B1107" t="s">
        <v>1431</v>
      </c>
      <c r="C1107" t="s">
        <v>58</v>
      </c>
      <c r="D1107" t="s">
        <v>1506</v>
      </c>
      <c r="E1107">
        <v>107.27</v>
      </c>
    </row>
    <row r="1108" spans="1:5" x14ac:dyDescent="0.2">
      <c r="A1108" s="269">
        <v>45911.629351851851</v>
      </c>
      <c r="B1108" t="s">
        <v>1431</v>
      </c>
      <c r="C1108" t="s">
        <v>58</v>
      </c>
      <c r="D1108" t="s">
        <v>1507</v>
      </c>
      <c r="E1108">
        <v>173.2</v>
      </c>
    </row>
    <row r="1109" spans="1:5" x14ac:dyDescent="0.2">
      <c r="A1109" s="269">
        <v>45911.629374999997</v>
      </c>
      <c r="B1109" t="s">
        <v>1431</v>
      </c>
      <c r="C1109" t="s">
        <v>58</v>
      </c>
      <c r="D1109" t="s">
        <v>1508</v>
      </c>
      <c r="E1109">
        <v>279.35000000000002</v>
      </c>
    </row>
    <row r="1110" spans="1:5" x14ac:dyDescent="0.2">
      <c r="A1110" s="269">
        <v>45911.629386574074</v>
      </c>
      <c r="B1110" t="s">
        <v>1431</v>
      </c>
      <c r="C1110" t="s">
        <v>58</v>
      </c>
      <c r="D1110" t="s">
        <v>1509</v>
      </c>
      <c r="E1110">
        <v>216.91</v>
      </c>
    </row>
    <row r="1111" spans="1:5" x14ac:dyDescent="0.2">
      <c r="A1111" s="269">
        <v>45911.629444444443</v>
      </c>
      <c r="B1111" t="s">
        <v>1431</v>
      </c>
      <c r="C1111" t="s">
        <v>58</v>
      </c>
      <c r="D1111" t="s">
        <v>1510</v>
      </c>
      <c r="E1111">
        <v>441</v>
      </c>
    </row>
    <row r="1112" spans="1:5" x14ac:dyDescent="0.2">
      <c r="A1112" s="269">
        <v>45911.62945601852</v>
      </c>
      <c r="B1112" t="s">
        <v>1431</v>
      </c>
      <c r="C1112" t="s">
        <v>58</v>
      </c>
      <c r="D1112" t="s">
        <v>1511</v>
      </c>
      <c r="E1112">
        <v>1473</v>
      </c>
    </row>
    <row r="1113" spans="1:5" x14ac:dyDescent="0.2">
      <c r="A1113" s="269">
        <v>45911.629479166666</v>
      </c>
      <c r="B1113" t="s">
        <v>1431</v>
      </c>
      <c r="C1113" t="s">
        <v>58</v>
      </c>
      <c r="D1113" t="s">
        <v>1512</v>
      </c>
      <c r="E1113">
        <v>748</v>
      </c>
    </row>
    <row r="1114" spans="1:5" x14ac:dyDescent="0.2">
      <c r="A1114" s="269">
        <v>45911.629490740743</v>
      </c>
      <c r="B1114" t="s">
        <v>1431</v>
      </c>
      <c r="C1114" t="s">
        <v>58</v>
      </c>
      <c r="D1114" t="s">
        <v>1513</v>
      </c>
      <c r="E1114">
        <v>1534</v>
      </c>
    </row>
    <row r="1115" spans="1:5" x14ac:dyDescent="0.2">
      <c r="A1115" s="269">
        <v>45911.629548611112</v>
      </c>
      <c r="B1115" t="s">
        <v>1431</v>
      </c>
      <c r="C1115" t="s">
        <v>58</v>
      </c>
      <c r="D1115" t="s">
        <v>1513</v>
      </c>
      <c r="E1115">
        <v>1531</v>
      </c>
    </row>
    <row r="1116" spans="1:5" x14ac:dyDescent="0.2">
      <c r="A1116" s="269">
        <v>45911.629560185182</v>
      </c>
      <c r="B1116" t="s">
        <v>1431</v>
      </c>
      <c r="C1116" t="s">
        <v>58</v>
      </c>
      <c r="D1116" t="s">
        <v>1514</v>
      </c>
      <c r="E1116">
        <v>2444</v>
      </c>
    </row>
    <row r="1117" spans="1:5" x14ac:dyDescent="0.2">
      <c r="A1117" s="269">
        <v>45911.629594907405</v>
      </c>
      <c r="B1117" t="s">
        <v>1431</v>
      </c>
      <c r="C1117" t="s">
        <v>58</v>
      </c>
      <c r="D1117" t="s">
        <v>1515</v>
      </c>
      <c r="E1117">
        <v>1674</v>
      </c>
    </row>
    <row r="1118" spans="1:5" x14ac:dyDescent="0.2">
      <c r="A1118" s="269">
        <v>45911.629675925928</v>
      </c>
      <c r="B1118" t="s">
        <v>1431</v>
      </c>
      <c r="C1118" t="s">
        <v>58</v>
      </c>
      <c r="D1118" t="s">
        <v>1516</v>
      </c>
      <c r="E1118" t="s">
        <v>1487</v>
      </c>
    </row>
    <row r="1119" spans="1:5" x14ac:dyDescent="0.2">
      <c r="A1119" s="269">
        <v>45911.629942129628</v>
      </c>
      <c r="B1119" t="s">
        <v>1431</v>
      </c>
      <c r="C1119" t="s">
        <v>58</v>
      </c>
      <c r="D1119" t="s">
        <v>1517</v>
      </c>
      <c r="E1119" t="s">
        <v>374</v>
      </c>
    </row>
    <row r="1120" spans="1:5" x14ac:dyDescent="0.2">
      <c r="A1120" s="269">
        <v>45911.629988425928</v>
      </c>
      <c r="B1120" t="s">
        <v>1431</v>
      </c>
      <c r="C1120" t="s">
        <v>58</v>
      </c>
      <c r="D1120" t="s">
        <v>1518</v>
      </c>
      <c r="E1120" t="s">
        <v>374</v>
      </c>
    </row>
    <row r="1121" spans="1:5" x14ac:dyDescent="0.2">
      <c r="A1121" s="269">
        <v>45911.630011574074</v>
      </c>
      <c r="B1121" t="s">
        <v>1431</v>
      </c>
      <c r="C1121" t="s">
        <v>58</v>
      </c>
      <c r="D1121" t="s">
        <v>1519</v>
      </c>
    </row>
    <row r="1122" spans="1:5" x14ac:dyDescent="0.2">
      <c r="A1122" s="269">
        <v>45911.63008101852</v>
      </c>
      <c r="B1122" t="s">
        <v>1431</v>
      </c>
      <c r="C1122" t="s">
        <v>58</v>
      </c>
      <c r="D1122" t="s">
        <v>1520</v>
      </c>
      <c r="E1122" t="s">
        <v>63</v>
      </c>
    </row>
    <row r="1123" spans="1:5" x14ac:dyDescent="0.2">
      <c r="A1123" s="269">
        <v>45911.630115740743</v>
      </c>
      <c r="B1123" t="s">
        <v>1431</v>
      </c>
      <c r="C1123" t="s">
        <v>58</v>
      </c>
      <c r="D1123" t="s">
        <v>1521</v>
      </c>
      <c r="E1123" t="s">
        <v>411</v>
      </c>
    </row>
    <row r="1124" spans="1:5" x14ac:dyDescent="0.2">
      <c r="A1124" s="269">
        <v>45911.630150462966</v>
      </c>
      <c r="B1124" t="s">
        <v>1431</v>
      </c>
      <c r="C1124" t="s">
        <v>58</v>
      </c>
      <c r="D1124" t="s">
        <v>1521</v>
      </c>
      <c r="E1124" t="s">
        <v>63</v>
      </c>
    </row>
    <row r="1125" spans="1:5" x14ac:dyDescent="0.2">
      <c r="A1125" s="269">
        <v>45911.630173611113</v>
      </c>
      <c r="B1125" t="s">
        <v>1431</v>
      </c>
      <c r="C1125" t="s">
        <v>58</v>
      </c>
      <c r="D1125" t="s">
        <v>1522</v>
      </c>
      <c r="E1125" t="s">
        <v>411</v>
      </c>
    </row>
    <row r="1126" spans="1:5" x14ac:dyDescent="0.2">
      <c r="A1126" s="269">
        <v>45911.630208333336</v>
      </c>
      <c r="B1126" t="s">
        <v>1431</v>
      </c>
      <c r="C1126" t="s">
        <v>58</v>
      </c>
      <c r="D1126" t="s">
        <v>1522</v>
      </c>
      <c r="E1126" t="s">
        <v>63</v>
      </c>
    </row>
    <row r="1127" spans="1:5" x14ac:dyDescent="0.2">
      <c r="A1127" s="269">
        <v>45911.630254629628</v>
      </c>
      <c r="B1127" t="s">
        <v>1431</v>
      </c>
      <c r="C1127" t="s">
        <v>58</v>
      </c>
      <c r="D1127" t="s">
        <v>1523</v>
      </c>
      <c r="E1127" t="s">
        <v>63</v>
      </c>
    </row>
    <row r="1128" spans="1:5" x14ac:dyDescent="0.2">
      <c r="A1128" s="269">
        <v>45911.630358796298</v>
      </c>
      <c r="B1128" t="s">
        <v>1431</v>
      </c>
      <c r="C1128" t="s">
        <v>58</v>
      </c>
      <c r="D1128" t="s">
        <v>1524</v>
      </c>
      <c r="E1128" t="s">
        <v>338</v>
      </c>
    </row>
    <row r="1129" spans="1:5" x14ac:dyDescent="0.2">
      <c r="A1129" s="269">
        <v>45911.630787037036</v>
      </c>
      <c r="B1129" t="s">
        <v>1431</v>
      </c>
      <c r="C1129" t="s">
        <v>58</v>
      </c>
      <c r="D1129" t="s">
        <v>1526</v>
      </c>
      <c r="E1129" t="s">
        <v>1525</v>
      </c>
    </row>
    <row r="1130" spans="1:5" x14ac:dyDescent="0.2">
      <c r="A1130" s="269">
        <v>45911.630833333336</v>
      </c>
      <c r="B1130" t="s">
        <v>1431</v>
      </c>
      <c r="C1130" t="s">
        <v>58</v>
      </c>
      <c r="D1130" t="s">
        <v>1527</v>
      </c>
      <c r="E1130" t="s">
        <v>1525</v>
      </c>
    </row>
    <row r="1131" spans="1:5" x14ac:dyDescent="0.2">
      <c r="A1131" s="269">
        <v>45911.630868055552</v>
      </c>
      <c r="B1131" t="s">
        <v>1431</v>
      </c>
      <c r="C1131" t="s">
        <v>58</v>
      </c>
      <c r="D1131" t="s">
        <v>1528</v>
      </c>
    </row>
    <row r="1132" spans="1:5" x14ac:dyDescent="0.2">
      <c r="A1132" s="269">
        <v>45911.636759259258</v>
      </c>
      <c r="B1132" t="s">
        <v>1431</v>
      </c>
      <c r="C1132" t="s">
        <v>58</v>
      </c>
      <c r="D1132" t="s">
        <v>1529</v>
      </c>
      <c r="E1132">
        <v>140.91</v>
      </c>
    </row>
    <row r="1133" spans="1:5" x14ac:dyDescent="0.2">
      <c r="A1133" s="269">
        <v>45911.636793981481</v>
      </c>
      <c r="B1133" t="s">
        <v>1431</v>
      </c>
      <c r="C1133" t="s">
        <v>58</v>
      </c>
      <c r="D1133" t="s">
        <v>1530</v>
      </c>
      <c r="E1133">
        <v>79.37</v>
      </c>
    </row>
    <row r="1134" spans="1:5" x14ac:dyDescent="0.2">
      <c r="A1134" s="269">
        <v>45911.636817129627</v>
      </c>
      <c r="B1134" t="s">
        <v>1431</v>
      </c>
      <c r="C1134" t="s">
        <v>58</v>
      </c>
      <c r="D1134" t="s">
        <v>1531</v>
      </c>
      <c r="E1134">
        <v>112.76</v>
      </c>
    </row>
    <row r="1135" spans="1:5" x14ac:dyDescent="0.2">
      <c r="A1135" s="269">
        <v>45911.636840277781</v>
      </c>
      <c r="B1135" t="s">
        <v>1431</v>
      </c>
      <c r="C1135" t="s">
        <v>58</v>
      </c>
      <c r="D1135" t="s">
        <v>1532</v>
      </c>
      <c r="E1135">
        <v>58.78</v>
      </c>
    </row>
    <row r="1136" spans="1:5" x14ac:dyDescent="0.2">
      <c r="A1136" s="269">
        <v>45911.636863425927</v>
      </c>
      <c r="B1136" t="s">
        <v>1431</v>
      </c>
      <c r="C1136" t="s">
        <v>58</v>
      </c>
      <c r="D1136" t="s">
        <v>1533</v>
      </c>
      <c r="E1136">
        <v>105.66</v>
      </c>
    </row>
    <row r="1137" spans="1:5" x14ac:dyDescent="0.2">
      <c r="A1137" s="269">
        <v>45911.636886574073</v>
      </c>
      <c r="B1137" t="s">
        <v>1431</v>
      </c>
      <c r="C1137" t="s">
        <v>58</v>
      </c>
      <c r="D1137" t="s">
        <v>1534</v>
      </c>
      <c r="E1137">
        <v>42.28</v>
      </c>
    </row>
    <row r="1138" spans="1:5" x14ac:dyDescent="0.2">
      <c r="A1138" s="269">
        <v>45911.636921296296</v>
      </c>
      <c r="B1138" t="s">
        <v>1431</v>
      </c>
      <c r="C1138" t="s">
        <v>58</v>
      </c>
      <c r="D1138" t="s">
        <v>1535</v>
      </c>
      <c r="E1138">
        <v>139.43</v>
      </c>
    </row>
    <row r="1139" spans="1:5" x14ac:dyDescent="0.2">
      <c r="A1139" s="269">
        <v>45911.637071759258</v>
      </c>
      <c r="B1139" t="s">
        <v>1431</v>
      </c>
      <c r="C1139" t="s">
        <v>58</v>
      </c>
      <c r="D1139" t="s">
        <v>1535</v>
      </c>
      <c r="E1139">
        <v>139.62</v>
      </c>
    </row>
    <row r="1140" spans="1:5" x14ac:dyDescent="0.2">
      <c r="A1140" s="269">
        <v>45911.637094907404</v>
      </c>
      <c r="B1140" t="s">
        <v>1431</v>
      </c>
      <c r="C1140" t="s">
        <v>58</v>
      </c>
      <c r="D1140" t="s">
        <v>1536</v>
      </c>
      <c r="E1140">
        <v>181.43</v>
      </c>
    </row>
    <row r="1141" spans="1:5" x14ac:dyDescent="0.2">
      <c r="A1141" s="269">
        <v>45911.637141203704</v>
      </c>
      <c r="B1141" t="s">
        <v>1431</v>
      </c>
      <c r="C1141" t="s">
        <v>58</v>
      </c>
      <c r="D1141" t="s">
        <v>1537</v>
      </c>
      <c r="E1141">
        <v>199.96</v>
      </c>
    </row>
    <row r="1142" spans="1:5" x14ac:dyDescent="0.2">
      <c r="A1142" s="269">
        <v>45911.637164351851</v>
      </c>
      <c r="B1142" t="s">
        <v>1431</v>
      </c>
      <c r="C1142" t="s">
        <v>58</v>
      </c>
      <c r="D1142" t="s">
        <v>1538</v>
      </c>
      <c r="E1142">
        <v>86.1</v>
      </c>
    </row>
    <row r="1143" spans="1:5" x14ac:dyDescent="0.2">
      <c r="A1143" s="269">
        <v>45911.637187499997</v>
      </c>
      <c r="B1143" t="s">
        <v>1431</v>
      </c>
      <c r="C1143" t="s">
        <v>58</v>
      </c>
      <c r="D1143" t="s">
        <v>1539</v>
      </c>
      <c r="E1143">
        <v>139.35</v>
      </c>
    </row>
    <row r="1144" spans="1:5" x14ac:dyDescent="0.2">
      <c r="A1144" s="269">
        <v>45911.637199074074</v>
      </c>
      <c r="B1144" t="s">
        <v>1431</v>
      </c>
      <c r="C1144" t="s">
        <v>58</v>
      </c>
      <c r="D1144" t="s">
        <v>1540</v>
      </c>
      <c r="E1144">
        <v>82.22</v>
      </c>
    </row>
    <row r="1145" spans="1:5" x14ac:dyDescent="0.2">
      <c r="A1145" s="269">
        <v>45911.637789351851</v>
      </c>
      <c r="B1145" t="s">
        <v>1431</v>
      </c>
      <c r="C1145" t="s">
        <v>58</v>
      </c>
      <c r="D1145" t="s">
        <v>1541</v>
      </c>
      <c r="E1145">
        <v>1127</v>
      </c>
    </row>
    <row r="1146" spans="1:5" x14ac:dyDescent="0.2">
      <c r="A1146" s="269">
        <v>45911.637812499997</v>
      </c>
      <c r="B1146" t="s">
        <v>1431</v>
      </c>
      <c r="C1146" t="s">
        <v>58</v>
      </c>
      <c r="D1146" t="s">
        <v>1542</v>
      </c>
      <c r="E1146">
        <v>676</v>
      </c>
    </row>
    <row r="1147" spans="1:5" x14ac:dyDescent="0.2">
      <c r="A1147" s="269">
        <v>45911.637824074074</v>
      </c>
      <c r="B1147" t="s">
        <v>1431</v>
      </c>
      <c r="C1147" t="s">
        <v>58</v>
      </c>
      <c r="D1147" t="s">
        <v>1543</v>
      </c>
      <c r="E1147">
        <v>1019</v>
      </c>
    </row>
    <row r="1148" spans="1:5" x14ac:dyDescent="0.2">
      <c r="A1148" s="269">
        <v>45911.637835648151</v>
      </c>
      <c r="B1148" t="s">
        <v>1431</v>
      </c>
      <c r="C1148" t="s">
        <v>58</v>
      </c>
      <c r="D1148" t="s">
        <v>1544</v>
      </c>
      <c r="E1148">
        <v>470</v>
      </c>
    </row>
    <row r="1149" spans="1:5" x14ac:dyDescent="0.2">
      <c r="A1149" s="269">
        <v>45911.637858796297</v>
      </c>
      <c r="B1149" t="s">
        <v>1431</v>
      </c>
      <c r="C1149" t="s">
        <v>58</v>
      </c>
      <c r="D1149" t="s">
        <v>1545</v>
      </c>
      <c r="E1149">
        <v>846</v>
      </c>
    </row>
    <row r="1150" spans="1:5" x14ac:dyDescent="0.2">
      <c r="A1150" s="269">
        <v>45911.637870370374</v>
      </c>
      <c r="B1150" t="s">
        <v>1431</v>
      </c>
      <c r="C1150" t="s">
        <v>58</v>
      </c>
      <c r="D1150" t="s">
        <v>1546</v>
      </c>
      <c r="E1150">
        <v>386</v>
      </c>
    </row>
    <row r="1151" spans="1:5" x14ac:dyDescent="0.2">
      <c r="A1151" s="269">
        <v>45911.637881944444</v>
      </c>
      <c r="B1151" t="s">
        <v>1431</v>
      </c>
      <c r="C1151" t="s">
        <v>58</v>
      </c>
      <c r="D1151" t="s">
        <v>1547</v>
      </c>
      <c r="E1151">
        <v>1166</v>
      </c>
    </row>
    <row r="1152" spans="1:5" x14ac:dyDescent="0.2">
      <c r="A1152" s="269">
        <v>45911.63790509259</v>
      </c>
      <c r="B1152" t="s">
        <v>1431</v>
      </c>
      <c r="C1152" t="s">
        <v>58</v>
      </c>
      <c r="D1152" t="s">
        <v>1548</v>
      </c>
      <c r="E1152">
        <v>1803</v>
      </c>
    </row>
    <row r="1153" spans="1:5" x14ac:dyDescent="0.2">
      <c r="A1153" s="269">
        <v>45911.637928240743</v>
      </c>
      <c r="B1153" t="s">
        <v>1431</v>
      </c>
      <c r="C1153" t="s">
        <v>58</v>
      </c>
      <c r="D1153" t="s">
        <v>1549</v>
      </c>
      <c r="E1153">
        <v>1890</v>
      </c>
    </row>
    <row r="1154" spans="1:5" x14ac:dyDescent="0.2">
      <c r="A1154" s="269">
        <v>45911.637939814813</v>
      </c>
      <c r="B1154" t="s">
        <v>1431</v>
      </c>
      <c r="C1154" t="s">
        <v>58</v>
      </c>
      <c r="D1154" t="s">
        <v>1550</v>
      </c>
      <c r="E1154">
        <v>749</v>
      </c>
    </row>
    <row r="1155" spans="1:5" x14ac:dyDescent="0.2">
      <c r="A1155" s="269">
        <v>45911.63795138889</v>
      </c>
      <c r="B1155" t="s">
        <v>1431</v>
      </c>
      <c r="C1155" t="s">
        <v>58</v>
      </c>
      <c r="D1155" t="s">
        <v>1551</v>
      </c>
      <c r="E1155">
        <v>1329</v>
      </c>
    </row>
    <row r="1156" spans="1:5" x14ac:dyDescent="0.2">
      <c r="A1156" s="269">
        <v>45911.637962962966</v>
      </c>
      <c r="B1156" t="s">
        <v>1431</v>
      </c>
      <c r="C1156" t="s">
        <v>58</v>
      </c>
      <c r="D1156" t="s">
        <v>1552</v>
      </c>
      <c r="E1156">
        <v>699</v>
      </c>
    </row>
    <row r="1157" spans="1:5" x14ac:dyDescent="0.2">
      <c r="A1157" s="269">
        <v>45911.65729166667</v>
      </c>
      <c r="B1157" t="s">
        <v>1431</v>
      </c>
      <c r="C1157" t="s">
        <v>103</v>
      </c>
      <c r="D1157" t="s">
        <v>1553</v>
      </c>
      <c r="E1157" t="s">
        <v>1449</v>
      </c>
    </row>
    <row r="1158" spans="1:5" x14ac:dyDescent="0.2">
      <c r="A1158" s="269">
        <v>45911.657349537039</v>
      </c>
      <c r="B1158" t="s">
        <v>1431</v>
      </c>
      <c r="C1158" t="s">
        <v>25</v>
      </c>
      <c r="D1158" t="s">
        <v>1553</v>
      </c>
      <c r="E1158" t="s">
        <v>1449</v>
      </c>
    </row>
    <row r="1159" spans="1:5" x14ac:dyDescent="0.2">
      <c r="A1159" s="269">
        <v>45911.658182870371</v>
      </c>
      <c r="B1159" t="s">
        <v>1431</v>
      </c>
      <c r="C1159" t="s">
        <v>103</v>
      </c>
      <c r="D1159" t="s">
        <v>1435</v>
      </c>
      <c r="E1159" t="s">
        <v>338</v>
      </c>
    </row>
    <row r="1160" spans="1:5" x14ac:dyDescent="0.2">
      <c r="A1160" s="269">
        <v>45911.658310185187</v>
      </c>
      <c r="B1160" t="s">
        <v>1431</v>
      </c>
      <c r="C1160" t="s">
        <v>103</v>
      </c>
      <c r="D1160" t="s">
        <v>1554</v>
      </c>
      <c r="E1160" t="s">
        <v>338</v>
      </c>
    </row>
    <row r="1161" spans="1:5" x14ac:dyDescent="0.2">
      <c r="A1161" s="269">
        <v>45911.662569444445</v>
      </c>
      <c r="B1161" t="s">
        <v>1431</v>
      </c>
      <c r="C1161" t="s">
        <v>103</v>
      </c>
      <c r="D1161" t="s">
        <v>983</v>
      </c>
      <c r="E1161">
        <v>28140</v>
      </c>
    </row>
    <row r="1162" spans="1:5" x14ac:dyDescent="0.2">
      <c r="A1162" s="269">
        <v>45911.662581018521</v>
      </c>
      <c r="B1162" t="s">
        <v>1431</v>
      </c>
      <c r="C1162" t="s">
        <v>103</v>
      </c>
      <c r="D1162" t="s">
        <v>1066</v>
      </c>
      <c r="E1162">
        <v>28980</v>
      </c>
    </row>
    <row r="1163" spans="1:5" x14ac:dyDescent="0.2">
      <c r="A1163" s="269">
        <v>45911.662604166668</v>
      </c>
      <c r="B1163" t="s">
        <v>1431</v>
      </c>
      <c r="C1163" t="s">
        <v>103</v>
      </c>
      <c r="D1163" t="s">
        <v>994</v>
      </c>
      <c r="E1163">
        <v>29820</v>
      </c>
    </row>
    <row r="1164" spans="1:5" x14ac:dyDescent="0.2">
      <c r="A1164" s="269">
        <v>45911.662627314814</v>
      </c>
      <c r="B1164" t="s">
        <v>1431</v>
      </c>
      <c r="C1164" t="s">
        <v>103</v>
      </c>
      <c r="D1164" t="s">
        <v>1015</v>
      </c>
      <c r="E1164">
        <v>31500</v>
      </c>
    </row>
    <row r="1165" spans="1:5" x14ac:dyDescent="0.2">
      <c r="A1165" s="269">
        <v>45911.66265046296</v>
      </c>
      <c r="B1165" t="s">
        <v>1431</v>
      </c>
      <c r="C1165" t="s">
        <v>103</v>
      </c>
      <c r="D1165" t="s">
        <v>1018</v>
      </c>
      <c r="E1165">
        <v>42210</v>
      </c>
    </row>
    <row r="1166" spans="1:5" x14ac:dyDescent="0.2">
      <c r="A1166" s="269">
        <v>45911.662662037037</v>
      </c>
      <c r="B1166" t="s">
        <v>1431</v>
      </c>
      <c r="C1166" t="s">
        <v>103</v>
      </c>
      <c r="D1166" t="s">
        <v>1068</v>
      </c>
      <c r="E1166">
        <v>25200</v>
      </c>
    </row>
    <row r="1167" spans="1:5" x14ac:dyDescent="0.2">
      <c r="A1167" s="269">
        <v>45911.662685185183</v>
      </c>
      <c r="B1167" t="s">
        <v>1431</v>
      </c>
      <c r="C1167" t="s">
        <v>103</v>
      </c>
      <c r="D1167" t="s">
        <v>1069</v>
      </c>
      <c r="E1167">
        <v>30590</v>
      </c>
    </row>
    <row r="1168" spans="1:5" x14ac:dyDescent="0.2">
      <c r="A1168" s="269">
        <v>45911.662708333337</v>
      </c>
      <c r="B1168" t="s">
        <v>1431</v>
      </c>
      <c r="C1168" t="s">
        <v>103</v>
      </c>
      <c r="D1168" t="s">
        <v>1452</v>
      </c>
      <c r="E1168">
        <v>33320</v>
      </c>
    </row>
    <row r="1169" spans="1:5" x14ac:dyDescent="0.2">
      <c r="A1169" s="269">
        <v>45911.662731481483</v>
      </c>
      <c r="B1169" t="s">
        <v>1431</v>
      </c>
      <c r="C1169" t="s">
        <v>103</v>
      </c>
      <c r="D1169" t="s">
        <v>1453</v>
      </c>
      <c r="E1169">
        <v>32760</v>
      </c>
    </row>
    <row r="1170" spans="1:5" x14ac:dyDescent="0.2">
      <c r="A1170" s="269">
        <v>45911.662754629629</v>
      </c>
      <c r="B1170" t="s">
        <v>1431</v>
      </c>
      <c r="C1170" t="s">
        <v>103</v>
      </c>
      <c r="D1170" t="s">
        <v>1454</v>
      </c>
      <c r="E1170">
        <v>35070</v>
      </c>
    </row>
    <row r="1171" spans="1:5" x14ac:dyDescent="0.2">
      <c r="A1171" s="269">
        <v>45911.662789351853</v>
      </c>
      <c r="B1171" t="s">
        <v>1431</v>
      </c>
      <c r="C1171" t="s">
        <v>103</v>
      </c>
      <c r="D1171" t="s">
        <v>1456</v>
      </c>
      <c r="E1171">
        <v>36750</v>
      </c>
    </row>
    <row r="1172" spans="1:5" x14ac:dyDescent="0.2">
      <c r="A1172" s="269">
        <v>45911.662812499999</v>
      </c>
      <c r="B1172" t="s">
        <v>1431</v>
      </c>
      <c r="C1172" t="s">
        <v>103</v>
      </c>
      <c r="D1172" t="s">
        <v>1555</v>
      </c>
      <c r="E1172">
        <v>32690</v>
      </c>
    </row>
    <row r="1173" spans="1:5" x14ac:dyDescent="0.2">
      <c r="A1173" s="269">
        <v>45911.662986111114</v>
      </c>
      <c r="B1173" t="s">
        <v>1431</v>
      </c>
      <c r="C1173" t="s">
        <v>103</v>
      </c>
      <c r="D1173" t="s">
        <v>937</v>
      </c>
      <c r="E1173" t="s">
        <v>382</v>
      </c>
    </row>
    <row r="1174" spans="1:5" x14ac:dyDescent="0.2">
      <c r="A1174" s="269">
        <v>45911.663032407407</v>
      </c>
      <c r="B1174" t="s">
        <v>1431</v>
      </c>
      <c r="C1174" t="s">
        <v>103</v>
      </c>
      <c r="D1174" t="s">
        <v>1556</v>
      </c>
      <c r="E1174" t="s">
        <v>382</v>
      </c>
    </row>
    <row r="1175" spans="1:5" x14ac:dyDescent="0.2">
      <c r="A1175" s="269">
        <v>45911.663124999999</v>
      </c>
      <c r="B1175" t="s">
        <v>1431</v>
      </c>
      <c r="C1175" t="s">
        <v>103</v>
      </c>
      <c r="D1175" t="s">
        <v>1436</v>
      </c>
      <c r="E1175">
        <v>293174.64</v>
      </c>
    </row>
    <row r="1176" spans="1:5" x14ac:dyDescent="0.2">
      <c r="A1176" s="269">
        <v>45911.663171296299</v>
      </c>
      <c r="B1176" t="s">
        <v>1431</v>
      </c>
      <c r="C1176" t="s">
        <v>103</v>
      </c>
      <c r="D1176" t="s">
        <v>973</v>
      </c>
      <c r="E1176">
        <v>306863.92</v>
      </c>
    </row>
    <row r="1177" spans="1:5" x14ac:dyDescent="0.2">
      <c r="A1177" s="269">
        <v>45911.663217592592</v>
      </c>
      <c r="B1177" t="s">
        <v>1431</v>
      </c>
      <c r="C1177" t="s">
        <v>103</v>
      </c>
      <c r="D1177" t="s">
        <v>976</v>
      </c>
      <c r="E1177">
        <v>331379.73</v>
      </c>
    </row>
    <row r="1178" spans="1:5" x14ac:dyDescent="0.2">
      <c r="A1178" s="269">
        <v>45911.663252314815</v>
      </c>
      <c r="B1178" t="s">
        <v>1431</v>
      </c>
      <c r="C1178" t="s">
        <v>103</v>
      </c>
      <c r="D1178" t="s">
        <v>977</v>
      </c>
      <c r="E1178">
        <v>329404.84000000003</v>
      </c>
    </row>
    <row r="1179" spans="1:5" x14ac:dyDescent="0.2">
      <c r="A1179" s="269">
        <v>45911.663287037038</v>
      </c>
      <c r="B1179" t="s">
        <v>1431</v>
      </c>
      <c r="C1179" t="s">
        <v>103</v>
      </c>
      <c r="D1179" t="s">
        <v>923</v>
      </c>
      <c r="E1179">
        <v>404732.67</v>
      </c>
    </row>
    <row r="1180" spans="1:5" x14ac:dyDescent="0.2">
      <c r="A1180" s="269">
        <v>45911.663321759261</v>
      </c>
      <c r="B1180" t="s">
        <v>1431</v>
      </c>
      <c r="C1180" t="s">
        <v>103</v>
      </c>
      <c r="D1180" t="s">
        <v>918</v>
      </c>
      <c r="E1180">
        <v>237998.86</v>
      </c>
    </row>
    <row r="1181" spans="1:5" x14ac:dyDescent="0.2">
      <c r="A1181" s="269">
        <v>45911.663368055553</v>
      </c>
      <c r="B1181" t="s">
        <v>1431</v>
      </c>
      <c r="C1181" t="s">
        <v>103</v>
      </c>
      <c r="D1181" t="s">
        <v>924</v>
      </c>
      <c r="E1181">
        <v>208581.14</v>
      </c>
    </row>
    <row r="1182" spans="1:5" x14ac:dyDescent="0.2">
      <c r="A1182" s="269">
        <v>45911.663402777776</v>
      </c>
      <c r="B1182" t="s">
        <v>1431</v>
      </c>
      <c r="C1182" t="s">
        <v>103</v>
      </c>
      <c r="D1182" t="s">
        <v>1446</v>
      </c>
      <c r="E1182">
        <v>297531.5</v>
      </c>
    </row>
    <row r="1183" spans="1:5" x14ac:dyDescent="0.2">
      <c r="A1183" s="269">
        <v>45911.663437499999</v>
      </c>
      <c r="B1183" t="s">
        <v>1431</v>
      </c>
      <c r="C1183" t="s">
        <v>103</v>
      </c>
      <c r="D1183" t="s">
        <v>981</v>
      </c>
      <c r="E1183">
        <v>282423.8</v>
      </c>
    </row>
    <row r="1184" spans="1:5" x14ac:dyDescent="0.2">
      <c r="A1184" s="269">
        <v>45911.663483796299</v>
      </c>
      <c r="B1184" t="s">
        <v>1431</v>
      </c>
      <c r="C1184" t="s">
        <v>103</v>
      </c>
      <c r="D1184" t="s">
        <v>1447</v>
      </c>
      <c r="E1184">
        <v>297756.83</v>
      </c>
    </row>
    <row r="1185" spans="1:5" x14ac:dyDescent="0.2">
      <c r="A1185" s="269">
        <v>45911.663518518515</v>
      </c>
      <c r="B1185" t="s">
        <v>1431</v>
      </c>
      <c r="C1185" t="s">
        <v>103</v>
      </c>
      <c r="D1185" t="s">
        <v>1448</v>
      </c>
      <c r="E1185">
        <v>320962.90000000002</v>
      </c>
    </row>
    <row r="1186" spans="1:5" x14ac:dyDescent="0.2">
      <c r="A1186" s="269">
        <v>45911.663541666669</v>
      </c>
      <c r="B1186" t="s">
        <v>1431</v>
      </c>
      <c r="C1186" t="s">
        <v>103</v>
      </c>
      <c r="D1186" t="s">
        <v>1557</v>
      </c>
      <c r="E1186">
        <v>300720.46999999997</v>
      </c>
    </row>
    <row r="1187" spans="1:5" x14ac:dyDescent="0.2">
      <c r="A1187" s="269">
        <v>45911.663912037038</v>
      </c>
      <c r="B1187" t="s">
        <v>1431</v>
      </c>
      <c r="C1187" t="s">
        <v>26</v>
      </c>
      <c r="D1187" t="s">
        <v>1559</v>
      </c>
      <c r="E1187" t="s">
        <v>1558</v>
      </c>
    </row>
    <row r="1188" spans="1:5" x14ac:dyDescent="0.2">
      <c r="A1188" s="269">
        <v>45911.664189814815</v>
      </c>
      <c r="B1188" t="s">
        <v>1431</v>
      </c>
      <c r="C1188" t="s">
        <v>26</v>
      </c>
      <c r="D1188" t="s">
        <v>1554</v>
      </c>
      <c r="E1188" t="s">
        <v>338</v>
      </c>
    </row>
    <row r="1189" spans="1:5" x14ac:dyDescent="0.2">
      <c r="A1189" s="269">
        <v>45911.664236111108</v>
      </c>
      <c r="B1189" t="s">
        <v>1431</v>
      </c>
      <c r="C1189" t="s">
        <v>26</v>
      </c>
      <c r="D1189" t="s">
        <v>1435</v>
      </c>
      <c r="E1189" t="s">
        <v>338</v>
      </c>
    </row>
    <row r="1190" spans="1:5" x14ac:dyDescent="0.2">
      <c r="A1190" s="269">
        <v>45911.6643287037</v>
      </c>
      <c r="B1190" t="s">
        <v>1431</v>
      </c>
      <c r="C1190" t="s">
        <v>26</v>
      </c>
      <c r="D1190" t="s">
        <v>983</v>
      </c>
      <c r="E1190" t="s">
        <v>124</v>
      </c>
    </row>
    <row r="1191" spans="1:5" x14ac:dyDescent="0.2">
      <c r="A1191" s="269">
        <v>45911.664386574077</v>
      </c>
      <c r="B1191" t="s">
        <v>1431</v>
      </c>
      <c r="C1191" t="s">
        <v>26</v>
      </c>
      <c r="D1191" t="s">
        <v>1560</v>
      </c>
      <c r="E1191" t="s">
        <v>124</v>
      </c>
    </row>
    <row r="1192" spans="1:5" x14ac:dyDescent="0.2">
      <c r="A1192" s="269">
        <v>45911.671412037038</v>
      </c>
      <c r="B1192" t="s">
        <v>1431</v>
      </c>
      <c r="C1192" t="s">
        <v>26</v>
      </c>
      <c r="D1192" t="s">
        <v>1436</v>
      </c>
      <c r="E1192">
        <v>45</v>
      </c>
    </row>
    <row r="1193" spans="1:5" x14ac:dyDescent="0.2">
      <c r="A1193" s="269">
        <v>45911.671423611115</v>
      </c>
      <c r="B1193" t="s">
        <v>1431</v>
      </c>
      <c r="C1193" t="s">
        <v>26</v>
      </c>
      <c r="D1193" t="s">
        <v>973</v>
      </c>
      <c r="E1193">
        <v>76</v>
      </c>
    </row>
    <row r="1194" spans="1:5" x14ac:dyDescent="0.2">
      <c r="A1194" s="269">
        <v>45911.671481481484</v>
      </c>
      <c r="B1194" t="s">
        <v>1431</v>
      </c>
      <c r="C1194" t="s">
        <v>26</v>
      </c>
      <c r="D1194" t="s">
        <v>976</v>
      </c>
      <c r="E1194">
        <v>66</v>
      </c>
    </row>
    <row r="1195" spans="1:5" x14ac:dyDescent="0.2">
      <c r="A1195" s="269">
        <v>45911.671493055554</v>
      </c>
      <c r="B1195" t="s">
        <v>1431</v>
      </c>
      <c r="C1195" t="s">
        <v>26</v>
      </c>
      <c r="D1195" t="s">
        <v>977</v>
      </c>
      <c r="E1195">
        <v>94</v>
      </c>
    </row>
    <row r="1196" spans="1:5" x14ac:dyDescent="0.2">
      <c r="A1196" s="269">
        <v>45911.671516203707</v>
      </c>
      <c r="B1196" t="s">
        <v>1431</v>
      </c>
      <c r="C1196" t="s">
        <v>26</v>
      </c>
      <c r="D1196" t="s">
        <v>923</v>
      </c>
      <c r="E1196">
        <v>83</v>
      </c>
    </row>
    <row r="1197" spans="1:5" x14ac:dyDescent="0.2">
      <c r="A1197" s="269">
        <v>45911.671527777777</v>
      </c>
      <c r="B1197" t="s">
        <v>1431</v>
      </c>
      <c r="C1197" t="s">
        <v>26</v>
      </c>
      <c r="D1197" t="s">
        <v>918</v>
      </c>
      <c r="E1197">
        <v>41</v>
      </c>
    </row>
    <row r="1198" spans="1:5" x14ac:dyDescent="0.2">
      <c r="A1198" s="269">
        <v>45911.671539351853</v>
      </c>
      <c r="B1198" t="s">
        <v>1431</v>
      </c>
      <c r="C1198" t="s">
        <v>26</v>
      </c>
      <c r="D1198" t="s">
        <v>924</v>
      </c>
      <c r="E1198">
        <v>58</v>
      </c>
    </row>
    <row r="1199" spans="1:5" x14ac:dyDescent="0.2">
      <c r="A1199" s="269">
        <v>45911.671550925923</v>
      </c>
      <c r="B1199" t="s">
        <v>1431</v>
      </c>
      <c r="C1199" t="s">
        <v>26</v>
      </c>
      <c r="D1199" t="s">
        <v>1446</v>
      </c>
      <c r="E1199">
        <v>62</v>
      </c>
    </row>
    <row r="1200" spans="1:5" x14ac:dyDescent="0.2">
      <c r="A1200" s="269">
        <v>45911.6715625</v>
      </c>
      <c r="B1200" t="s">
        <v>1431</v>
      </c>
      <c r="C1200" t="s">
        <v>26</v>
      </c>
      <c r="D1200" t="s">
        <v>981</v>
      </c>
      <c r="E1200">
        <v>66</v>
      </c>
    </row>
    <row r="1201" spans="1:5" x14ac:dyDescent="0.2">
      <c r="A1201" s="269">
        <v>45911.671597222223</v>
      </c>
      <c r="B1201" t="s">
        <v>1431</v>
      </c>
      <c r="C1201" t="s">
        <v>26</v>
      </c>
      <c r="D1201" t="s">
        <v>1447</v>
      </c>
      <c r="E1201">
        <v>63</v>
      </c>
    </row>
    <row r="1202" spans="1:5" x14ac:dyDescent="0.2">
      <c r="A1202" s="269">
        <v>45911.6716087963</v>
      </c>
      <c r="B1202" t="s">
        <v>1431</v>
      </c>
      <c r="C1202" t="s">
        <v>26</v>
      </c>
      <c r="D1202" t="s">
        <v>1448</v>
      </c>
      <c r="E1202">
        <v>88</v>
      </c>
    </row>
    <row r="1203" spans="1:5" x14ac:dyDescent="0.2">
      <c r="A1203" s="269">
        <v>45911.6716087963</v>
      </c>
      <c r="B1203" t="s">
        <v>1431</v>
      </c>
      <c r="C1203" t="s">
        <v>26</v>
      </c>
      <c r="D1203" t="s">
        <v>1557</v>
      </c>
      <c r="E1203">
        <v>49</v>
      </c>
    </row>
    <row r="1204" spans="1:5" x14ac:dyDescent="0.2">
      <c r="A1204" s="269">
        <v>45911.676296296297</v>
      </c>
      <c r="B1204" t="s">
        <v>1431</v>
      </c>
      <c r="C1204" t="s">
        <v>26</v>
      </c>
      <c r="D1204" t="s">
        <v>1553</v>
      </c>
      <c r="E1204" t="s">
        <v>1449</v>
      </c>
    </row>
    <row r="1205" spans="1:5" x14ac:dyDescent="0.2">
      <c r="A1205" s="269">
        <v>45911.67633101852</v>
      </c>
      <c r="B1205" t="s">
        <v>1431</v>
      </c>
      <c r="C1205" t="s">
        <v>28</v>
      </c>
      <c r="D1205" t="s">
        <v>1553</v>
      </c>
      <c r="E1205" t="s">
        <v>1449</v>
      </c>
    </row>
    <row r="1206" spans="1:5" x14ac:dyDescent="0.2">
      <c r="A1206" s="269">
        <v>45911.676562499997</v>
      </c>
      <c r="B1206" t="s">
        <v>1431</v>
      </c>
      <c r="C1206" t="s">
        <v>28</v>
      </c>
      <c r="D1206" t="s">
        <v>1553</v>
      </c>
    </row>
    <row r="1207" spans="1:5" x14ac:dyDescent="0.2">
      <c r="A1207" s="269">
        <v>45911.730138888888</v>
      </c>
      <c r="B1207" t="s">
        <v>1431</v>
      </c>
      <c r="C1207" t="s">
        <v>28</v>
      </c>
      <c r="D1207" t="s">
        <v>1554</v>
      </c>
      <c r="E1207" t="s">
        <v>338</v>
      </c>
    </row>
    <row r="1208" spans="1:5" x14ac:dyDescent="0.2">
      <c r="A1208" s="269">
        <v>45911.730162037034</v>
      </c>
      <c r="B1208" t="s">
        <v>1431</v>
      </c>
      <c r="C1208" t="s">
        <v>28</v>
      </c>
      <c r="D1208" t="s">
        <v>1561</v>
      </c>
      <c r="E1208" t="s">
        <v>338</v>
      </c>
    </row>
    <row r="1209" spans="1:5" x14ac:dyDescent="0.2">
      <c r="A1209" s="269">
        <v>45911.730185185188</v>
      </c>
      <c r="B1209" t="s">
        <v>1431</v>
      </c>
      <c r="C1209" t="s">
        <v>28</v>
      </c>
      <c r="D1209" t="s">
        <v>1518</v>
      </c>
      <c r="E1209" t="s">
        <v>338</v>
      </c>
    </row>
    <row r="1210" spans="1:5" x14ac:dyDescent="0.2">
      <c r="A1210" s="269">
        <v>45911.730196759258</v>
      </c>
      <c r="B1210" t="s">
        <v>1431</v>
      </c>
      <c r="C1210" t="s">
        <v>28</v>
      </c>
      <c r="D1210" t="s">
        <v>1562</v>
      </c>
      <c r="E1210" t="s">
        <v>338</v>
      </c>
    </row>
    <row r="1211" spans="1:5" x14ac:dyDescent="0.2">
      <c r="A1211" s="269">
        <v>45911.730219907404</v>
      </c>
      <c r="B1211" t="s">
        <v>1431</v>
      </c>
      <c r="C1211" t="s">
        <v>28</v>
      </c>
      <c r="D1211" t="s">
        <v>1563</v>
      </c>
      <c r="E1211" t="s">
        <v>338</v>
      </c>
    </row>
    <row r="1212" spans="1:5" x14ac:dyDescent="0.2">
      <c r="A1212" s="269">
        <v>45911.730231481481</v>
      </c>
      <c r="B1212" t="s">
        <v>1431</v>
      </c>
      <c r="C1212" t="s">
        <v>28</v>
      </c>
      <c r="D1212" t="s">
        <v>1564</v>
      </c>
      <c r="E1212" t="s">
        <v>338</v>
      </c>
    </row>
    <row r="1213" spans="1:5" x14ac:dyDescent="0.2">
      <c r="A1213" s="269">
        <v>45911.73028935185</v>
      </c>
      <c r="B1213" t="s">
        <v>1431</v>
      </c>
      <c r="C1213" t="s">
        <v>28</v>
      </c>
      <c r="D1213" t="s">
        <v>983</v>
      </c>
      <c r="E1213" t="s">
        <v>139</v>
      </c>
    </row>
    <row r="1214" spans="1:5" x14ac:dyDescent="0.2">
      <c r="A1214" s="269">
        <v>45911.730300925927</v>
      </c>
      <c r="B1214" t="s">
        <v>1431</v>
      </c>
      <c r="C1214" t="s">
        <v>28</v>
      </c>
      <c r="D1214" t="s">
        <v>1066</v>
      </c>
      <c r="E1214" t="s">
        <v>139</v>
      </c>
    </row>
    <row r="1215" spans="1:5" x14ac:dyDescent="0.2">
      <c r="A1215" s="269">
        <v>45911.730428240742</v>
      </c>
      <c r="B1215" t="s">
        <v>1431</v>
      </c>
      <c r="C1215" t="s">
        <v>28</v>
      </c>
      <c r="D1215" t="s">
        <v>1565</v>
      </c>
      <c r="E1215" t="s">
        <v>139</v>
      </c>
    </row>
    <row r="1216" spans="1:5" x14ac:dyDescent="0.2">
      <c r="A1216" s="269">
        <v>45911.730497685188</v>
      </c>
      <c r="B1216" t="s">
        <v>1431</v>
      </c>
      <c r="C1216" t="s">
        <v>28</v>
      </c>
      <c r="D1216" t="s">
        <v>1566</v>
      </c>
      <c r="E1216" t="s">
        <v>318</v>
      </c>
    </row>
    <row r="1217" spans="1:5" x14ac:dyDescent="0.2">
      <c r="A1217" s="269">
        <v>45911.730555555558</v>
      </c>
      <c r="B1217" t="s">
        <v>1431</v>
      </c>
      <c r="C1217" t="s">
        <v>28</v>
      </c>
      <c r="D1217" t="s">
        <v>1567</v>
      </c>
      <c r="E1217" t="s">
        <v>318</v>
      </c>
    </row>
    <row r="1218" spans="1:5" x14ac:dyDescent="0.2">
      <c r="A1218" s="269">
        <v>45911.730613425927</v>
      </c>
      <c r="B1218" t="s">
        <v>1431</v>
      </c>
      <c r="C1218" t="s">
        <v>28</v>
      </c>
      <c r="D1218" t="s">
        <v>1568</v>
      </c>
      <c r="E1218" t="s">
        <v>356</v>
      </c>
    </row>
    <row r="1219" spans="1:5" x14ac:dyDescent="0.2">
      <c r="A1219" s="269">
        <v>45911.730671296296</v>
      </c>
      <c r="B1219" t="s">
        <v>1431</v>
      </c>
      <c r="C1219" t="s">
        <v>28</v>
      </c>
      <c r="D1219" t="s">
        <v>1569</v>
      </c>
      <c r="E1219" t="s">
        <v>356</v>
      </c>
    </row>
    <row r="1220" spans="1:5" x14ac:dyDescent="0.2">
      <c r="A1220" s="269">
        <v>45911.730729166666</v>
      </c>
      <c r="B1220" t="s">
        <v>1431</v>
      </c>
      <c r="C1220" t="s">
        <v>28</v>
      </c>
      <c r="D1220" t="s">
        <v>1570</v>
      </c>
      <c r="E1220" t="s">
        <v>317</v>
      </c>
    </row>
    <row r="1221" spans="1:5" x14ac:dyDescent="0.2">
      <c r="A1221" s="269">
        <v>45911.730752314812</v>
      </c>
      <c r="B1221" t="s">
        <v>1431</v>
      </c>
      <c r="C1221" t="s">
        <v>28</v>
      </c>
      <c r="D1221" t="s">
        <v>1570</v>
      </c>
      <c r="E1221" t="s">
        <v>367</v>
      </c>
    </row>
    <row r="1222" spans="1:5" x14ac:dyDescent="0.2">
      <c r="A1222" s="269">
        <v>45911.730821759258</v>
      </c>
      <c r="B1222" t="s">
        <v>1431</v>
      </c>
      <c r="C1222" t="s">
        <v>28</v>
      </c>
      <c r="D1222" t="s">
        <v>1571</v>
      </c>
      <c r="E1222" t="s">
        <v>367</v>
      </c>
    </row>
    <row r="1223" spans="1:5" x14ac:dyDescent="0.2">
      <c r="A1223" s="269">
        <v>45911.730879629627</v>
      </c>
      <c r="B1223" t="s">
        <v>1431</v>
      </c>
      <c r="C1223" t="s">
        <v>28</v>
      </c>
      <c r="D1223" t="s">
        <v>1572</v>
      </c>
      <c r="E1223" t="s">
        <v>317</v>
      </c>
    </row>
    <row r="1224" spans="1:5" x14ac:dyDescent="0.2">
      <c r="A1224" s="269">
        <v>45911.730937499997</v>
      </c>
      <c r="B1224" t="s">
        <v>1431</v>
      </c>
      <c r="C1224" t="s">
        <v>28</v>
      </c>
      <c r="D1224" t="s">
        <v>1573</v>
      </c>
      <c r="E1224" t="s">
        <v>317</v>
      </c>
    </row>
    <row r="1225" spans="1:5" x14ac:dyDescent="0.2">
      <c r="A1225" s="269">
        <v>45911.730995370373</v>
      </c>
      <c r="B1225" t="s">
        <v>1431</v>
      </c>
      <c r="C1225" t="s">
        <v>28</v>
      </c>
      <c r="D1225" t="s">
        <v>1574</v>
      </c>
      <c r="E1225" t="s">
        <v>383</v>
      </c>
    </row>
    <row r="1226" spans="1:5" x14ac:dyDescent="0.2">
      <c r="A1226" s="269">
        <v>45911.731030092589</v>
      </c>
      <c r="B1226" t="s">
        <v>1431</v>
      </c>
      <c r="C1226" t="s">
        <v>28</v>
      </c>
      <c r="D1226" t="s">
        <v>1575</v>
      </c>
      <c r="E1226" t="s">
        <v>383</v>
      </c>
    </row>
    <row r="1227" spans="1:5" x14ac:dyDescent="0.2">
      <c r="A1227" s="269">
        <v>45911.731134259258</v>
      </c>
      <c r="B1227" t="s">
        <v>1431</v>
      </c>
      <c r="C1227" t="s">
        <v>28</v>
      </c>
      <c r="D1227" t="s">
        <v>1576</v>
      </c>
      <c r="E1227">
        <v>0</v>
      </c>
    </row>
    <row r="1228" spans="1:5" x14ac:dyDescent="0.2">
      <c r="A1228" s="269">
        <v>45911.731168981481</v>
      </c>
      <c r="B1228" t="s">
        <v>1431</v>
      </c>
      <c r="C1228" t="s">
        <v>28</v>
      </c>
      <c r="D1228" t="s">
        <v>1577</v>
      </c>
      <c r="E1228">
        <v>0</v>
      </c>
    </row>
    <row r="1229" spans="1:5" x14ac:dyDescent="0.2">
      <c r="A1229" s="269">
        <v>45911.731574074074</v>
      </c>
      <c r="B1229" t="s">
        <v>1431</v>
      </c>
      <c r="C1229" t="s">
        <v>28</v>
      </c>
      <c r="D1229" t="s">
        <v>1578</v>
      </c>
      <c r="E1229">
        <v>16560</v>
      </c>
    </row>
    <row r="1230" spans="1:5" x14ac:dyDescent="0.2">
      <c r="A1230" s="269">
        <v>45911.731666666667</v>
      </c>
      <c r="B1230" t="s">
        <v>1431</v>
      </c>
      <c r="C1230" t="s">
        <v>28</v>
      </c>
      <c r="D1230" t="s">
        <v>1579</v>
      </c>
      <c r="E1230">
        <v>7380</v>
      </c>
    </row>
    <row r="1231" spans="1:5" x14ac:dyDescent="0.2">
      <c r="A1231" s="269">
        <v>45911.731840277775</v>
      </c>
      <c r="B1231" t="s">
        <v>1431</v>
      </c>
      <c r="C1231" t="s">
        <v>28</v>
      </c>
      <c r="D1231" t="s">
        <v>1580</v>
      </c>
      <c r="E1231">
        <v>11540</v>
      </c>
    </row>
    <row r="1232" spans="1:5" x14ac:dyDescent="0.2">
      <c r="A1232" s="269">
        <v>45911.731990740744</v>
      </c>
      <c r="B1232" t="s">
        <v>1431</v>
      </c>
      <c r="C1232" t="s">
        <v>28</v>
      </c>
      <c r="D1232" t="s">
        <v>1581</v>
      </c>
      <c r="E1232">
        <v>5000</v>
      </c>
    </row>
    <row r="1233" spans="1:5" x14ac:dyDescent="0.2">
      <c r="A1233" s="269">
        <v>45911.732141203705</v>
      </c>
      <c r="B1233" t="s">
        <v>1431</v>
      </c>
      <c r="C1233" t="s">
        <v>28</v>
      </c>
      <c r="D1233" t="s">
        <v>1582</v>
      </c>
      <c r="E1233">
        <v>4760</v>
      </c>
    </row>
    <row r="1234" spans="1:5" x14ac:dyDescent="0.2">
      <c r="A1234" s="269">
        <v>45911.732291666667</v>
      </c>
      <c r="B1234" t="s">
        <v>1431</v>
      </c>
      <c r="C1234" t="s">
        <v>28</v>
      </c>
      <c r="D1234" t="s">
        <v>1583</v>
      </c>
      <c r="E1234">
        <v>9000</v>
      </c>
    </row>
    <row r="1235" spans="1:5" x14ac:dyDescent="0.2">
      <c r="A1235" s="269">
        <v>45911.732349537036</v>
      </c>
      <c r="B1235" t="s">
        <v>1431</v>
      </c>
      <c r="C1235" t="s">
        <v>28</v>
      </c>
      <c r="D1235" t="s">
        <v>1584</v>
      </c>
      <c r="E1235">
        <v>0</v>
      </c>
    </row>
    <row r="1236" spans="1:5" x14ac:dyDescent="0.2">
      <c r="A1236" s="269">
        <v>45911.732361111113</v>
      </c>
      <c r="B1236" t="s">
        <v>1431</v>
      </c>
      <c r="C1236" t="s">
        <v>28</v>
      </c>
      <c r="D1236" t="s">
        <v>1585</v>
      </c>
      <c r="E1236">
        <v>0</v>
      </c>
    </row>
    <row r="1237" spans="1:5" x14ac:dyDescent="0.2">
      <c r="A1237" s="269">
        <v>45911.732372685183</v>
      </c>
      <c r="B1237" t="s">
        <v>1431</v>
      </c>
      <c r="C1237" t="s">
        <v>28</v>
      </c>
      <c r="D1237" t="s">
        <v>1586</v>
      </c>
      <c r="E1237">
        <v>0</v>
      </c>
    </row>
    <row r="1238" spans="1:5" x14ac:dyDescent="0.2">
      <c r="A1238" s="269">
        <v>45911.73238425926</v>
      </c>
      <c r="B1238" t="s">
        <v>1431</v>
      </c>
      <c r="C1238" t="s">
        <v>28</v>
      </c>
      <c r="D1238" t="s">
        <v>1587</v>
      </c>
      <c r="E1238">
        <v>0</v>
      </c>
    </row>
    <row r="1239" spans="1:5" x14ac:dyDescent="0.2">
      <c r="A1239" s="269">
        <v>45911.732395833336</v>
      </c>
      <c r="B1239" t="s">
        <v>1431</v>
      </c>
      <c r="C1239" t="s">
        <v>28</v>
      </c>
      <c r="D1239" t="s">
        <v>1588</v>
      </c>
      <c r="E1239">
        <v>0</v>
      </c>
    </row>
    <row r="1240" spans="1:5" x14ac:dyDescent="0.2">
      <c r="A1240" s="269">
        <v>45911.732395833336</v>
      </c>
      <c r="B1240" t="s">
        <v>1431</v>
      </c>
      <c r="C1240" t="s">
        <v>28</v>
      </c>
      <c r="D1240" t="s">
        <v>1589</v>
      </c>
      <c r="E1240">
        <v>0</v>
      </c>
    </row>
    <row r="1241" spans="1:5" x14ac:dyDescent="0.2">
      <c r="A1241" s="269">
        <v>45912.366979166669</v>
      </c>
      <c r="B1241" t="s">
        <v>1431</v>
      </c>
      <c r="C1241" t="s">
        <v>597</v>
      </c>
      <c r="D1241" t="s">
        <v>1590</v>
      </c>
      <c r="E1241" t="s">
        <v>39</v>
      </c>
    </row>
    <row r="1242" spans="1:5" x14ac:dyDescent="0.2">
      <c r="A1242" s="269">
        <v>45912.368726851855</v>
      </c>
      <c r="B1242" t="s">
        <v>1431</v>
      </c>
      <c r="C1242" t="s">
        <v>15</v>
      </c>
      <c r="D1242" t="s">
        <v>979</v>
      </c>
    </row>
    <row r="1243" spans="1:5" x14ac:dyDescent="0.2">
      <c r="A1243" s="269">
        <v>45912.369456018518</v>
      </c>
      <c r="B1243" t="s">
        <v>1431</v>
      </c>
      <c r="C1243" t="s">
        <v>15</v>
      </c>
      <c r="D1243" t="s">
        <v>1191</v>
      </c>
      <c r="E1243" t="s">
        <v>1591</v>
      </c>
    </row>
    <row r="1244" spans="1:5" x14ac:dyDescent="0.2">
      <c r="A1244" s="269">
        <v>45912.369479166664</v>
      </c>
      <c r="B1244" t="s">
        <v>1431</v>
      </c>
      <c r="C1244" t="s">
        <v>15</v>
      </c>
      <c r="D1244" t="s">
        <v>1191</v>
      </c>
    </row>
    <row r="1245" spans="1:5" x14ac:dyDescent="0.2">
      <c r="A1245" s="269">
        <v>45912.38821759259</v>
      </c>
      <c r="B1245" t="s">
        <v>1431</v>
      </c>
      <c r="C1245" t="s">
        <v>28</v>
      </c>
      <c r="D1245" t="s">
        <v>1592</v>
      </c>
    </row>
    <row r="1246" spans="1:5" x14ac:dyDescent="0.2">
      <c r="A1246" s="269">
        <v>45912.388333333336</v>
      </c>
      <c r="B1246" t="s">
        <v>1431</v>
      </c>
      <c r="C1246" t="s">
        <v>28</v>
      </c>
      <c r="D1246" t="s">
        <v>1593</v>
      </c>
    </row>
    <row r="1247" spans="1:5" x14ac:dyDescent="0.2">
      <c r="A1247" s="269">
        <v>45912.388425925928</v>
      </c>
      <c r="B1247" t="s">
        <v>1431</v>
      </c>
      <c r="C1247" t="s">
        <v>28</v>
      </c>
      <c r="D1247" t="s">
        <v>1594</v>
      </c>
      <c r="E1247" t="s">
        <v>338</v>
      </c>
    </row>
    <row r="1248" spans="1:5" x14ac:dyDescent="0.2">
      <c r="A1248" s="269">
        <v>45912.388483796298</v>
      </c>
      <c r="B1248" t="s">
        <v>1431</v>
      </c>
      <c r="C1248" t="s">
        <v>28</v>
      </c>
      <c r="D1248" t="s">
        <v>1595</v>
      </c>
    </row>
    <row r="1249" spans="1:5" x14ac:dyDescent="0.2">
      <c r="A1249" s="269">
        <v>45912.388611111113</v>
      </c>
      <c r="B1249" t="s">
        <v>1431</v>
      </c>
      <c r="C1249" t="s">
        <v>28</v>
      </c>
      <c r="D1249" t="s">
        <v>1596</v>
      </c>
      <c r="E1249" t="s">
        <v>383</v>
      </c>
    </row>
    <row r="1250" spans="1:5" x14ac:dyDescent="0.2">
      <c r="A1250" s="269">
        <v>45912.388668981483</v>
      </c>
      <c r="B1250" t="s">
        <v>1431</v>
      </c>
      <c r="C1250" t="s">
        <v>28</v>
      </c>
      <c r="D1250" t="s">
        <v>1597</v>
      </c>
      <c r="E1250" t="s">
        <v>383</v>
      </c>
    </row>
    <row r="1251" spans="1:5" x14ac:dyDescent="0.2">
      <c r="A1251" s="269">
        <v>45912.388703703706</v>
      </c>
      <c r="B1251" t="s">
        <v>1431</v>
      </c>
      <c r="C1251" t="s">
        <v>28</v>
      </c>
      <c r="D1251" t="s">
        <v>1598</v>
      </c>
    </row>
    <row r="1252" spans="1:5" x14ac:dyDescent="0.2">
      <c r="A1252" s="269">
        <v>45912.389502314814</v>
      </c>
      <c r="B1252" t="s">
        <v>1431</v>
      </c>
      <c r="C1252" t="s">
        <v>28</v>
      </c>
      <c r="D1252" t="s">
        <v>1599</v>
      </c>
      <c r="E1252" t="s">
        <v>364</v>
      </c>
    </row>
    <row r="1253" spans="1:5" x14ac:dyDescent="0.2">
      <c r="A1253" s="269">
        <v>45912.389664351853</v>
      </c>
      <c r="B1253" t="s">
        <v>1431</v>
      </c>
      <c r="C1253" t="s">
        <v>28</v>
      </c>
      <c r="D1253" t="s">
        <v>1601</v>
      </c>
      <c r="E1253" t="s">
        <v>1600</v>
      </c>
    </row>
    <row r="1254" spans="1:5" x14ac:dyDescent="0.2">
      <c r="A1254" s="269">
        <v>45912.390428240738</v>
      </c>
      <c r="B1254" t="s">
        <v>1431</v>
      </c>
      <c r="C1254" t="s">
        <v>28</v>
      </c>
      <c r="D1254" t="s">
        <v>1602</v>
      </c>
      <c r="E1254">
        <v>450</v>
      </c>
    </row>
    <row r="1255" spans="1:5" x14ac:dyDescent="0.2">
      <c r="A1255" s="269">
        <v>45912.390474537038</v>
      </c>
      <c r="B1255" t="s">
        <v>1431</v>
      </c>
      <c r="C1255" t="s">
        <v>28</v>
      </c>
      <c r="D1255" t="s">
        <v>1603</v>
      </c>
      <c r="E1255">
        <v>450</v>
      </c>
    </row>
    <row r="1256" spans="1:5" x14ac:dyDescent="0.2">
      <c r="A1256" s="269">
        <v>45912.390590277777</v>
      </c>
      <c r="B1256" t="s">
        <v>1431</v>
      </c>
      <c r="C1256" t="s">
        <v>28</v>
      </c>
      <c r="D1256" t="s">
        <v>1436</v>
      </c>
      <c r="E1256">
        <v>450</v>
      </c>
    </row>
    <row r="1257" spans="1:5" x14ac:dyDescent="0.2">
      <c r="A1257" s="269">
        <v>45912.390636574077</v>
      </c>
      <c r="B1257" t="s">
        <v>1431</v>
      </c>
      <c r="C1257" t="s">
        <v>28</v>
      </c>
      <c r="D1257" t="s">
        <v>1604</v>
      </c>
      <c r="E1257">
        <v>450</v>
      </c>
    </row>
    <row r="1258" spans="1:5" x14ac:dyDescent="0.2">
      <c r="A1258" s="269">
        <v>45912.390752314815</v>
      </c>
      <c r="B1258" t="s">
        <v>1431</v>
      </c>
      <c r="C1258" t="s">
        <v>28</v>
      </c>
      <c r="D1258" t="s">
        <v>1605</v>
      </c>
      <c r="E1258">
        <v>150</v>
      </c>
    </row>
    <row r="1259" spans="1:5" x14ac:dyDescent="0.2">
      <c r="A1259" s="269">
        <v>45912.390798611108</v>
      </c>
      <c r="B1259" t="s">
        <v>1431</v>
      </c>
      <c r="C1259" t="s">
        <v>28</v>
      </c>
      <c r="D1259" t="s">
        <v>1606</v>
      </c>
      <c r="E1259">
        <v>150</v>
      </c>
    </row>
    <row r="1260" spans="1:5" x14ac:dyDescent="0.2">
      <c r="A1260" s="269">
        <v>45912.391180555554</v>
      </c>
      <c r="B1260" t="s">
        <v>1431</v>
      </c>
      <c r="C1260" t="s">
        <v>28</v>
      </c>
      <c r="D1260" t="s">
        <v>1607</v>
      </c>
      <c r="E1260">
        <v>15</v>
      </c>
    </row>
    <row r="1261" spans="1:5" x14ac:dyDescent="0.2">
      <c r="A1261" s="269">
        <v>45912.391250000001</v>
      </c>
      <c r="B1261" t="s">
        <v>1431</v>
      </c>
      <c r="C1261" t="s">
        <v>28</v>
      </c>
      <c r="D1261" t="s">
        <v>1608</v>
      </c>
      <c r="E1261">
        <v>15</v>
      </c>
    </row>
    <row r="1262" spans="1:5" x14ac:dyDescent="0.2">
      <c r="A1262" s="269">
        <v>45912.392581018517</v>
      </c>
      <c r="B1262" t="s">
        <v>1431</v>
      </c>
      <c r="C1262" t="s">
        <v>28</v>
      </c>
      <c r="D1262" t="s">
        <v>1601</v>
      </c>
      <c r="E1262" t="s">
        <v>1609</v>
      </c>
    </row>
    <row r="1263" spans="1:5" x14ac:dyDescent="0.2">
      <c r="A1263" s="269">
        <v>45912.410821759258</v>
      </c>
      <c r="B1263" t="s">
        <v>1431</v>
      </c>
      <c r="C1263" t="s">
        <v>28</v>
      </c>
      <c r="D1263" t="s">
        <v>1576</v>
      </c>
      <c r="E1263">
        <v>1077</v>
      </c>
    </row>
    <row r="1264" spans="1:5" x14ac:dyDescent="0.2">
      <c r="A1264" s="269">
        <v>45912.411504629628</v>
      </c>
      <c r="B1264" t="s">
        <v>1431</v>
      </c>
      <c r="C1264" t="s">
        <v>15</v>
      </c>
      <c r="D1264" t="s">
        <v>1010</v>
      </c>
      <c r="E1264" t="s">
        <v>200</v>
      </c>
    </row>
    <row r="1265" spans="1:5" x14ac:dyDescent="0.2">
      <c r="A1265" s="269">
        <v>45912.41165509259</v>
      </c>
      <c r="B1265" t="s">
        <v>1431</v>
      </c>
      <c r="C1265" t="s">
        <v>15</v>
      </c>
      <c r="D1265" t="s">
        <v>1191</v>
      </c>
      <c r="E1265" t="s">
        <v>1610</v>
      </c>
    </row>
    <row r="1266" spans="1:5" x14ac:dyDescent="0.2">
      <c r="A1266" s="269">
        <v>45912.411817129629</v>
      </c>
      <c r="B1266" t="s">
        <v>1431</v>
      </c>
      <c r="C1266" t="s">
        <v>15</v>
      </c>
      <c r="D1266" t="s">
        <v>973</v>
      </c>
      <c r="E1266" t="s">
        <v>380</v>
      </c>
    </row>
    <row r="1267" spans="1:5" x14ac:dyDescent="0.2">
      <c r="A1267" s="269">
        <v>45912.411851851852</v>
      </c>
      <c r="B1267" t="s">
        <v>1431</v>
      </c>
      <c r="C1267" t="s">
        <v>15</v>
      </c>
      <c r="D1267" t="s">
        <v>1066</v>
      </c>
      <c r="E1267">
        <v>4</v>
      </c>
    </row>
    <row r="1268" spans="1:5" x14ac:dyDescent="0.2">
      <c r="A1268" s="269">
        <v>45912.411979166667</v>
      </c>
      <c r="B1268" t="s">
        <v>1431</v>
      </c>
      <c r="C1268" t="s">
        <v>15</v>
      </c>
      <c r="D1268" t="s">
        <v>1066</v>
      </c>
      <c r="E1268">
        <v>3</v>
      </c>
    </row>
    <row r="1269" spans="1:5" x14ac:dyDescent="0.2">
      <c r="A1269" s="269">
        <v>45912.412060185183</v>
      </c>
      <c r="B1269" t="s">
        <v>1431</v>
      </c>
      <c r="C1269" t="s">
        <v>15</v>
      </c>
      <c r="D1269" t="s">
        <v>926</v>
      </c>
      <c r="E1269" t="s">
        <v>86</v>
      </c>
    </row>
    <row r="1270" spans="1:5" x14ac:dyDescent="0.2">
      <c r="A1270" s="269">
        <v>45912.412118055552</v>
      </c>
      <c r="B1270" t="s">
        <v>1431</v>
      </c>
      <c r="C1270" t="s">
        <v>15</v>
      </c>
      <c r="D1270" t="s">
        <v>926</v>
      </c>
      <c r="E1270" t="s">
        <v>86</v>
      </c>
    </row>
    <row r="1271" spans="1:5" x14ac:dyDescent="0.2">
      <c r="A1271" s="269">
        <v>45912.412303240744</v>
      </c>
      <c r="B1271" t="s">
        <v>1431</v>
      </c>
      <c r="C1271" t="s">
        <v>15</v>
      </c>
      <c r="D1271" t="s">
        <v>926</v>
      </c>
      <c r="E1271" t="s">
        <v>352</v>
      </c>
    </row>
    <row r="1272" spans="1:5" x14ac:dyDescent="0.2">
      <c r="A1272" s="269">
        <v>45912.412407407406</v>
      </c>
      <c r="B1272" t="s">
        <v>1431</v>
      </c>
      <c r="C1272" t="s">
        <v>15</v>
      </c>
      <c r="D1272" t="s">
        <v>1611</v>
      </c>
      <c r="E1272" t="s">
        <v>379</v>
      </c>
    </row>
    <row r="1273" spans="1:5" x14ac:dyDescent="0.2">
      <c r="A1273" s="269">
        <v>45912.412673611114</v>
      </c>
      <c r="B1273" t="s">
        <v>1431</v>
      </c>
      <c r="C1273" t="s">
        <v>15</v>
      </c>
      <c r="D1273" t="s">
        <v>972</v>
      </c>
      <c r="E1273">
        <v>33.9</v>
      </c>
    </row>
    <row r="1274" spans="1:5" x14ac:dyDescent="0.2">
      <c r="A1274" s="269">
        <v>45912.413738425923</v>
      </c>
      <c r="B1274" t="s">
        <v>1431</v>
      </c>
      <c r="C1274" t="s">
        <v>2</v>
      </c>
      <c r="D1274" t="s">
        <v>1029</v>
      </c>
      <c r="E1274">
        <v>54240</v>
      </c>
    </row>
    <row r="1275" spans="1:5" x14ac:dyDescent="0.2">
      <c r="A1275" s="269">
        <v>45912.415532407409</v>
      </c>
      <c r="B1275" t="s">
        <v>1431</v>
      </c>
      <c r="C1275" t="s">
        <v>2</v>
      </c>
      <c r="D1275" t="s">
        <v>1612</v>
      </c>
      <c r="E1275">
        <v>1077</v>
      </c>
    </row>
    <row r="1276" spans="1:5" x14ac:dyDescent="0.2">
      <c r="A1276" s="269">
        <v>45912.415648148148</v>
      </c>
      <c r="B1276" t="s">
        <v>1431</v>
      </c>
      <c r="C1276" t="s">
        <v>2</v>
      </c>
      <c r="D1276" t="s">
        <v>1613</v>
      </c>
      <c r="E1276">
        <v>54240</v>
      </c>
    </row>
    <row r="1277" spans="1:5" x14ac:dyDescent="0.2">
      <c r="A1277" s="269">
        <v>45912.415706018517</v>
      </c>
      <c r="B1277" t="s">
        <v>1431</v>
      </c>
      <c r="C1277" t="s">
        <v>2</v>
      </c>
      <c r="D1277" t="s">
        <v>1613</v>
      </c>
      <c r="E1277">
        <v>180</v>
      </c>
    </row>
    <row r="1278" spans="1:5" x14ac:dyDescent="0.2">
      <c r="A1278" s="269">
        <v>45912.415752314817</v>
      </c>
      <c r="B1278" t="s">
        <v>1431</v>
      </c>
      <c r="C1278" t="s">
        <v>2</v>
      </c>
      <c r="D1278" t="s">
        <v>1614</v>
      </c>
      <c r="E1278">
        <v>5400</v>
      </c>
    </row>
    <row r="1279" spans="1:5" x14ac:dyDescent="0.2">
      <c r="A1279" s="269">
        <v>45912.415775462963</v>
      </c>
      <c r="B1279" t="s">
        <v>1431</v>
      </c>
      <c r="C1279" t="s">
        <v>2</v>
      </c>
      <c r="D1279" t="s">
        <v>1614</v>
      </c>
      <c r="E1279">
        <v>180</v>
      </c>
    </row>
    <row r="1280" spans="1:5" x14ac:dyDescent="0.2">
      <c r="A1280" s="269">
        <v>45912.415821759256</v>
      </c>
      <c r="B1280" t="s">
        <v>1431</v>
      </c>
      <c r="C1280" t="s">
        <v>2</v>
      </c>
      <c r="D1280" t="s">
        <v>1613</v>
      </c>
      <c r="E1280">
        <v>54240</v>
      </c>
    </row>
    <row r="1281" spans="1:5" x14ac:dyDescent="0.2">
      <c r="A1281" s="269">
        <v>45912.415972222225</v>
      </c>
      <c r="B1281" t="s">
        <v>1431</v>
      </c>
      <c r="C1281" t="s">
        <v>2</v>
      </c>
      <c r="D1281" t="s">
        <v>1612</v>
      </c>
      <c r="E1281">
        <v>1077</v>
      </c>
    </row>
    <row r="1282" spans="1:5" x14ac:dyDescent="0.2">
      <c r="A1282" s="269">
        <v>45912.41605324074</v>
      </c>
      <c r="B1282" t="s">
        <v>1431</v>
      </c>
      <c r="C1282" t="s">
        <v>2</v>
      </c>
      <c r="D1282" t="s">
        <v>1029</v>
      </c>
      <c r="E1282">
        <v>5400</v>
      </c>
    </row>
    <row r="1283" spans="1:5" x14ac:dyDescent="0.2">
      <c r="A1283" s="269">
        <v>45916.873668981483</v>
      </c>
      <c r="B1283" t="s">
        <v>596</v>
      </c>
      <c r="C1283" t="s">
        <v>597</v>
      </c>
      <c r="D1283" t="s">
        <v>1590</v>
      </c>
      <c r="E1283" t="s">
        <v>39</v>
      </c>
    </row>
    <row r="1284" spans="1:5" x14ac:dyDescent="0.2">
      <c r="A1284" s="269">
        <v>45916.87395833333</v>
      </c>
      <c r="B1284" t="s">
        <v>596</v>
      </c>
      <c r="C1284" t="s">
        <v>27</v>
      </c>
      <c r="D1284" t="s">
        <v>1615</v>
      </c>
      <c r="E1284" t="s">
        <v>53</v>
      </c>
    </row>
    <row r="1285" spans="1:5" x14ac:dyDescent="0.2">
      <c r="A1285" s="269">
        <v>45916.874062499999</v>
      </c>
      <c r="B1285" t="s">
        <v>596</v>
      </c>
      <c r="C1285" t="s">
        <v>27</v>
      </c>
      <c r="D1285" t="s">
        <v>1616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2025-09-16T12:58:43Z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